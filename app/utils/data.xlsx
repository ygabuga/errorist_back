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tables/table1.xml" ContentType="application/vnd.openxmlformats-officedocument.spreadsheetml.tabl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Решение" sheetId="1" state="hidden" r:id="rId2"/>
    <sheet name="Коды ошибок" sheetId="2" state="visible" r:id="rId3"/>
    <sheet name="доп инфо" sheetId="3" state="hidden" r:id="rId4"/>
    <sheet name="НЕ ИСПРАВЛЕНО" sheetId="4" state="hidden" r:id="rId5"/>
  </sheets>
  <definedNames>
    <definedName function="false" hidden="false" name="дан" vbProcedure="false">#REF!</definedName>
    <definedName function="false" hidden="false" name="дат" vbProcedure="false">#REF!</definedName>
    <definedName function="false" hidden="false" name="др" vbProcedure="false">#REF!</definedName>
    <definedName function="false" hidden="false" name="исп" vbProcedure="false">#REF!</definedName>
    <definedName function="false" hidden="false" name="нед" vbProcedure="false">#REF!</definedName>
    <definedName function="false" hidden="false" name="ном" vbProcedure="false">#REF!</definedName>
    <definedName function="false" hidden="false" name="от" vbProcedure="false">#REF!</definedName>
    <definedName function="false" hidden="false" name="под" vbProcedure="false">#REF!</definedName>
    <definedName function="false" hidden="false" name="тип" vbProcedure="false">#REF!</definedName>
    <definedName function="false" hidden="false" name="убл" vbProcedure="false">#REF!</definedName>
    <definedName function="false" hidden="false" name="фио" vbProcedure="false">#REF!</definedName>
    <definedName function="false" hidden="false" name="фор"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<sst xmlns="http://schemas.openxmlformats.org/spreadsheetml/2006/main" count="20607" uniqueCount="13691">
  <si>
    <t xml:space="preserve">Код ошибки</t>
  </si>
  <si>
    <t xml:space="preserve">Модуль</t>
  </si>
  <si>
    <t xml:space="preserve">Текст в заявке</t>
  </si>
  <si>
    <t xml:space="preserve">Описание ошибки</t>
  </si>
  <si>
    <t xml:space="preserve">Устранение неисправностей</t>
  </si>
  <si>
    <t xml:space="preserve">УП</t>
  </si>
  <si>
    <t xml:space="preserve">FLM</t>
  </si>
  <si>
    <t xml:space="preserve">Переинкассация</t>
  </si>
  <si>
    <t xml:space="preserve">СВ ПИ + СБС</t>
  </si>
  <si>
    <t xml:space="preserve">Выгрузка на ремонт</t>
  </si>
  <si>
    <t xml:space="preserve">SLM</t>
  </si>
  <si>
    <t xml:space="preserve">Верхний кабинет</t>
  </si>
  <si>
    <t xml:space="preserve">Нижний кабинет</t>
  </si>
  <si>
    <r>
      <rPr>
        <sz val="22"/>
        <color rgb="FFFF0000"/>
        <rFont val="Calibri"/>
        <family val="2"/>
        <charset val="204"/>
      </rPr>
      <t xml:space="preserve">▲ </t>
    </r>
    <r>
      <rPr>
        <b val="true"/>
        <sz val="22"/>
        <color rgb="FFFF0000"/>
        <rFont val="Calibri"/>
        <family val="2"/>
        <charset val="204"/>
      </rPr>
      <t xml:space="preserve">Введите код ошибки</t>
    </r>
  </si>
  <si>
    <r>
      <rPr>
        <sz val="22"/>
        <color rgb="FFFF0000"/>
        <rFont val="Calibri"/>
        <family val="2"/>
        <charset val="204"/>
      </rPr>
      <t xml:space="preserve">▲
</t>
    </r>
    <r>
      <rPr>
        <b val="true"/>
        <sz val="22"/>
        <color rgb="FFFF0000"/>
        <rFont val="Calibri"/>
        <family val="2"/>
        <charset val="204"/>
      </rPr>
      <t xml:space="preserve">Копируем в заявку</t>
    </r>
  </si>
  <si>
    <t xml:space="preserve">CSM</t>
  </si>
  <si>
    <t xml:space="preserve">Внешний шаттер</t>
  </si>
  <si>
    <t xml:space="preserve">BillChecker</t>
  </si>
  <si>
    <t xml:space="preserve">Escrow</t>
  </si>
  <si>
    <t xml:space="preserve">Кассета RC1</t>
  </si>
  <si>
    <t xml:space="preserve">Кассета RC2</t>
  </si>
  <si>
    <t xml:space="preserve">Кассета RC3</t>
  </si>
  <si>
    <t xml:space="preserve">Кассета RC4</t>
  </si>
  <si>
    <t xml:space="preserve">Депозит кассета</t>
  </si>
  <si>
    <t xml:space="preserve">Реджект кассета</t>
  </si>
  <si>
    <t xml:space="preserve">Соленоид кассеты</t>
  </si>
  <si>
    <t xml:space="preserve">ПО</t>
  </si>
  <si>
    <t xml:space="preserve">Переходный интерфейс</t>
  </si>
  <si>
    <t xml:space="preserve">Midle transport</t>
  </si>
  <si>
    <t xml:space="preserve">5@AE600</t>
  </si>
  <si>
    <t xml:space="preserve">Ошибка обработки команды Загрузка (Download) в ходе операции Работа кнопки TE (TE Button Operating) с применением шифрования. </t>
  </si>
  <si>
    <t xml:space="preserve">1. Выполните инициализацию Модуля Рециркуляции Банкнот BRM (Восстановление)  2. Перезагрузите банкомат в случае повторения ошибки после инициализации (ошибка таймаута сообщения) </t>
  </si>
  <si>
    <t xml:space="preserve">5@AEE00</t>
  </si>
  <si>
    <t xml:space="preserve">Нарушение последовательности сообщений интерфейса RS485 платы контроллера RBU в ходе операции Загрузка (Download) с применением шифрования. </t>
  </si>
  <si>
    <t xml:space="preserve">5@AEF00</t>
  </si>
  <si>
    <t xml:space="preserve">Нарушение линии связи интерфейса RS485 платы контроллера RBU в ходе операции Загрузка (Download) с применением шифрования. </t>
  </si>
  <si>
    <t xml:space="preserve">5@AH500</t>
  </si>
  <si>
    <t xml:space="preserve">Ошибка Чтения/Записи памяти NVRAM (128 деноминаций) в ходе операции Загрузка с применением шифрования (Download by applying encryption). </t>
  </si>
  <si>
    <t xml:space="preserve">5@AHA00</t>
  </si>
  <si>
    <t xml:space="preserve">Ошибка проверки контрольной суммы во время загрузки ПО Нижнего уровня EP в MAIN-контроллер с применением шифрования. </t>
  </si>
  <si>
    <t xml:space="preserve">1. Проверьте загружаемый bin-файл 2. Замените bin-файл</t>
  </si>
  <si>
    <t xml:space="preserve">5@AHB00</t>
  </si>
  <si>
    <t xml:space="preserve">Ошибка записи во flash-память во время загрузки ПО Нижнего уровня EP в MAIN-контроллер с применением шифрования. </t>
  </si>
  <si>
    <t xml:space="preserve">1. Замените плату Основного MAIN контроллера в случае возникновения этой же ошибки после повторной попытки загрузки </t>
  </si>
  <si>
    <t xml:space="preserve">5@BHA00</t>
  </si>
  <si>
    <t xml:space="preserve">Нарушение процесса загрузки ПО Нижнего уровня EP в плату контроллера RBU с применением шифрования. </t>
  </si>
  <si>
    <t xml:space="preserve">5@BHB00</t>
  </si>
  <si>
    <t xml:space="preserve">Ошибка записи во flash-память во время загрузки ПО Нижнего уровня EP в RBU-контроллер с применением шифрования. </t>
  </si>
  <si>
    <t xml:space="preserve">1. Замените плату контроллера RBU в случае возникновения этой же ошибки после повторной попытки загрузки</t>
  </si>
  <si>
    <t xml:space="preserve">5@US100</t>
  </si>
  <si>
    <t xml:space="preserve">Ошибка дублирования номера последовательности USB при применении шифрования. </t>
  </si>
  <si>
    <t xml:space="preserve">1. Перезагрузите ПО верхнего AP и Среднего SP уровней </t>
  </si>
  <si>
    <t xml:space="preserve">5@US300</t>
  </si>
  <si>
    <t xml:space="preserve">Ошибка длины данных команды USB  в ходе операции Применение Шифрования (applying encryption). </t>
  </si>
  <si>
    <t xml:space="preserve">5@USA00</t>
  </si>
  <si>
    <t xml:space="preserve">Ошибка сравнения INFORMATION 1 команды 0xC1 при применении шифрования. </t>
  </si>
  <si>
    <t xml:space="preserve">1. Авторизация BRM/ 7-й Дип свич</t>
  </si>
  <si>
    <t xml:space="preserve">5@USB00</t>
  </si>
  <si>
    <t xml:space="preserve">Ошибка сравнения INFORMATION 2 команды 0xC1 при применении шифрования. </t>
  </si>
  <si>
    <t xml:space="preserve">5@USC00</t>
  </si>
  <si>
    <t xml:space="preserve">Ошибка сравнения EPRN команды 0xEE при применении шифрования. </t>
  </si>
  <si>
    <t xml:space="preserve">5@USD00</t>
  </si>
  <si>
    <t xml:space="preserve">Состояние сеанса безопасности не AUTH_SUCCESS при выполнении команды 0xEE при применении шифрования. </t>
  </si>
  <si>
    <t xml:space="preserve">5@USE00</t>
  </si>
  <si>
    <t xml:space="preserve">Ошибка применения API библиотеки безопасности при применении шифрования. (0xC1 ошибка открытия ПО нижнего уровня EP) </t>
  </si>
  <si>
    <t xml:space="preserve">5@USF00</t>
  </si>
  <si>
    <t xml:space="preserve">Ошибка применения API библиотеки безопасности при применении шифрования. (0xC2 Ошибка выполнения ПО нижнего уровня EP) </t>
  </si>
  <si>
    <t xml:space="preserve">5@USG00</t>
  </si>
  <si>
    <t xml:space="preserve">Ошибка применения API библиотеки безопасности при применении шифрования. (0xEE Ошибка получения полного дешифрванного текста) </t>
  </si>
  <si>
    <t xml:space="preserve">5@USH00</t>
  </si>
  <si>
    <t xml:space="preserve">Ошибка чтения ИНФОРМАЦИИ при применении шифрования. </t>
  </si>
  <si>
    <t xml:space="preserve">5@USJ00</t>
  </si>
  <si>
    <t xml:space="preserve">Ошибка записи ИНФОРМАЦИИ при применении шифрования.</t>
  </si>
  <si>
    <t xml:space="preserve">1. Перезагрузите ПО верхнего AP и Среднего SP уровней</t>
  </si>
  <si>
    <t xml:space="preserve">5@USK00</t>
  </si>
  <si>
    <t xml:space="preserve">При получении команды C1 в предыдущем шифровании при применении шифрования, INFORMATION существует.</t>
  </si>
  <si>
    <t xml:space="preserve">5@USL00</t>
  </si>
  <si>
    <t xml:space="preserve">При получении открытого текста при применении шифрования, INFORMATION существует</t>
  </si>
  <si>
    <t xml:space="preserve">5@USM00</t>
  </si>
  <si>
    <t xml:space="preserve">При пересылке пакета шифрования при применении шифрования, INFORMATION отсутствует.</t>
  </si>
  <si>
    <t xml:space="preserve">5@USP00</t>
  </si>
  <si>
    <t xml:space="preserve">Получена неизвестная команда в ходе применения операции шифрования.</t>
  </si>
  <si>
    <t xml:space="preserve">5@USQ00</t>
  </si>
  <si>
    <t xml:space="preserve">Ошибка шифрования при применении шифрования.</t>
  </si>
  <si>
    <t xml:space="preserve">5@USR00</t>
  </si>
  <si>
    <t xml:space="preserve">Не удалось войти в режим шифрования при EP DONE при применении шифрования.</t>
  </si>
  <si>
    <t xml:space="preserve">5@USS00</t>
  </si>
  <si>
    <t xml:space="preserve">Неопределенные команды С1, C2 при применении шифрования.</t>
  </si>
  <si>
    <t xml:space="preserve">5@UST00</t>
  </si>
  <si>
    <t xml:space="preserve">Не удалось выполнить шифрование при ретрансляции пакета при применении шифрования.</t>
  </si>
  <si>
    <t xml:space="preserve">5@USU00</t>
  </si>
  <si>
    <t xml:space="preserve">При получении C1 при применении шифрования, INFORMATION 1 равна NULL</t>
  </si>
  <si>
    <t xml:space="preserve">5@USV00</t>
  </si>
  <si>
    <t xml:space="preserve">При получении C1 при применении шифрования, INFORMATION 2 равна NULL</t>
  </si>
  <si>
    <t xml:space="preserve">Произошла ошибка оставшихся банкнот в области датчика GS801 в ходе операции Начало Депозита (Deposit Ready).</t>
  </si>
  <si>
    <t xml:space="preserve">1. Откройте верхнюю часть Модуля Рециркуляции Банкнот. 2. Откройте Модуль обслуживания клиентов (CSM) 3. Откройте модуль Валидатора банкнот (5)  4.Удалите банкноты и посторонние предметы из Переднего Транспортного Тракта (4) 5. В случае отсутствия банкнот или посторонних предметов проверьте не загрязнен ли датчик </t>
  </si>
  <si>
    <t xml:space="preserve">Произошла ошибка оставшихся банкнот в области датчика GS002 в ходе операции Начало Депозита (Deposit Ready).</t>
  </si>
  <si>
    <t xml:space="preserve">1. Откройте верхнюю часть Модуля Рециркуляции Банкнот 2. Откройте Модуль обслуживания клиентов (CSM) 3. Откройте модуль Валидатора банкнот (5) 4. Удалите банкноты и посторонние предметы из Переднего Транспортного Тракта (4) 5.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</si>
  <si>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GS003 в ходе операции Начало Депозита (Deposit Ready).</t>
  </si>
  <si>
    <t xml:space="preserve">1. Откройте верхнюю часть Модуля Рециркуляции Банкнот. 2. Откройте модуль Временного хранения_TE (Временный Эскроу) (12) . 3. Откройте Задний Транспортный Тракт (6) 4. Удалите банкноты и посторонние предметы из Заднего Транспортного Тракта (6) 5. В случае отсутствия банкнот или посторонних предметов проверьте не загрязнен ли датчик </t>
  </si>
  <si>
    <t xml:space="preserve">Произошла ошибка оставшихся банкнот в области датчика GS004 в ходе операции Начало Депозита (Deposit Ready).</t>
  </si>
  <si>
    <t xml:space="preserve">1. Откройте верхнюю часть Модуля Рециркуляции Банкнот. 2. Откройте модуль Временного хранения_TE (Временный Эскроу) (12) 3. Откройте Вспомогательную (невостребованных/фальшивых банкнот) кассету (9). 4. Удалите банкноты и посторонние предметы из Заднего Транспортного Тракта (6) 5. В случае отсутствия банкнот или посторонних предметов проверьте не загрязнен ли датчик </t>
  </si>
  <si>
    <t xml:space="preserve">Произошла ошибка оставшихся банкнот в области датчика GS005 в ходе операции Начало Депозита (Deposit Ready).</t>
  </si>
  <si>
    <t xml:space="preserve">1. Откройте верхнюю часть Модуля Рециркуляции Банкнот. 2. Откройте модуль Временного хранения_TE (Временный Эскроу) (12) 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 </t>
  </si>
  <si>
    <t xml:space="preserve">Произошла ошибка оставшихся банкнот в области датчика GS006 в ходе операции Начало Депозита (Deposit Ready).</t>
  </si>
  <si>
    <t xml:space="preserve">1. Откройте верхнюю часть Модуля Рециркуляции Банкнот. 2. Откройте модуль Временного хранения_TE (Временный Эскроу) (12) 3. Откройте Вспомогательную (невостребованных/фальшивых банкнот) кассету (9). 4. Удалите банкноты и посторонние предметы из Заднего Транспортного Тракта (7) 5. В случае отсутствия банкнот или посторонних предметов проверьте не загрязнен ли датчик</t>
  </si>
  <si>
    <t xml:space="preserve">5102A00</t>
  </si>
  <si>
    <t xml:space="preserve">Произошла ошибка оставшихся банкнот в области датчика GS021 в ходе операции Начало Депозита (Deposit Ready).</t>
  </si>
  <si>
    <t xml:space="preserve">1. Откройте нижнюю часть Модуля Рециркуляции Банкнот 2. Удалите банкноты и посторонние предметы из Среднего Транспортного Тракта (13) 3. В случае отсутствия банкнот или посторонних предметов проверьте не загрязнен ли датчик</t>
  </si>
  <si>
    <t xml:space="preserve">5102B00</t>
  </si>
  <si>
    <t xml:space="preserve">Произошла ошибка оставшихся банкнот в области датчика GS022 в ходе операции Начало Депозита (Deposit Ready).</t>
  </si>
  <si>
    <t xml:space="preserve">1. Откройте нижнюю часть Модуля Рециркуляции Банкнот . 2. Откройте Средний Транспортный Тракт. 3. Удалите банкноты и посторонние предметы из Кассеты отбраковки (19). 4. В случае отсутствия банкнот или посторонних предметов проверьте не загрязнен ли датчик</t>
  </si>
  <si>
    <t xml:space="preserve">5102G00</t>
  </si>
  <si>
    <t xml:space="preserve">Произошла ошибка оставшихся банкнот в области датчика GS614 в ходе операции Начало Депозита (Deposit Ready).</t>
  </si>
  <si>
    <t xml:space="preserve">1. Откройте верхнюю часть Модуля Рециркуляции Банкнот. 2. Откройте Модуль обслуживания клиентов (CSM) (3) 3. Удалите банкноты и посторонние предметы из Модуля обслуживания клиентов CSM (3) 4. В случае отсутствия банкнот или посторонних предметов проверьте не загрязнен ли датчик</t>
  </si>
  <si>
    <t xml:space="preserve">5102H00</t>
  </si>
  <si>
    <t xml:space="preserve">Произошла ошибка оставшихся банкнот в области датчика GS618 в ходе операции Начало Депозита (Deposit Ready).</t>
  </si>
  <si>
    <t xml:space="preserve">1. Откройте верхнюю часть Модуля Рециркуляции Банкнот. 2. Откройте Модуль обслуживания клиентов (CSM) (3) 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</si>
  <si>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5102J00</t>
  </si>
  <si>
    <t xml:space="preserve">Произошла ошибка оставшихся банкнот в области датчика GS619 в ходе операции Начало Депозита (Deposit Ready).</t>
  </si>
  <si>
    <t xml:space="preserve">5102K00</t>
  </si>
  <si>
    <t xml:space="preserve">Произошла ошибка оставшихся банкнот в области датчика GS703 в ходе операции Начало Депозита (Deposit Ready).</t>
  </si>
  <si>
    <t xml:space="preserve">1. Откройте верхнюю часть Модуля Рециркуляции Банкнот 2. Откройте модуль Временного хранения_TE (Временный Эскроу) (12) 3. Прокрутите круглую ручку Модуля временного хранения_TE (12) 4. Удалите банкноты и посторонние предметы из Заднего Транспортного Тракта (11) </t>
  </si>
  <si>
    <t xml:space="preserve">5102M00</t>
  </si>
  <si>
    <t xml:space="preserve">Произошла ошибка оставшихся банкнот в области датчика GS031 в ходе операции Начало Депозита (Deposit Ready).</t>
  </si>
  <si>
    <t xml:space="preserve">1. Откройте нижнюю часть Модуля Рециркуляции Банкнот . 2. Прокрутите круглую ручку Среднего транспортного тракта. 3. Удалите банкноты и посторонние предметы из Среднего Транспортного Тракта  (13). 4. В случае отсутствия банкнот или посторонних предметов проверьте не загрязнен ли датчик</t>
  </si>
  <si>
    <t xml:space="preserve">5102N00</t>
  </si>
  <si>
    <t xml:space="preserve">Произошла ошибка оставшихся банкнот в области датчика GS032 в ходе операции Начало Депозита (Deposit Ready).</t>
  </si>
  <si>
    <t xml:space="preserve">5102P00</t>
  </si>
  <si>
    <t xml:space="preserve">Произошла ошибка оставшихся банкнот в области датчика GS033 в ходе операции Начало Депозита (Deposit Ready).</t>
  </si>
  <si>
    <t xml:space="preserve">5102Q00</t>
  </si>
  <si>
    <t xml:space="preserve">Произошла ошибка оставшихся банкнот в области датчика GS034 в ходе операции Начало Депозита (Deposit Ready).</t>
  </si>
  <si>
    <t xml:space="preserve">510G100</t>
  </si>
  <si>
    <t xml:space="preserve">Не удалось переключить 3-х направленный Затвор Тракта в режим 0-го градуса в ходе операции Начало Депозита (Deposit Ready).</t>
  </si>
  <si>
    <t xml:space="preserve">1. Откройте верхнюю часть Модуля Рециркуляции Банкнот. 2. Откройте Модуль обслуживания клиентов CSM и Модуль временного хранения_TE (временный эскроу) (12) 3. Удалите банкноты и посторонние предметы из затвора в Заднем Транспортном Тракте</t>
  </si>
  <si>
    <t xml:space="preserve">510G200</t>
  </si>
  <si>
    <t xml:space="preserve">Не удалось переключить 3-х направленный Затвор Тракта в 120 градусный режим в ходе операции Начало Депозита (Deposit Ready).</t>
  </si>
  <si>
    <t xml:space="preserve">510NC00</t>
  </si>
  <si>
    <t xml:space="preserve">Не удалось проверить последнюю банкноту в окончании Среднего Транспортного Тракта в ходе операции Начало Депозита (Deposit Ready).</t>
  </si>
  <si>
    <t xml:space="preserve">1. Выполните инициализацию Модуля Рециркуляции Банкнот BRM (Восстановление) 2. Перезагрузите банкомат в случае повторения ошибки после инициализации (ошибка таймаута сообщения)</t>
  </si>
  <si>
    <t xml:space="preserve">510NK00</t>
  </si>
  <si>
    <t xml:space="preserve">Ошибка No gate for insertion в ходе операции Начало Депозита (Deposit Ready).</t>
  </si>
  <si>
    <t xml:space="preserve">1. Выполните инициализацию Модуля Рециркуляции Банкнот BRM (Восстановление)  2. Перезагрузите банкомат в случае повторения ошибки после инициализации (ошибка таймаута сообщения)</t>
  </si>
  <si>
    <t xml:space="preserve">510R100</t>
  </si>
  <si>
    <t xml:space="preserve">Возвращена ошибка таймаута сообщения в ходе готовности к операции Начало Депозита (Deposit Ready).</t>
  </si>
  <si>
    <t xml:space="preserve">510R200</t>
  </si>
  <si>
    <t xml:space="preserve">510R300</t>
  </si>
  <si>
    <t xml:space="preserve">Возвращена ошибка таймаута сообщения в ходе постпроцессинга ошибки операции  Конец Депозита (Deposit End Error).</t>
  </si>
  <si>
    <t xml:space="preserve">510RJ00</t>
  </si>
  <si>
    <t xml:space="preserve">Возвращена ошибка таймаута сообщения в ходе операции Начало Остановки (Stop Ready) в ходе операции Начало Депозита (Deposit Ready).</t>
  </si>
  <si>
    <t xml:space="preserve">GS101 замятие в области датчика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</si>
  <si>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(A). 4. Опустите прижимную пластину после открытия дверцы Кассеты рециркуляции (A) 5.Удалите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</si>
  <si>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GS102 замятие в области датчика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</si>
  <si>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(A) . 4. Опустите прижимную пластину после открытия дверцы Кассеты рециркуляции (A) 5.Удалите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</si>
  <si>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GS105 замятие в области датчика в ходе операции Начало Депозита (Deposit Ready).</t>
  </si>
  <si>
    <t xml:space="preserve">Произошла ошибка оставшихся банкнот в области датчика GS101 в ходе операции Начало Депозита (Deposit Ready).</t>
  </si>
  <si>
    <t xml:space="preserve">Произошла ошибка оставшихся банкнот в области датчика GS102 в ходе операции Начало Депозита (Deposit Ready).</t>
  </si>
  <si>
    <t xml:space="preserve">Не удалось вернуть банкноты в положение датчика GS101 в ходе операции Начало Депозита (Deposit Ready).</t>
  </si>
  <si>
    <t xml:space="preserve">511G100</t>
  </si>
  <si>
    <t xml:space="preserve">511G200</t>
  </si>
  <si>
    <t xml:space="preserve">Не удалось переместить Прижимную Пластину Кассеты Рециркуляции RC1 в укладывающее положение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</si>
  <si>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(A) . 4. Откройте дверцу Кассеты рециркуляции (A) 5. Проверьте работоспособность прижимного механизма перемещая его вверх и вниз 6. Проверьте нижний край правой стороны двери (ключевая часть) в случае отсутствия причин неисправности</t>
  </si>
  <si>
    <t xml:space="preserve">511G400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</si>
  <si>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Начало Депозита (Deposit Ready).</t>
  </si>
  <si>
    <t xml:space="preserve">511G500</t>
  </si>
  <si>
    <t xml:space="preserve">Сбой обратного хода укладывающего ролика Кассеты Рециркуляции RC1 в ходе операции Начало Депозита (Deposit Ready).(ошибка датчика)</t>
  </si>
  <si>
    <t xml:space="preserve">1. Откройте нижнюю часть Модуля Рециркуляции Банкнот . 2. Откройте Средний Транспортный Тракт. 3. Выньте Кассету рециркуляции (A) . 4. Опустите прижимную пластину после открытия дверцы Кассеты рециркуляции (A) 5.Убедитесь, что круглая ручка для устранения замятий вращается свободно</t>
  </si>
  <si>
    <t xml:space="preserve">511G600</t>
  </si>
  <si>
    <t xml:space="preserve">Превышен предел количества попыток перемещений укладывающего ролика Кассеты Рециркуляции RC1 в ходе операции Начало Депозита (Deposit Ready).</t>
  </si>
  <si>
    <t xml:space="preserve">511G800</t>
  </si>
  <si>
    <t xml:space="preserve">Не удалось переместить Прижимную Пластину в прижимающее положение Кассеты Рециркуляции RC1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</si>
  <si>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(A) . 4. Опустите прижимную пластину после открытия дверцы Кассеты рециркуляции (A) 5.Проверьте верхнюю часть Кассеты рециркуляции </t>
  </si>
  <si>
    <t xml:space="preserve">511GA00</t>
  </si>
  <si>
    <t xml:space="preserve">Ошибка сообщения соленоида Кассеты Рециркуляции RC1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</si>
  <si>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(A) . 4. Вставьте Кассету рециркуляции (A) обратно 5. Замените кассету в случае повтрения ошибки</t>
  </si>
  <si>
    <t xml:space="preserve">511GB00</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</si>
  <si>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Deposit Ready.</t>
  </si>
  <si>
    <t xml:space="preserve">1. Откройте нижнюю часть Модуля Рециркуляции Банкнот .2. Откройте Средний Транспортный Тракт.3. Выньте Кассету рециркуляции #1 и откройте её дверцу (A) 4. Удалите замятые банкноты или посторонние предметы с помощью прокручивания роликов в верхней части. 5. Убедитесь, что датчик GS107 работает корректно и отсутствуют замятия.</t>
  </si>
  <si>
    <t xml:space="preserve">511GC00</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</si>
  <si>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Deposit Ready.</t>
  </si>
  <si>
    <t xml:space="preserve">511GJ00</t>
  </si>
  <si>
    <t xml:space="preserve">Сбой обратного хода укладывающего ролика Кассеты Рециркуляции RC1 в ходе операции Начало Депозита (Deposit Ready).(Перерасход)</t>
  </si>
  <si>
    <t xml:space="preserve">511GK00</t>
  </si>
  <si>
    <t xml:space="preserve">Сбой обратного хода укладывающего ролика Кассеты Рециркуляции RC1 в ходе операции Начало Депозита (Deposit Ready). (Ошибка состояния двигателя)</t>
  </si>
  <si>
    <t xml:space="preserve">511GL00</t>
  </si>
  <si>
    <t xml:space="preserve">Не удалось переместить подающий ролик Кассеты Рециркуляции RC1 в исходное положение в ходе операции Начало Депозита (Deposit Ready). (Ошибка состояния двигателя)</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</si>
  <si>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Удалите банкноты и посторонние предметы с помощью круглой ручки для устранения замятий в верхней части 6. Проверьте состояние датчика GS107 на отсутствие банкнот или посторонних предметов</t>
  </si>
  <si>
    <t xml:space="preserve">511J300</t>
  </si>
  <si>
    <t xml:space="preserve">Ошибка проверки переполнения Кассеты Рециркуляции RC1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</si>
  <si>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(A) . 4. Проверьте состояние прижимного механизма после открытия Кассеты рециркуляции (A) 6. Проверьте загрязненность датчика GS112 sensor</t>
  </si>
  <si>
    <t xml:space="preserve">511S100</t>
  </si>
  <si>
    <t xml:space="preserve">Неопределенные возвратные значения Кассеты Рециркуляции RC1 в ходе операции Начало Депозита (Deposit Ready).</t>
  </si>
  <si>
    <t xml:space="preserve">511S200</t>
  </si>
  <si>
    <t xml:space="preserve">Неизвестная команда RC1 в ходе операции Начало Депозита (Deposit Ready).</t>
  </si>
  <si>
    <t xml:space="preserve">GS201 замятие в области датчика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</si>
  <si>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(B) . 4. Опустите прижимную пластину после открытия дверцы Кассеты рециркуляции (B) 5.Удалите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</si>
  <si>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GS202 замятие в области датчика в ходе операции Начало Депозита (Deposit Ready).</t>
  </si>
  <si>
    <t xml:space="preserve">GS205 замятие в области датчика в ходе операции Начало Депозита (Deposit Ready).</t>
  </si>
  <si>
    <t xml:space="preserve">Произошла ошибка оставшихся банкнот в области датчика GS201 в ходе операции Начало Депозита (Deposit Ready).</t>
  </si>
  <si>
    <t xml:space="preserve">Произошла ошибка оставшихся банкнот в области датчика GS202 в ходе операции Начало Депозита (Deposit Ready).</t>
  </si>
  <si>
    <t xml:space="preserve">Произошла ошибка оставшихся банкнот в области датчика GS205 в ходе операции Начало Депозита (Deposit Ready).</t>
  </si>
  <si>
    <t xml:space="preserve">512G100</t>
  </si>
  <si>
    <t xml:space="preserve">Не удалось вернуть банкноты в Кассету Рециркуляции RC2 в ходе операции Начало Депозита (Deposit Ready).</t>
  </si>
  <si>
    <t xml:space="preserve">512G200</t>
  </si>
  <si>
    <t xml:space="preserve">Не удалось переместить Прижимную Пластину Кассеты Рециркуляции RC2 в укладывающее положение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</si>
  <si>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(B) . 4. Откройте дверцу Кассеты рециркуляции (B) 5. Проверьте работоспособность прижимного механизма перемещая его вверх и вниз 6. Проверьте нижний край правой стороны двери (ключевая часть) на повреждения в случае отсутствия причин неисправности</t>
  </si>
  <si>
    <t xml:space="preserve">512G400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</si>
  <si>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Начало Депозита (Deposit Ready).</t>
  </si>
  <si>
    <t xml:space="preserve">512G500</t>
  </si>
  <si>
    <t xml:space="preserve">Сбой обратного хода укладывающего ролика Кассеты Рециркуляции RC2 в ходе операции Начало Депозита (Deposit Ready).(ошибка датчика)</t>
  </si>
  <si>
    <t xml:space="preserve">1. Откройте нижнюю часть Модуля Рециркуляции Банкнот . 2. Откройте Средний Транспортный Тракт. 3. Выньте Кассету рециркуляции (B) . 4. Опустите прижимную пластину после открытия дверцы Кассеты рециркуляции (B) 5.Убедитесь, что круглая ручка для устранения замятий вращается свободно</t>
  </si>
  <si>
    <t xml:space="preserve">512G600</t>
  </si>
  <si>
    <t xml:space="preserve">Превышен предел количества попыток перемещений укладывающего ролика Кассеты Рециркуляции RC2 в ходе операции Начало Депозита (Deposit Ready).</t>
  </si>
  <si>
    <t xml:space="preserve">512G800</t>
  </si>
  <si>
    <t xml:space="preserve">Не удалось переместить Прижимную Пластину в прижимающее положение Кассеты Рециркуляции RC2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</si>
  <si>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(B) . 4. Опустите прижимную пластину после открытия дверцы Кассеты рециркуляции (B) 5.  </t>
  </si>
  <si>
    <t xml:space="preserve">512GA00</t>
  </si>
  <si>
    <t xml:space="preserve">Ошибка сообщения соленоида Кассеты Рециркуляции RC2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</si>
  <si>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(B) . 4. Вставьте Кассету рециркуляции (B) обратно 5. Замените кассету в случае повтрения ошибки</t>
  </si>
  <si>
    <t xml:space="preserve">512GB00</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</si>
  <si>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</si>
  <si>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#2 и откройте её дверцу (B) 4. Удалите замятые банкноты или посторонние предметы с помощью прокручивания роликов в верхней части. 5. Убедитесь, что датчик GS207 работает корректно и отсутствуют замятия.</t>
  </si>
  <si>
    <t xml:space="preserve">512GC00</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</si>
  <si>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Начало Депозита (Deposit Ready).</t>
  </si>
  <si>
    <t xml:space="preserve">512GJ00</t>
  </si>
  <si>
    <t xml:space="preserve">Сбой обратного хода укладывающего ролика Кассеты Рециркуляции RC2 в ходе операции Начало Депозита (Deposit Ready).(Перерасход)</t>
  </si>
  <si>
    <t xml:space="preserve">512GK00</t>
  </si>
  <si>
    <t xml:space="preserve">Сбой обратного хода укладывающего ролика Кассеты Рециркуляции RC2 в ходе операции Начало Депозита (Deposit Ready). (Ошибка состояния двигателя)</t>
  </si>
  <si>
    <t xml:space="preserve">512GL00</t>
  </si>
  <si>
    <t xml:space="preserve">Не удалось переместить подающий ролик Кассеты Рециркуляции RC2 в исходное положение в ходе операции Начало Депозита (Deposit Ready). (Ошибка состояния двигателя)</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</si>
  <si>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Удалите банкноты и посторонние предметы с помощью круглой ручки для устранения замятий в верхней части 6. Проверьте состояние датчика GS207 на отсутствие банкнот или посторонних предметов</t>
  </si>
  <si>
    <t xml:space="preserve">512J300</t>
  </si>
  <si>
    <t xml:space="preserve">Не удалось выполнить полную проверку Кассеты Рециркуляции RC2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</si>
  <si>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(B) . 4. Проверьте состояние прижимного механизма после открытия Кассеты рециркуляции (B) 6. Проверьте загрязненность датчика GS112 sensor</t>
  </si>
  <si>
    <t xml:space="preserve">512S100</t>
  </si>
  <si>
    <t xml:space="preserve">Ошибка тайм-аута сообщения Кассеты Рециркуляции RC2 в ходе готовности к операции Начало Депозита (Deposit Ready).</t>
  </si>
  <si>
    <t xml:space="preserve">512S200</t>
  </si>
  <si>
    <t xml:space="preserve">Ошибка тайм-аута сообщения Кассеты Рециркуляции RC2 при проведении транзакции в ходе операции Начало Депозита (Deposit Ready).</t>
  </si>
  <si>
    <t xml:space="preserve">GS301 замятие в области датчика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</si>
  <si>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(C) . 4. Опустите прижимную пластину после открытия дверцы Кассеты рециркуляции (C) 5.Удалите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</si>
  <si>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GS302 замятие в области датчика в ходе операции Начало Депозита (Deposit Ready).</t>
  </si>
  <si>
    <t xml:space="preserve">GS305 замятие в области датчика в ходе операции Начало Депозита (Deposit Ready).</t>
  </si>
  <si>
    <t xml:space="preserve">Произошла ошибка оставшихся банкнот в области датчика GS301 в ходе операции Начало Депозита (Deposit Ready).</t>
  </si>
  <si>
    <t xml:space="preserve">Произошла ошибка оставшихся банкнот в области датчика GS302 в ходе операции Начало Депозита (Deposit Ready).</t>
  </si>
  <si>
    <t xml:space="preserve">Произошла ошибка оставшихся банкнот в области датчика GS305 в ходе операции Начало Депозита (Deposit Ready).</t>
  </si>
  <si>
    <t xml:space="preserve">513G100</t>
  </si>
  <si>
    <t xml:space="preserve">Не удалось вернуть банкноты в положение датчика GS201 в ходе операции Начало Депозита (Deposit Ready).</t>
  </si>
  <si>
    <t xml:space="preserve">513G200</t>
  </si>
  <si>
    <t xml:space="preserve">Ошибка перемещения Прижимной Пластины Кассеты Рециркуляции RC3 в положение для укладывания банкнот в пачку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</si>
  <si>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(C) . 4. Откройте дверцу Кассеты рециркуляции (C) 5. Проверьте работоспособность прижимного механизма перемещая его вверх и вниз 6. Проверьте нижний край правой стороны двери (ключевая часть) на повреждения в случае отсутствия причин неисправности</t>
  </si>
  <si>
    <t xml:space="preserve">513G400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</si>
  <si>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Начало Депозита (Deposit Ready).</t>
  </si>
  <si>
    <t xml:space="preserve">513G500</t>
  </si>
  <si>
    <t xml:space="preserve">Сбой обратного хода укладывающего ролика Кассеты Рециркуляции RC3 в ходе операции Начало Депозита (Deposit Ready).(ошибка датчика)</t>
  </si>
  <si>
    <t xml:space="preserve">1. Откройте нижнюю часть Модуля Рециркуляции Банкнот . 2. Откройте Средний Транспортный Тракт. 3. Выньте Кассету рециркуляции (C) . 4. Опустите прижимную пластину после открытия дверцы Кассеты рециркуляции (C) 5.Убедитесь, что круглая ручка для устранения замятий вращается свободно</t>
  </si>
  <si>
    <t xml:space="preserve">513G600</t>
  </si>
  <si>
    <t xml:space="preserve">Превышен предел количества попыток перемещений укладывающего ролика Кассеты Рециркуляции RC3 в ходе операции Начало Депозита (Deposit Ready).</t>
  </si>
  <si>
    <t xml:space="preserve">513G800</t>
  </si>
  <si>
    <t xml:space="preserve">Не удалось переместить Прижимную Пластину в прижимающее положение Кассеты Рециркуляции RC3 of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</si>
  <si>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(C) . 4. Опустите прижимную пластину после открытия дверцы Кассеты рециркуляции (C) 5.  </t>
  </si>
  <si>
    <t xml:space="preserve">513GA00</t>
  </si>
  <si>
    <t xml:space="preserve">Ошибка сообщения соленоида Кассеты Рециркуляции RC3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</si>
  <si>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(C) . 4. Вставьте Кассету рециркуляции (C) обратно 5. Замените кассету в случае повтрения ошибки</t>
  </si>
  <si>
    <t xml:space="preserve">513GB00</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</si>
  <si>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</si>
  <si>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#3 и откройте её дверцу (C) 4. Удалите замятые банкноты или посторонние предметы с помощью прокручивания роликов в верхней части. 5. Убедитесь, что датчик GS307 работает корректно и отсутствуют замятия.</t>
  </si>
  <si>
    <t xml:space="preserve">513GC00</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</si>
  <si>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Начало Депозита (Deposit Ready).</t>
  </si>
  <si>
    <t xml:space="preserve">513GJ00</t>
  </si>
  <si>
    <t xml:space="preserve">Сбой обратного хода укладывающего ролика Кассеты Рециркуляции RC3 в ходе операции Начало Депозита (Deposit Ready).(Перерасход)</t>
  </si>
  <si>
    <t xml:space="preserve">513GK00</t>
  </si>
  <si>
    <t xml:space="preserve">Сбой обратного хода укладывающего ролика Кассеты Рециркуляции RC3 в ходе операции Начало Депозита (Deposit Ready). (Ошибка состояния двигателя)</t>
  </si>
  <si>
    <t xml:space="preserve">513GL00</t>
  </si>
  <si>
    <t xml:space="preserve">Не удалось переместить подающий ролик Кассеты Рециркуляции RC3 в исходное положение в ходе операции Начало Депозита (Deposit Ready).(Ошибка состояния двигателя)</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</si>
  <si>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Удалите банкноты и посторонние предметы с помощью круглой ручки для устранения замятий в верхней части 6. Проверьте состояние датчика GS307 на отсутствие банкнот или посторонних предметов</t>
  </si>
  <si>
    <t xml:space="preserve">513J300</t>
  </si>
  <si>
    <t xml:space="preserve">Не удалось выполнить полную проверку Кассеты Рециркуляции RC3 RC3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</si>
  <si>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(C) . 4. Проверьте состояние прижимного механизма после открытия Кассеты рециркуляции (C) 6. Проверьте загрязненность датчика GS312</t>
  </si>
  <si>
    <t xml:space="preserve">513S100</t>
  </si>
  <si>
    <t xml:space="preserve">Неопределенные возвратные значения Кассеты Рециркуляции RC3 в ходе операции Начало Депозита (Deposit Ready).</t>
  </si>
  <si>
    <t xml:space="preserve">513S200</t>
  </si>
  <si>
    <t xml:space="preserve">Неизвестная команда RC3 в ходе операции Начало Депозита (Deposit Ready).</t>
  </si>
  <si>
    <t xml:space="preserve">GS401 замятие в области датчика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</si>
  <si>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(D) . 4. Опустите прижимную пластину после открытия дверцы Кассеты рециркуляции (D) 5.Удалите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</si>
  <si>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GS402 замятие в области датчика в ходе операции Начало Депозита (Deposit Ready).</t>
  </si>
  <si>
    <t xml:space="preserve">GS405 замятие в области датчика в ходе операции Начало Депозита (Deposit Ready).</t>
  </si>
  <si>
    <t xml:space="preserve">Произошла ошибка оставшихся банкнот в области датчика GS401 в ходе операции Начало Депозита (Deposit Ready).</t>
  </si>
  <si>
    <t xml:space="preserve">Произошла ошибка оставшихся банкнот в области датчика GS402 в ходе операции Начало Депозита (Deposit Ready).</t>
  </si>
  <si>
    <t xml:space="preserve">Произошла ошибка оставшихся банкнот в области датчика GS405 в ходе операции Начало Депозита (Deposit Ready).</t>
  </si>
  <si>
    <t xml:space="preserve">514G100</t>
  </si>
  <si>
    <t xml:space="preserve">Не удалось вернуть банкноты в Кассету Рециркуляции RC4 в ходе операции Начало Депозита (Deposit Ready).</t>
  </si>
  <si>
    <t xml:space="preserve">514G200</t>
  </si>
  <si>
    <t xml:space="preserve">Не удалось переместить Прижимную Пластину Кассеты Рециркуляции RC4 в укладывающее положение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</si>
  <si>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(D) . 4. Откройте дверцу Кассеты рециркуляции (D) 5. Проверьте работоспособность прижимного механизма перемещая его вверх и вниз 6. Проверьте нижний край правой стороны двери (ключевая часть) на повреждения в случае отсутствия причин неисправности</t>
  </si>
  <si>
    <t xml:space="preserve">514G400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</si>
  <si>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Начало Депозита (Deposit Ready).</t>
  </si>
  <si>
    <t xml:space="preserve">514G500</t>
  </si>
  <si>
    <t xml:space="preserve">Сбой обратного хода укладывающего ролика Кассеты Рециркуляции RC4 в ходе операции Начало Депозита (Deposit Ready).(ошибка датчика)</t>
  </si>
  <si>
    <t xml:space="preserve">1. Откройте нижнюю часть Модуля Рециркуляции Банкнот . 2. Откройте Средний Транспортный Тракт. 3. Выньте Кассету рециркуляции (D) . 4. Опустите прижимную пластину после открытия дверцы Кассеты рециркуляции (D) 5.Убедитесь, что круглая ручка для устранения замятий вращается свободно</t>
  </si>
  <si>
    <t xml:space="preserve">514G600</t>
  </si>
  <si>
    <t xml:space="preserve">Превышен предел количества попыток перемещений укладывающего ролика Кассеты Рециркуляции RC4 в ходе операции Начало Депозита (Deposit Ready).</t>
  </si>
  <si>
    <t xml:space="preserve">514G800</t>
  </si>
  <si>
    <t xml:space="preserve">Не удалось переместить Прижимную Пластину в прижимающее положение Кассеты Рециркуляции RC4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</si>
  <si>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(D) . 4. Опустите прижимную пластину после открытия дверцы Кассеты рециркуляции (D) 5.  </t>
  </si>
  <si>
    <t xml:space="preserve">514GA00</t>
  </si>
  <si>
    <t xml:space="preserve">Ошибка сообщения соленоида Кассеты Рециркуляции RC4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</si>
  <si>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(D) . 4. Вставьте Кассету рециркуляции (D) обратно 5. Замените кассету в случае повтрения ошибки</t>
  </si>
  <si>
    <t xml:space="preserve">514GB00</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</si>
  <si>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</si>
  <si>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#4 и откройте её дверцу (D) 4. Удалите замятые банкноты или посторонние предметы с помощью прокручивания роликов в верхней части. 5. Убедитесь, что датчик GS407 работает корректно и отсутствуют замятия.</t>
  </si>
  <si>
    <t xml:space="preserve">514GC00</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</si>
  <si>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Начало Депозита (Deposit Ready).</t>
  </si>
  <si>
    <t xml:space="preserve">514GJ00</t>
  </si>
  <si>
    <t xml:space="preserve">Сбой обратного хода укладывающего ролика Кассеты Рециркуляции RC4 в ходе операции Начало Депозита (Deposit Ready).(Перерасход)</t>
  </si>
  <si>
    <t xml:space="preserve">514GK00</t>
  </si>
  <si>
    <t xml:space="preserve">Сбой обратного хода укладывающего ролика Кассеты Рециркуляции RC4 в ходе операции Начало Депозита (Deposit Ready). (Ошибка состояния двигателя)</t>
  </si>
  <si>
    <t xml:space="preserve">514GL00</t>
  </si>
  <si>
    <t xml:space="preserve">Не удалось переместить подающий ролик Кассеты Рециркуляции RC4 в исходное положение в ходе операции Начало Депозита (Deposit Ready).(Ошибка состояния двигателя)</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</si>
  <si>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Удалите банкноты и посторонние предметы с помощью круглой ручки для устранения замятий в верхней части 6. Проверьте состояние датчика GS407 на отсутствие банкнот или посторонних предметов</t>
  </si>
  <si>
    <t xml:space="preserve">514J300</t>
  </si>
  <si>
    <t xml:space="preserve">Не удалось выполнить полную проверку Кассеты Рециркуляции RC4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</si>
  <si>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(D) . 4. Проверьте состояние прижимного механизма после открытия Кассеты рециркуляции (D) 6. Проверьте загрязненность датчика GS412</t>
  </si>
  <si>
    <t xml:space="preserve">514S100</t>
  </si>
  <si>
    <t xml:space="preserve">Возвращено неизвестное значение Кассеты Рециркуляции RC4 в ходе операции Начало Депозита (Deposit Ready).</t>
  </si>
  <si>
    <t xml:space="preserve">514S200</t>
  </si>
  <si>
    <t xml:space="preserve">Неизвестная команда RC4 в ходе операции Начало Депозита (Deposit Ready).</t>
  </si>
  <si>
    <t xml:space="preserve">GS501 замятие в области датчика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</si>
  <si>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(E) . 4. Опустите прижимную пластину после открытия дверцы Кассеты рециркуляции (E) 5.Удалите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</si>
  <si>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GS502 замятие в области датчика в ходе операции Начало Депозита (Deposit Ready).</t>
  </si>
  <si>
    <t xml:space="preserve">GS505 замятие в области датчика в ходе операции Начало Депозита (Deposit Ready).</t>
  </si>
  <si>
    <t xml:space="preserve">Произошла ошибка оставшихся банкнот в области датчика GS501 в ходе операции Начало Депозита (Deposit Ready).</t>
  </si>
  <si>
    <t xml:space="preserve">Произошла ошибка оставшихся банкнот в области датчика GS502 в ходе операции Начало Депозита (Deposit Ready).</t>
  </si>
  <si>
    <t xml:space="preserve">Произошла ошибка оставшихся банкнот в области датчика GS505 в ходе операции Начало Депозита (Deposit Ready).</t>
  </si>
  <si>
    <t xml:space="preserve">515G100</t>
  </si>
  <si>
    <t xml:space="preserve">Не удалось вернуть банкноты в положение датчика GS501 в ходе операции Начало Депозита (Deposit Ready).</t>
  </si>
  <si>
    <t xml:space="preserve">515G200</t>
  </si>
  <si>
    <t xml:space="preserve">1. Откройте нижнюю часть Модуля Рециркуляции Банкнот . 2. Откройте Средний Транспортный Тракт. 3. Выньте Кассету рециркуляции (E) . 4. Откройте дверцу Кассеты рециркуляции (E) 5. Проверьте работоспособность прижимного механизма перемещая его вверх и вниз 6. Проверьте нижний край правой стороны двери (ключевая часть) на повреждения в случае отсутствия причин неисправности</t>
  </si>
  <si>
    <t xml:space="preserve">515G400</t>
  </si>
  <si>
    <t xml:space="preserve">515G500</t>
  </si>
  <si>
    <t xml:space="preserve">Сбой обратного хода укладывающего ролика Кассеты Рециркуляции RC5 в ходе операции Начало Депозита (Deposit Ready).(ошибка датчика)</t>
  </si>
  <si>
    <t xml:space="preserve">1. Откройте нижнюю часть Модуля Рециркуляции Банкнот . 2. Откройте Средний Транспортный Тракт. 3. Выньте Кассету рециркуляции (E) . 4. Опустите прижимную пластину после открытия дверцы Кассеты рециркуляции (E) 5.Убедитесь, что круглая ручка для устранения замятий вращается свободно</t>
  </si>
  <si>
    <t xml:space="preserve">515G600</t>
  </si>
  <si>
    <t xml:space="preserve">Превышен предел количества попыток перемещений укладывающего ролика Кассеты Рециркуляции RC5 в ходе операции Начало Депозита (Deposit Ready).</t>
  </si>
  <si>
    <t xml:space="preserve">515G800</t>
  </si>
  <si>
    <t xml:space="preserve">Не удалось переместить Прижимную Пластину в прижимающее положение Кассеты Рециркуляции RC5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</si>
  <si>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(E) . 4. Опустите прижимную пластину после открытия дверцы Кассеты рециркуляции (E) 5.  </t>
  </si>
  <si>
    <t xml:space="preserve">515GA00</t>
  </si>
  <si>
    <t xml:space="preserve">Ошибка сообщения соленоида Кассеты Рециркуляции RC5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</si>
  <si>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(E) . 4. Вставьте Кассету рециркуляции (E) обратно 5. Замените кассету в случае повтрения ошибки</t>
  </si>
  <si>
    <t xml:space="preserve">515GB00</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</si>
  <si>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</si>
  <si>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#5 и откройте её дверцу (E) 4. Удалите замятые банкноты или посторонние предметы с помощью прокручивания роликов в верхней части. 5. Убедитесь, что датчик GS507 работает корректно и отсутствуют замятия.</t>
  </si>
  <si>
    <t xml:space="preserve">515GC00</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</si>
  <si>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Начало Депозита (Deposit Ready).</t>
  </si>
  <si>
    <t xml:space="preserve">515GJ00</t>
  </si>
  <si>
    <t xml:space="preserve">Сбой обратного хода укладывающего ролика Кассеты Рециркуляции RC5 в ходе операции Начало Депозита (Deposit Ready).(Перерасход)</t>
  </si>
  <si>
    <t xml:space="preserve">515GK00</t>
  </si>
  <si>
    <t xml:space="preserve">Сбой обратного хода укладывающего ролика Кассеты Рециркуляции RC5 в ходе операции Начало Депозита (Deposit Ready). (Ошибка состояния двигателя)</t>
  </si>
  <si>
    <t xml:space="preserve">515GL00</t>
  </si>
  <si>
    <t xml:space="preserve">Не удалось переместить подающий ролик Кассеты Рециркуляции RC5 в исходное положение в ходе операции Начало Депозита (Deposit Ready).(Ошибка состояния двигателя)</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</si>
  <si>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Удалите банкноты и посторонние предметы с помощью круглой ручки для устранения замятий в верхней части 6. Проверьте состояние датчика GS507 на отсутствие банкнот или посторонних предметов</t>
  </si>
  <si>
    <t xml:space="preserve">515J300</t>
  </si>
  <si>
    <t xml:space="preserve">Ошибка проверки переполнения Кассеты Рециркуляции RC5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</si>
  <si>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(E) . 4. Проверьте состояние прижимного механизма после открытия Кассеты рециркуляции (E) 6. Проверьте загрязненность датчика GS512 sensor</t>
  </si>
  <si>
    <t xml:space="preserve">515S100</t>
  </si>
  <si>
    <t xml:space="preserve">Неопределенные возвратные значения Кассеты Рециркуляции RC5 в ходе операции Начало Депозита (Deposit Ready).</t>
  </si>
  <si>
    <t xml:space="preserve">515S200</t>
  </si>
  <si>
    <t xml:space="preserve">Неизвестная команда RC5 в ходе операции Начало Депозита (Deposit Ready).</t>
  </si>
  <si>
    <t xml:space="preserve">Произошла ошибка оставшихся банкнот в Модуле обслуживания клиентов CSM в ходе операции Начало Депозита (Deposit Ready).</t>
  </si>
  <si>
    <t xml:space="preserve">1. Откройте верхнюю часть Модуля Рециркуляции Банкнот. 2. Откройте Модуль обслуживания клиентов (CSM) 3.Удалите банкноты и посторонние предметы из Модуля обслуживания клиентов CSM(1) 4. В случае отсутствия банкнот или посторонних предметов проверьте не загрязнен ли датчик </t>
  </si>
  <si>
    <t xml:space="preserve">Неизвестная ошибка Модуля обслуживания клиентов (CSM) в ходе операции Начало Депозита (Deposit Ready).</t>
  </si>
  <si>
    <t xml:space="preserve">516G100</t>
  </si>
  <si>
    <t xml:space="preserve">Ошибка перемещения Задней Прижимной Пластины BP в положение для укладки в ходе операции Начало Депозита (Deposit Ready).</t>
  </si>
  <si>
    <t xml:space="preserve">1. Откройте верхнюю часть Модуля Рециркуляции Банкнот. 2. Откройте шторку (1) Модуля обслуживания клиентов CSM 3. Удалите банкноты и посторонние предметы из Модуля обслуживания клиентов CSM</t>
  </si>
  <si>
    <t xml:space="preserve">516G200</t>
  </si>
  <si>
    <t xml:space="preserve">Ошибка выдачи банкнот Задней прижимной пластины BP в ходе операции Начало Депозита (Deposit Ready).</t>
  </si>
  <si>
    <t xml:space="preserve">516G300</t>
  </si>
  <si>
    <t xml:space="preserve">Ошибка перемещения Задней прижимной пластины BP в положение для разделения банкнот в ходе операции Начало Депозита (Deposit Ready).</t>
  </si>
  <si>
    <t xml:space="preserve">1. Откройте верхнюю часть Модуля Рециркуляции Банкнот. 2. Откройте шторку (1) Модуля обслуживания клиентов CSM 3. Удалите банкноты и посторонние предметы из Модуля обслуживания клиентов CSM </t>
  </si>
  <si>
    <t xml:space="preserve">516G400</t>
  </si>
  <si>
    <t xml:space="preserve">Ошибка контроля разделения банкнот Задней прижимной пластины BP в ходе операции Начало Депозита (Deposit Ready).</t>
  </si>
  <si>
    <t xml:space="preserve">516G500</t>
  </si>
  <si>
    <t xml:space="preserve">516G600</t>
  </si>
  <si>
    <t xml:space="preserve">Не удалось переместить слистывающий ролик в исходное положение в ходе операции Начало Депозита (Deposit Ready).</t>
  </si>
  <si>
    <t xml:space="preserve">1. Откройте верхнюю часть Модуля Рециркуляции Банкнот. 2. Проверьте, что круглая ручка Модуля обслуживания клиентов CSM вращается свободно (2) </t>
  </si>
  <si>
    <t xml:space="preserve">516G800</t>
  </si>
  <si>
    <t xml:space="preserve">Не удалось вернуть банкноты в ходе операции Начало Депозита (Deposit Ready) (Двигатель сепаратора работает с ошибками).</t>
  </si>
  <si>
    <t xml:space="preserve">1. Откройте верхнюю часть Модуля Рециркуляции Банкнот 2. Удалите банкноты и посторонние предметы из Модуля обслуживания клиентов CSM (2) 3. Проверьте, что круглая ручка Модуля обслуживания клиентов CSM вращается свободно (2) 4. Проверьте состояние датчика GS660</t>
  </si>
  <si>
    <t xml:space="preserve">516GA00</t>
  </si>
  <si>
    <t xml:space="preserve">Не удалось переместить укладывающий ролик в положение Выдача(укладка) в ходе операции Начало Депозита (Deposit Ready)Stack roller (GM605 работает с ошибками).</t>
  </si>
  <si>
    <t xml:space="preserve">1. Откройте верхнюю часть Модуля Рециркуляции Банкнот. 2. Убедитесь, что круглая ручка Модуля обслуживания клиентов CSM (3) вращается свободно</t>
  </si>
  <si>
    <t xml:space="preserve">516GB00</t>
  </si>
  <si>
    <t xml:space="preserve">Не удалось переместить укладывающий ролик в положение для Депозита (укладка) в ходе операции Начало Депозита (Deposit Ready) (GM605 работает с ошибками).</t>
  </si>
  <si>
    <t xml:space="preserve">516GC00</t>
  </si>
  <si>
    <t xml:space="preserve">Сбой управления укладывающего ролика в ходе операции Начало Депозита (Deposit Ready) (GM605 работает с ошибками).</t>
  </si>
  <si>
    <t xml:space="preserve">516GD00</t>
  </si>
  <si>
    <t xml:space="preserve">Не удалось выполнить Поднимание (Lift-up) в ходе операции Начало Депозита (Deposit Ready).</t>
  </si>
  <si>
    <t xml:space="preserve">516GE00</t>
  </si>
  <si>
    <t xml:space="preserve">Не удалось выполнить Опускание (Lift-down) в ходе операции Начало Депозита (Deposit Ready).</t>
  </si>
  <si>
    <t xml:space="preserve">516GF00</t>
  </si>
  <si>
    <t xml:space="preserve">Не удалось переместить ролик затвора в исходное положение в ходе операции Начало Депозита (Deposit Ready).</t>
  </si>
  <si>
    <t xml:space="preserve">516P100</t>
  </si>
  <si>
    <t xml:space="preserve">Ошибка перемещения Прижимной Пластины PP в положение Выдача (укладка) в ходе операции Начало Депозита (Deposit Ready).</t>
  </si>
  <si>
    <t xml:space="preserve">1. Откройте верхнюю часть Модуля Рециркуляции Банкнот. 2. Убедитесь, что Прижимная пластина вращается свободно с помощью круглой ручки Модуля обслуживания клиентов CSM  (1) </t>
  </si>
  <si>
    <t xml:space="preserve">516P200</t>
  </si>
  <si>
    <t xml:space="preserve">Ошибка перемещения Прижимной Пластины в положение депозита в ходе операции Начало Депозита (Deposit Ready).</t>
  </si>
  <si>
    <t xml:space="preserve">516P300</t>
  </si>
  <si>
    <t xml:space="preserve">Ошибка перемещения Прижимной Пластины PP в положение разделения в ходе операции Начало Депозита (Deposit Ready).</t>
  </si>
  <si>
    <t xml:space="preserve">516P400</t>
  </si>
  <si>
    <t xml:space="preserve">Ошибка перемещения Прижимной Пластины PP в положение lose return в ходе операции Начало Депозита (Deposit Ready).</t>
  </si>
  <si>
    <t xml:space="preserve">516P500</t>
  </si>
  <si>
    <t xml:space="preserve">Ошибка выдачи банкнот Прижимной Пластины PP в ходе операции Начало Депозита (Deposit Ready).</t>
  </si>
  <si>
    <t xml:space="preserve">516P600</t>
  </si>
  <si>
    <t xml:space="preserve">Ошибка выравнивания банкнот Прижимной Пластины PP в ходе операции Начало Депозита (Deposit Ready).</t>
  </si>
  <si>
    <t xml:space="preserve">516P700</t>
  </si>
  <si>
    <t xml:space="preserve">Ошибка контроля разделения (во время сепарации) Прижимной Пластины PP в ходе операции Начало Депозита (Deposit Ready).</t>
  </si>
  <si>
    <t xml:space="preserve">516P800</t>
  </si>
  <si>
    <t xml:space="preserve">Ошибка контроля укладки (во время укладывания) Прижимной Пластины PP в ходе операции Начало Депозита (Deposit Ready).</t>
  </si>
  <si>
    <t xml:space="preserve">516P900</t>
  </si>
  <si>
    <t xml:space="preserve">Ошибка возврата банкнот в ходе операции Начало Депозита (Deposit Ready).</t>
  </si>
  <si>
    <t xml:space="preserve">1. Откройте верхнюю часть Модуля Рециркуляции Банкнот.  2. Удалите банкноты и посторонние предметы из Модуля обслуживания клиентов CSM (2) 3. Проверьте, что круглая ручка Модуля обслуживания клиентов CSM вращается свободно (2) 4. Проверьте загрязненность датчика в Модуле обслуживания клиентов CSM (2) </t>
  </si>
  <si>
    <t xml:space="preserve">516PA00</t>
  </si>
  <si>
    <t xml:space="preserve">Ошибка ready stop Прижимной Пластины PP в ходе операции Начало Депозита (Deposit Ready).</t>
  </si>
  <si>
    <t xml:space="preserve">516R100</t>
  </si>
  <si>
    <t xml:space="preserve">Модуль обслуживания клиентов CSM вернул ошибку таймаута сообщения в ходе готовности к операции Начало Депозита (Deposit Ready).</t>
  </si>
  <si>
    <t xml:space="preserve">516R200</t>
  </si>
  <si>
    <t xml:space="preserve">Модуль обслуживания клиентов CSM вернул ошибку таймаута сообщения при проведении транзакции в ходе операции Начало Депозита (Deposit Ready).</t>
  </si>
  <si>
    <t xml:space="preserve">516R300</t>
  </si>
  <si>
    <t xml:space="preserve">Модуль обслуживания клиентов CSM вернул ошибку таймаута сообщения в ходе постпроцессинга ошибки операции Начало Депозита (Deposit Ready Error).</t>
  </si>
  <si>
    <t xml:space="preserve">516RJ00</t>
  </si>
  <si>
    <t xml:space="preserve">Модуль обслуживания клиентов CSM вернул ошибку таймаута сообщения в ходе операции Начало Остановки (Stop Ready) in the Edposit Ready.</t>
  </si>
  <si>
    <t xml:space="preserve">GS703 замятие в области датчика по Темному типу в ходе операции Начало Депозита (Deposit Ready).</t>
  </si>
  <si>
    <t xml:space="preserve">Произошла ошибка оставшихся банкнот в области датчика GS701 в ходе операции Начало Депозита (Deposit Ready).</t>
  </si>
  <si>
    <t xml:space="preserve">Произошла ошибка оставшихся банкнот в области датчика GS702 в ходе операции Начало Депозита (Deposit Ready).</t>
  </si>
  <si>
    <t xml:space="preserve">Произошла ошибка оставшихся банкнот в области датчика GS709 в ходе операции Начало Депозита (Deposit Ready).</t>
  </si>
  <si>
    <t xml:space="preserve">517G100</t>
  </si>
  <si>
    <t xml:space="preserve">Нарушение движения двигателя в сторону укладки в ходе операции Начало Депозита (Deposit Ready).</t>
  </si>
  <si>
    <t xml:space="preserve">1. Откройте верхнюю часть Модуля Рециркуляции Банкнот 2. Убедитесь, что круглая ручка Модуля временного хранения_TE (12) вращается свободно</t>
  </si>
  <si>
    <t xml:space="preserve">517G200</t>
  </si>
  <si>
    <t xml:space="preserve">Нарушение движения двигателя в сторону разделения в ходе операции Deosit Receipt.</t>
  </si>
  <si>
    <t xml:space="preserve">517G300</t>
  </si>
  <si>
    <t xml:space="preserve">Нарушение остановки двигателя в ходе операции Начало Депозита (Deposit Ready).</t>
  </si>
  <si>
    <t xml:space="preserve">517G400</t>
  </si>
  <si>
    <t xml:space="preserve">Не обнаружен передний конец ленты в ходе операции Начало Депозита (Deposit Ready).</t>
  </si>
  <si>
    <t xml:space="preserve">1.Откройте верхнюю часть Модуля Рециркуляции Банкнот 2. Проверьте не осталось ли банкнот в Модуле временного хранения_TE (12) 3. Убедитесь, что переднее окончание ленты имеет черный цвет в модуле временного хранения_TE (12) 4. Удалите банкноты из Модуля временного хранения_TE</t>
  </si>
  <si>
    <t xml:space="preserve">517G500</t>
  </si>
  <si>
    <t xml:space="preserve">Обнаружен передний конец ленты в ходе операции Начало Депозита (Deposit Ready).</t>
  </si>
  <si>
    <t xml:space="preserve">517G700</t>
  </si>
  <si>
    <t xml:space="preserve">Обнаружен задний конец ленты в ходе операции Начало Депозита (Deposit Ready).</t>
  </si>
  <si>
    <t xml:space="preserve">1.Откройте верхнюю часть Модуля Рециркуляции Банкнот 2. Проверьте не осталось ли банкнот в Модуле временного хранения_TE (12) 3. Проверьте намотку черной ленты на барабан в Модуле временного хранения_TE (12) 4. Удалите банкноты из Модуля временного хранения_TE</t>
  </si>
  <si>
    <t xml:space="preserve">517J100</t>
  </si>
  <si>
    <t xml:space="preserve">Полный барабан TE в ходе операции Начало Депозита (Deposit Ready).</t>
  </si>
  <si>
    <t xml:space="preserve">1. Откройте верхнюю часть Модуля Рециркуляции Банкнот 2. Проверьте не осталось ли банкнот в Модуле временного хранения_TE (12) 3. Удалите банкноты из Модуля временного хранения_TE</t>
  </si>
  <si>
    <t xml:space="preserve">517R100</t>
  </si>
  <si>
    <t xml:space="preserve">Модуль временного хранения_TE вернул ошибку таймаута сообщения в ходе готовности к операцииDeposit Ready.</t>
  </si>
  <si>
    <t xml:space="preserve">517R200</t>
  </si>
  <si>
    <t xml:space="preserve">Модуль временного хранения_TE вернул ошибку таймаута сообщения при проведении транзакции в ходе операции Начало Депозита (Deposit Ready).</t>
  </si>
  <si>
    <t xml:space="preserve">517R300</t>
  </si>
  <si>
    <t xml:space="preserve">Модуль временного хранения_TE вернул ошибку таймаута сообщения в ходе постпроцессинга ошибки операции Начало Депозита (Deposit Ready Error).</t>
  </si>
  <si>
    <t xml:space="preserve">517RJ00</t>
  </si>
  <si>
    <t xml:space="preserve">Модуль временного хранения_TE вернул ошибку таймаута сообщения в ходе операции Начало Депозита (Deposit Ready).</t>
  </si>
  <si>
    <t xml:space="preserve">518HA01</t>
  </si>
  <si>
    <t xml:space="preserve">Ошибка датчика GS801A в ходе операции Начало Депозита (Deposit Ready).</t>
  </si>
  <si>
    <t xml:space="preserve">1. Проверьте датчик GS801A2. Выполните инициализацию Модуля Рециркуляции Банкнот BRM (Восстановление)</t>
  </si>
  <si>
    <t xml:space="preserve">518HA02</t>
  </si>
  <si>
    <t xml:space="preserve">Ошибка датчика GS801B в ходе операции Начало Депозита (Deposit Ready).</t>
  </si>
  <si>
    <t xml:space="preserve">1. Проверьте датчик GS801B 2. Выполните инициализацию Модуля Рециркуляции Банкнот BRM (Восстановление)</t>
  </si>
  <si>
    <t xml:space="preserve">518HA03</t>
  </si>
  <si>
    <t xml:space="preserve">Ошибка датчиков GS801A, GS801B в ходе операции Начало Депозита (Deposit Ready).</t>
  </si>
  <si>
    <t xml:space="preserve">1. Проверьте датчик GS801A, GS801B 2. Выполните инициализацию Модуля Рециркуляции Банкнот BRM (Восстановление)</t>
  </si>
  <si>
    <t xml:space="preserve">518HA04</t>
  </si>
  <si>
    <t xml:space="preserve">Ошибка датчика GS802A в ходе операции Начало Депозита (Deposit Ready).</t>
  </si>
  <si>
    <t xml:space="preserve">1. Проверьте датчик GS802A 2. Выполните инициализацию Модуля Рециркуляции Банкнот BRM (Восстановление)</t>
  </si>
  <si>
    <t xml:space="preserve">518HA05</t>
  </si>
  <si>
    <t xml:space="preserve">Ошибка датчиков GS801A, GS802A в ходе операции Начало Депозита (Deposit Ready).</t>
  </si>
  <si>
    <t xml:space="preserve">1. Проверьте датчик GS801A, GS802A 2. Выполните инициализацию Модуля Рециркуляции Банкнот BRM (Восстановление)</t>
  </si>
  <si>
    <t xml:space="preserve">518HA06</t>
  </si>
  <si>
    <t xml:space="preserve">Ошибка датчиков GS801B, GS802A в ходе операции Начало Депозита (Deposit Ready).</t>
  </si>
  <si>
    <t xml:space="preserve">1. Проверьте датчик GS801B, GS802A 2. Выполните инициализацию Модуля Рециркуляции Банкнот BRM (Восстановление)</t>
  </si>
  <si>
    <t xml:space="preserve">518HA07</t>
  </si>
  <si>
    <t xml:space="preserve">Ошибка датчиков GS801A, GS801B, GS802A в ходе операции Начало Депозита (Deposit Ready).</t>
  </si>
  <si>
    <t xml:space="preserve">1. Проверьте датчик GS801A, GS801B, GS802A 2. Выполните инициализацию Модуля Рециркуляции Банкнот BRM (Восстановление)</t>
  </si>
  <si>
    <t xml:space="preserve">518HA08</t>
  </si>
  <si>
    <t xml:space="preserve">Ошибка датчика GS802B в ходе операции Начало Депозита (Deposit Ready).</t>
  </si>
  <si>
    <t xml:space="preserve">1. Проверьте датчик GS802B 2. Выполните инициализацию Модуля Рециркуляции Банкнот BRM (Восстановление)</t>
  </si>
  <si>
    <t xml:space="preserve">518HA09</t>
  </si>
  <si>
    <t xml:space="preserve">Ошибка датчиков GS801A, GS802B в ходе операции Начало Депозита (Deposit Ready).</t>
  </si>
  <si>
    <t xml:space="preserve">1. Проверьте датчик GS801A, GS802B 2. Выполните инициализацию Модуля Рециркуляции Банкнот BRM (Восстановление)</t>
  </si>
  <si>
    <t xml:space="preserve">518HA10</t>
  </si>
  <si>
    <t xml:space="preserve">Ошибка датчиков GS801B, GS802B в ходе операции Начало Депозита (Deposit Ready).</t>
  </si>
  <si>
    <t xml:space="preserve">1. Проверьте датчик GS801B, GS802B 2. Выполните инициализацию Модуля Рециркуляции Банкнот BRM (Восстановление)</t>
  </si>
  <si>
    <t xml:space="preserve">518HA11</t>
  </si>
  <si>
    <t xml:space="preserve">Ошибка датчиков GS801A, GS801B, GS802B в ходе операции Начало Депозита (Deposit Ready).</t>
  </si>
  <si>
    <t xml:space="preserve">1. Проверьте датчик GS801A, GS801B, GS802B 2. Выполните инициализацию Модуля Рециркуляции Банкнот BRM (Восстановление)</t>
  </si>
  <si>
    <t xml:space="preserve">518HA12</t>
  </si>
  <si>
    <t xml:space="preserve">Ошибка датчиков GS802A, GS802B в ходе операции Начало Депозита (Deposit Ready).</t>
  </si>
  <si>
    <t xml:space="preserve">1. Проверьте датчик GS802A, GS802B 2. Выполните инициализацию Модуля Рециркуляции Банкнот BRM (Восстановление)</t>
  </si>
  <si>
    <t xml:space="preserve">518HA13</t>
  </si>
  <si>
    <t xml:space="preserve">Ошибка датчиков GS801A, GS802A, GS802B в ходе операции Начало Депозита (Deposit Ready).</t>
  </si>
  <si>
    <t xml:space="preserve">1. Проверьте датчик GS801A, GS802A, GS802B 2. Выполните инициализацию Модуля Рециркуляции Банкнот BRM (Восстановление)</t>
  </si>
  <si>
    <t xml:space="preserve">518HA14</t>
  </si>
  <si>
    <t xml:space="preserve">Ошибка датчиков GS801B, GS802A, GS802B в ходе операции Начало Депозита (Deposit Ready).</t>
  </si>
  <si>
    <t xml:space="preserve">1. Проверьте датчик GS801B, GS802A, GS802B 2. Выполните инициализацию Модуля Рециркуляции Банкнот BRM (Восстановление)</t>
  </si>
  <si>
    <t xml:space="preserve">518HA15</t>
  </si>
  <si>
    <t xml:space="preserve">Ошибка датчиков GS801A, GS801B, GS802A, GS802B в ходе операции Начало Депозита (Deposit Ready).</t>
  </si>
  <si>
    <t xml:space="preserve">1. Проверьте датчик GS801A, GS801B, GS802A, GS802B 2. Выполните инициализацию Модуля Рециркуляции Банкнот BRM (Восстановление)</t>
  </si>
  <si>
    <t xml:space="preserve">518HF03</t>
  </si>
  <si>
    <t xml:space="preserve">Ошибка загрузки данных шейдинга Контактного датчика изображения CIS в ходе операции Начало Депозита (Deposit Ready).</t>
  </si>
  <si>
    <t xml:space="preserve">1. Выполните шейдинг контактного датчика изображения CIS Модуля Валидатора банкнот BC 2. Выполните инициализацию Модуля Рециркуляции Банкнот BRM (Восстановление)</t>
  </si>
  <si>
    <t xml:space="preserve">518HF04</t>
  </si>
  <si>
    <t xml:space="preserve">Ошибка загрузки таблицы БД распознавания в ходе операции Начало Депозита (Deposit Ready).</t>
  </si>
  <si>
    <t xml:space="preserve">1. Загрузите Базу Данных DB повторно после удаления всех Баз Данных распознавания 2. Выполните инициализацию Модуля Рециркуляции Банкнот BRM (Восстановление)</t>
  </si>
  <si>
    <t xml:space="preserve">518HF05</t>
  </si>
  <si>
    <t xml:space="preserve">Ошибка контрольной суммы данных ПЛИС Модуля Валидатора банкнот BC в ходе операции Начало Депозита (Deposit Ready)..</t>
  </si>
  <si>
    <t xml:space="preserve">1. Проверьте FPGA-файл Модуля Валидатора банкнот BC 2. Выполните инициализацию Модуля Рециркуляции Банкнот BRM (Восстановление)</t>
  </si>
  <si>
    <t xml:space="preserve">518HF06</t>
  </si>
  <si>
    <t xml:space="preserve">Ошибка конфигурации ПЛИС Модуля Валидатора банкнот BC в ходе операции Начало Депозита (Deposit Ready)..</t>
  </si>
  <si>
    <t xml:space="preserve">1. Загрузите FPGA Модуля Валидатора банкнот BC повторно 2. Замените плату контроллера Модуля Валидатора банкнот BC в случае повторяющейся ошибки.</t>
  </si>
  <si>
    <t xml:space="preserve">518HF07</t>
  </si>
  <si>
    <t xml:space="preserve">Ошибка загрузки данных заголовка ПЛИС Модуля Валидатора банкнот BC header в ходе операции Начало Депозита (Deposit Ready)..</t>
  </si>
  <si>
    <t xml:space="preserve">518HF08</t>
  </si>
  <si>
    <t xml:space="preserve">Ошибка инициализации ПЛИС в ходе операции Начало Депозита (Deposit Ready)..</t>
  </si>
  <si>
    <t xml:space="preserve">518HF09</t>
  </si>
  <si>
    <t xml:space="preserve">Ошибка чтения ПЛИС в ходе операции Начало Депозита (Deposit Ready)..</t>
  </si>
  <si>
    <t xml:space="preserve">518HF11</t>
  </si>
  <si>
    <t xml:space="preserve">Ошибка загрузки Базы Данных распознавания #01 в ходе операции Начало Депозита (Deposit Ready).</t>
  </si>
  <si>
    <t xml:space="preserve">518HF12</t>
  </si>
  <si>
    <t xml:space="preserve">Ошибка загрузки Базы Данных распознавания #02 в ходе операции Начало Депозита (Deposit Ready).</t>
  </si>
  <si>
    <t xml:space="preserve">518HF13</t>
  </si>
  <si>
    <t xml:space="preserve">Ошибка загрузки Базы Данных распознавания #03 в ходе операции Начало Депозита (Deposit Ready).</t>
  </si>
  <si>
    <t xml:space="preserve">518HF14</t>
  </si>
  <si>
    <t xml:space="preserve">Ошибка загрузки Базы Данных распознавания #04 в ходе операции Начало Депозита (Deposit Ready).</t>
  </si>
  <si>
    <t xml:space="preserve">518HF15</t>
  </si>
  <si>
    <t xml:space="preserve">Ошибка загрузки Базы Данных распознавания #05 в ходе операции Начало Депозита (Deposit Ready).</t>
  </si>
  <si>
    <t xml:space="preserve">518HF16</t>
  </si>
  <si>
    <t xml:space="preserve">Ошибка загрузки Базы Данных распознавания #06 в ходе операции Начало Депозита (Deposit Ready).</t>
  </si>
  <si>
    <t xml:space="preserve">518HF17</t>
  </si>
  <si>
    <t xml:space="preserve">Ошибка загрузки Базы Данных распознавания #07 в ходе операции Начало Депозита (Deposit Ready).</t>
  </si>
  <si>
    <t xml:space="preserve">518HF18</t>
  </si>
  <si>
    <t xml:space="preserve">Ошибка загрузки Базы Данных распознавания #08 в ходе операции Начало Депозита (Deposit Ready).</t>
  </si>
  <si>
    <t xml:space="preserve">518HF19</t>
  </si>
  <si>
    <t xml:space="preserve">Ошибка загрузки Базы Данных распознавания #09 в ходе операции Начало Депозита (Deposit Ready).</t>
  </si>
  <si>
    <t xml:space="preserve">518HF20</t>
  </si>
  <si>
    <t xml:space="preserve">Ошибка загрузки Базы Данных распознавания #10 в ходе операции Начало Депозита (Deposit Ready).</t>
  </si>
  <si>
    <t xml:space="preserve">518HG01</t>
  </si>
  <si>
    <t xml:space="preserve">Ошибка установки режима при выполнении команды BCU mode в ходе операции Начало Депозита (Deposit Ready).</t>
  </si>
  <si>
    <t xml:space="preserve">1. Выполните инициализацию Модуля Рециркуляции Банкнот BRM (Восстановление) 2. Перезагрузите банкомат в случае повторения ошибки после инициализации</t>
  </si>
  <si>
    <t xml:space="preserve">518HG02</t>
  </si>
  <si>
    <t xml:space="preserve">Ошибка установленного уровня распознавания при выполнении команды BCU mode в ходе операции Начало Депозита (Deposit Ready).</t>
  </si>
  <si>
    <t xml:space="preserve">518HG03</t>
  </si>
  <si>
    <t xml:space="preserve">Ошибка установки начала транзакции при выполнении команды BCU ready в ходе операции Начало Депозита (Deposit Ready).</t>
  </si>
  <si>
    <t xml:space="preserve">518HG04</t>
  </si>
  <si>
    <t xml:space="preserve">Ошибка установки режима при выполнении команды BCU ready в ходе операции Начало Депозита (Deposit Ready).</t>
  </si>
  <si>
    <t xml:space="preserve">518HG05</t>
  </si>
  <si>
    <t xml:space="preserve">Ошибка установленного уровня распознавания при выполнении команды BCU ready в ходе операции Начало Депозита (Deposit Ready).</t>
  </si>
  <si>
    <t xml:space="preserve">518HG06</t>
  </si>
  <si>
    <t xml:space="preserve">Ошибка направления внесения Модуля Валидатора банкнот BC при выполнении команды BCU ready в ходе операции Начало Депозита (Deposit Ready).</t>
  </si>
  <si>
    <t xml:space="preserve">518HG07</t>
  </si>
  <si>
    <t xml:space="preserve">Ошибка получения неопределенной команды Модуля Валидатора банкнот BCU в ходе операции Начало Депозита (Deposit Ready).</t>
  </si>
  <si>
    <t xml:space="preserve">518HG08</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</si>
  <si>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Начало Депозита (Deposit Ready).</t>
  </si>
  <si>
    <t xml:space="preserve">1. Проверьте настройки страны 2. Выполните инициализацию Модуля Рециркуляции Банкнот BRM (Восстановление) 3. Перезагрузите банкомат в случае повторения ошибки после инициализации</t>
  </si>
  <si>
    <t xml:space="preserve">518HG09</t>
  </si>
  <si>
    <t xml:space="preserve">Ошибка настройки кода страны при выполнении команды записи данных в Модуль Валидатора банкнот BCUв ходе операции Начало Депозита (Deposit Ready).</t>
  </si>
  <si>
    <t xml:space="preserve">518HG10</t>
  </si>
  <si>
    <t xml:space="preserve">Ошибка отсутствия БД распознавания для страны в процессе получения команды BCU data write в ходе операции Начало Депозита (Deposit Ready).</t>
  </si>
  <si>
    <t xml:space="preserve">1. Проверьте настройки страны 2. Загрузите Базу Данных DB повторно после удаления всех Баз Данных распознавания 3. Выполните инициализацию Модуля Рециркуляции Банкнот BRM (Восстановление) 4. Перезагрузите банкомат в случае повторения ошибки после инициализации</t>
  </si>
  <si>
    <t xml:space="preserve">518HG11</t>
  </si>
  <si>
    <t xml:space="preserve">Не установлен код страны при получении команды BCU ready в ходе операции Начало Депозита (Deposit Ready).</t>
  </si>
  <si>
    <t xml:space="preserve">518HG12</t>
  </si>
  <si>
    <t xml:space="preserve">Спецификация Модуля Валидатора банкнот BC отличается от параметра команды записи данных в ходе операции Начало Депозита (Deposit Ready)..</t>
  </si>
  <si>
    <t xml:space="preserve">1. Проверьте спецификации Модуля Валидатора банкнот BC.2. Выполните инициализацию Модуля Рециркуляции Банкнот BRM (Восстановление) 3. Перезагрузите банкомат в случае повторения ошибки после инициализации</t>
  </si>
  <si>
    <t xml:space="preserve">518HG20</t>
  </si>
  <si>
    <t xml:space="preserve">Ошибка инициализации Контактного датчика изображения CIS при получении команды BCU ready в ходе операции Начало Депозита (Deposit Ready).</t>
  </si>
  <si>
    <t xml:space="preserve">1. Выполните инициализацию Модуля Рециркуляции Банкнот BRM (Восстановление) 2. Проверьте не загрязнен ли датчик в случае повторения ошибки после выполнения Инициализации. 3. Перезагрузите банкомат в случае повторения ошибки и отсутствия посторонних предметов </t>
  </si>
  <si>
    <t xml:space="preserve">518HG21</t>
  </si>
  <si>
    <t xml:space="preserve">Ошибка включения при получении команды BCU ready в ходе операции Начало Депозита (Deposit Ready).</t>
  </si>
  <si>
    <t xml:space="preserve">518HG22</t>
  </si>
  <si>
    <t xml:space="preserve">Ошибка инициализации датчика DD при получении команды BCU ready в ходе операции Начало Депозита (Deposit Ready).</t>
  </si>
  <si>
    <t xml:space="preserve">518HG23</t>
  </si>
  <si>
    <t xml:space="preserve">Ошибка настройки ЦАП Датчика определения сдвоенных банкнот DD при получении команды BCU ready в ходе операции Начало Депозита (Deposit Ready).</t>
  </si>
  <si>
    <t xml:space="preserve">518HG24</t>
  </si>
  <si>
    <t xml:space="preserve">Ошибка режима настройки энкодера при получении команды BCU ready в ходе операции Начало Депозита (Deposit Ready).</t>
  </si>
  <si>
    <t xml:space="preserve">518HG36</t>
  </si>
  <si>
    <t xml:space="preserve">Ошибка режима распознавания при выполнении команды receiving BCU mode в ходе операции Начало Депозита (Deposit Ready).</t>
  </si>
  <si>
    <t xml:space="preserve">1. Проверьте режим распознавания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</si>
  <si>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518HG37</t>
  </si>
  <si>
    <t xml:space="preserve">Ошибка настроек транзакции при выполнении команды receiving BCU mode в ходе операции Начало Депозита (Deposit Ready).</t>
  </si>
  <si>
    <t xml:space="preserve">1. Проверьте настройки транзакции.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</si>
  <si>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518HI01</t>
  </si>
  <si>
    <t xml:space="preserve">Ошибка тайм-аута RecogTask Message в ходе операции Начало Депозита (Deposit Ready).</t>
  </si>
  <si>
    <t xml:space="preserve">518HI02</t>
  </si>
  <si>
    <t xml:space="preserve">Ошибка тайм-аута ScanTask Message в ходе операции Начало Депозита (Deposit Ready).</t>
  </si>
  <si>
    <t xml:space="preserve">518HI03</t>
  </si>
  <si>
    <t xml:space="preserve">Ошибка тайм-аута UartTask Message в ходе операции Начало Депозита (Deposit Ready).</t>
  </si>
  <si>
    <t xml:space="preserve">518HI04</t>
  </si>
  <si>
    <t xml:space="preserve">Ошибка тайм-аута BcUsbTask Message в ходе операции Deposit Ready.</t>
  </si>
  <si>
    <t xml:space="preserve">518HJ01</t>
  </si>
  <si>
    <t xml:space="preserve">Ошибка инициализации алгоритма распознавания в ходе операции Начало Депозита (Deposit Ready).</t>
  </si>
  <si>
    <t xml:space="preserve">518HJ02</t>
  </si>
  <si>
    <t xml:space="preserve">Ошибка готовности Алгоритма Распознавания в ходе операции Начало Депозита (Deposit Ready).</t>
  </si>
  <si>
    <t xml:space="preserve">518HJ03</t>
  </si>
  <si>
    <t xml:space="preserve">Ошибка алгоритма распознавания набора валют в ходе операции Начало Депозита (Deposit Ready).</t>
  </si>
  <si>
    <t xml:space="preserve">518HS01</t>
  </si>
  <si>
    <t xml:space="preserve">Ошибка ПЛИС Write Scan Driver Init в ходе операции Начало Депозита (Deposit Ready).</t>
  </si>
  <si>
    <t xml:space="preserve">518HS02</t>
  </si>
  <si>
    <t xml:space="preserve">Ошибка Sensor (MR/UV/DD/Gate) Power Off Scan Driver Init в ходе операции Начало Депозита (Deposit Ready).</t>
  </si>
  <si>
    <t xml:space="preserve">518HS03</t>
  </si>
  <si>
    <t xml:space="preserve">Ошибка Контактного датчика изображения CIS Led On Value Set Fail Scan Driver Init в ходе операции Начало Депозита (Deposit Ready).</t>
  </si>
  <si>
    <t xml:space="preserve">518HS04</t>
  </si>
  <si>
    <t xml:space="preserve">Ошибка Источника Света Set Fail Scan Driver Init в ходе операции Начало Депозита (Deposit Ready).</t>
  </si>
  <si>
    <t xml:space="preserve">518HS05</t>
  </si>
  <si>
    <t xml:space="preserve">Ошибка Контактного датчика изображения CIS Shading Scan Driver Init в ходе операции Начало Депозита (Deposit Ready).</t>
  </si>
  <si>
    <t xml:space="preserve">1. Повторно выполните шейдинг Контактного датчика изображения CIS</t>
  </si>
  <si>
    <t xml:space="preserve">518HS08</t>
  </si>
  <si>
    <t xml:space="preserve">Ошибка ЦАП Set Fail Scan Driver Init в ходе операции Начало Депозита (Deposit Ready).</t>
  </si>
  <si>
    <t xml:space="preserve">518HS11</t>
  </si>
  <si>
    <t xml:space="preserve">Ошибка ПЛИС Write BCU Ready в ходе операции Начало Депозита (Deposit Ready).</t>
  </si>
  <si>
    <t xml:space="preserve">518HS12</t>
  </si>
  <si>
    <t xml:space="preserve">Ошибка Sensor (MR/UV/DD/Gate) Power Off BCU Ready в ходе операции Начало Депозита (Deposit Ready).</t>
  </si>
  <si>
    <t xml:space="preserve">518HS13</t>
  </si>
  <si>
    <t xml:space="preserve">Ошибка Контактного датчика изображения CIS Led On Value Set Fail BCU Ready в ходе операции Начало Депозита (Deposit Ready).</t>
  </si>
  <si>
    <t xml:space="preserve">518HS14</t>
  </si>
  <si>
    <t xml:space="preserve">Ошибка Источника Света Set Fail BCU Ready в ходе операции Начало Депозита (Deposit Ready).</t>
  </si>
  <si>
    <t xml:space="preserve">518HS15</t>
  </si>
  <si>
    <t xml:space="preserve">Ошибка Контактного датчика изображения CIS Shading BCU Ready в ходе операции Начало Депозита (Deposit Ready).</t>
  </si>
  <si>
    <t xml:space="preserve">518HS17</t>
  </si>
  <si>
    <t xml:space="preserve">Ошибка AFE Chip Set BCU Ready в ходе операции Начало Депозита (Deposit Ready).</t>
  </si>
  <si>
    <t xml:space="preserve">518HS18</t>
  </si>
  <si>
    <t xml:space="preserve">Ошибка ЦАП Set Fail BCU Ready в ходе операции Начало Депозита (Deposit Ready).</t>
  </si>
  <si>
    <t xml:space="preserve">518HS19</t>
  </si>
  <si>
    <t xml:space="preserve">Ошибка MR/UV/DD Sampling BCU Ready в ходе операции Начало Депозита (Deposit Ready).</t>
  </si>
  <si>
    <t xml:space="preserve">518HS1A</t>
  </si>
  <si>
    <t xml:space="preserve">Ошибка ЦАП Датчика Холла Set Fail BCU Ready в ходе операции Начало Депозита (Deposit Ready).</t>
  </si>
  <si>
    <t xml:space="preserve">1. Проверьте датчик Холла 2. Проверьте подключение кабеля к датчику Холла</t>
  </si>
  <si>
    <t xml:space="preserve">518HS1B</t>
  </si>
  <si>
    <t xml:space="preserve">Ошибка Датчика Холла Shading Fail BCU Ready в ходе операции Начало Депозита (Deposit Ready).</t>
  </si>
  <si>
    <t xml:space="preserve">1. Повторите шейдинг датчика Холла</t>
  </si>
  <si>
    <t xml:space="preserve">518HS22</t>
  </si>
  <si>
    <t xml:space="preserve">Ошибка Модуля Валидатора BC Stop Sensor (MR/UV/DD/Gate) Power Off Scan Driver Init в ходе операции Начало Депозита (Deposit Ready).</t>
  </si>
  <si>
    <t xml:space="preserve">518HS28</t>
  </si>
  <si>
    <t xml:space="preserve">Ошибка Модуля Валидатора BC Stop DAC Set Fail Scan Driver Init в ходе операции Начало Депозита (Deposit Ready).</t>
  </si>
  <si>
    <t xml:space="preserve">518HS29</t>
  </si>
  <si>
    <t xml:space="preserve">Ошибка Модуля Валидатора BC Stop MR/UV/DD Sampling BCU Ready в ходе операции Начало Депозита (Deposit Ready).</t>
  </si>
  <si>
    <t xml:space="preserve">51A2100</t>
  </si>
  <si>
    <t xml:space="preserve">Оставшиеся банкноты в Транспортном Тракте (GS801) перед выполнением операции Deopsit Ready.</t>
  </si>
  <si>
    <t xml:space="preserve">1. Откройте верхнюю часть Модуля Рециркуляции Банкнот. 2. Откройте Модуль обслуживания клиентов (CSM) 3. Откройте модуль Валидатора банкнот (5) 4. Удалите банкноты и посторонние предметы из Переднего Транспортного Тракта (4) 5. В случае отсутствия банкнот или посторонних предметов проверьте не загрязнен ли датчик </t>
  </si>
  <si>
    <t xml:space="preserve">51A2200</t>
  </si>
  <si>
    <t xml:space="preserve">Оставшиеся банкноты в Транспортном Тракте (GS002) перед выполнением операции Начало Депозита (Deposit Ready).</t>
  </si>
  <si>
    <t xml:space="preserve">51A2300</t>
  </si>
  <si>
    <t xml:space="preserve">Оставшиеся банкноты в Транспортном Тракте (GS003) перед выполнением операции Начало Депозита (Deposit Ready).</t>
  </si>
  <si>
    <t xml:space="preserve">51A2400</t>
  </si>
  <si>
    <t xml:space="preserve">Оставшиеся банкноты в Транспортном Тракте (GS004) перед выполнением операции Начало Депозита (Deposit Ready).</t>
  </si>
  <si>
    <t xml:space="preserve">1. Откройте верхнюю часть Модуля Рециркуляции Банкнот. 2. Откройте модуль Временного хранения_TE (Временный Эскроу) (12) 3. Откройте Вспомогательную (невостребованных/фальшивых банкнот) кассету (9). 4. Удалите банкноты и посторонние предметы из Заднего Транспортного Тракта (8) 5. В случае отсутствия банкнот или посторонних предметов проверьте не загрязнен ли датчик </t>
  </si>
  <si>
    <t xml:space="preserve">51A2500</t>
  </si>
  <si>
    <t xml:space="preserve">Оставшиеся банкноты в Транспортном Тракте (GS005) перед выполнением операции Начало Депозита (Deposit Ready).</t>
  </si>
  <si>
    <t xml:space="preserve">51A2600</t>
  </si>
  <si>
    <t xml:space="preserve">Оставшиеся банкноты в Транспортном Тракте (GS006) перед выполнением операции Начало Депозита (Deposit Ready).</t>
  </si>
  <si>
    <t xml:space="preserve">1. Откройте верхнюю часть Модуля Рециркуляции Банкнот. 2. Откройте модуль Временного хранения_TE (Временный Эскроу) (12)  3. Откройте Вспомогательную (невостребованных/фальшивых банкнот) кассету (9). 4. Удалите банкноты и посторонние предметы из Заднего Транспортного Тракта (8) 5. В случае отсутствия банкнот или посторонних предметов проверьте не загрязнен ли датчик</t>
  </si>
  <si>
    <t xml:space="preserve">51A2A00</t>
  </si>
  <si>
    <t xml:space="preserve">Оставшиеся банкноты в Транспортном Тракте (GS021) перед выполнением операции Начало Депозита (Deposit Ready).</t>
  </si>
  <si>
    <t xml:space="preserve">51A2B00</t>
  </si>
  <si>
    <t xml:space="preserve">Оставшиеся банкноты в Транспортном Тракте (GS022) перед выполнением операции Начало Депозита (Deposit Ready).</t>
  </si>
  <si>
    <t xml:space="preserve">51A2G00</t>
  </si>
  <si>
    <t xml:space="preserve">Оставшиеся банкноты в Транспортном Тракте (GS614) перед выполнением операции Начало Депозита (Deposit Ready).</t>
  </si>
  <si>
    <t xml:space="preserve">51A2H00</t>
  </si>
  <si>
    <t xml:space="preserve">Оставшиеся банкноты в Транспортном Тракте (GS618) перед выполнением операции Начало Депозита (Deposit Ready).</t>
  </si>
  <si>
    <t xml:space="preserve">51A2J00</t>
  </si>
  <si>
    <t xml:space="preserve">Оставшиеся банкноты в Транспортном Тракте (GS619) перед выполнением операции Начало Депозита (Deposit Ready).</t>
  </si>
  <si>
    <t xml:space="preserve">51A2K00</t>
  </si>
  <si>
    <t xml:space="preserve">Оставшиеся банкноты в Транспортном Тракте (GS703) перед выполнением операции Начало Депозита (Deposit Ready).</t>
  </si>
  <si>
    <t xml:space="preserve">51A2M00</t>
  </si>
  <si>
    <t xml:space="preserve">Оставшиеся банкноты в Транспортном Тракте (GS031) перед выполнением операции Начало Депозита (Deposit Ready).</t>
  </si>
  <si>
    <t xml:space="preserve">51A2N00</t>
  </si>
  <si>
    <t xml:space="preserve">Оставшиеся банкноты в Транспортном Тракте (GS032) перед выполнением операции Начало Депозита (Deposit Ready).</t>
  </si>
  <si>
    <t xml:space="preserve">51A2P00</t>
  </si>
  <si>
    <t xml:space="preserve">Оставшиеся банкноты в Транспортном Тракте (GS033) перед выполнением операции Начало Депозита (Deposit Ready).</t>
  </si>
  <si>
    <t xml:space="preserve">51A2Q00</t>
  </si>
  <si>
    <t xml:space="preserve">Оставшиеся банкноты в Транспортном Тракте (GS034) перед выполнением операции Начало Депозита (Deposit Ready).</t>
  </si>
  <si>
    <t xml:space="preserve">51A2W00</t>
  </si>
  <si>
    <t xml:space="preserve">Оставшиеся банкноты в Транспортном Тракте (GS802) перед выполнением операции Начало Депозита (Deposit Ready).</t>
  </si>
  <si>
    <t xml:space="preserve">1. Откройте верхнюю часть Модуля Рециркуляции Банкнот. 2. Откройте Модуль обслуживания клиентов (CSM) 3. Откройте Модуль Валидатора банкнот (5) 4. Удалите банкноты и посторонние предметы из Модуля Валидатора банкнот BC (5) 5. В случае отсутствия банкнот или посторонних предметов проверьте не загрязнен ли датчик </t>
  </si>
  <si>
    <t xml:space="preserve">51AA100</t>
  </si>
  <si>
    <t xml:space="preserve">Вынутое состояние Вспомогательной (невостребованных/фальшивых банкнот) Кассеты UTC перед выполнением операции Начало Депозита (Deposit Ready).</t>
  </si>
  <si>
    <t xml:space="preserve">1. Откройте верхнюю часть Модуля Рециркуляции Банкнот 2. Проверьте состояние установки Вспомогательной (невостребованных/фальшивых банкнот) кассеты (9)</t>
  </si>
  <si>
    <t xml:space="preserve">51AA200</t>
  </si>
  <si>
    <t xml:space="preserve">Модуль временного хранения открыт перед выполнением операции Начало Депозита (Deposit Ready).</t>
  </si>
  <si>
    <t xml:space="preserve">1. Откройте верхнюю часть Модуля Рециркуляции Банкнот 2. Проверьте, что Модуль временного хранения_TE закрыт (12)</t>
  </si>
  <si>
    <t xml:space="preserve">51AA300</t>
  </si>
  <si>
    <t xml:space="preserve">Отстыкованное состояние концевого переключателя (inter lock) Верхней части Модуля Рециркуляции Банкнот BMU перед выполнением операции Начало Депозита (Deposit Ready).</t>
  </si>
  <si>
    <t xml:space="preserve">1. Проверьте, что Верхняя часть Модуля Рециркуляции Банкнот находится в положении установлено  2. Замените концевой переключатель в случае повторения ошибки</t>
  </si>
  <si>
    <t xml:space="preserve">51AA400</t>
  </si>
  <si>
    <t xml:space="preserve">Выдвинутое состояние Верхней части Модуля Рециркуляции Банкнот BMU перед выполнением операции Начало Депозита (Deposit Ready).</t>
  </si>
  <si>
    <t xml:space="preserve">1. Проверьте, что Верхняя часть Модуля Рециркуляции Банкнот находится в положении установлено </t>
  </si>
  <si>
    <t xml:space="preserve">51AA600</t>
  </si>
  <si>
    <t xml:space="preserve">Открыт Модуль обслуживания клиентов CSM перед выполнением операции Начало Депозита (Deposit Ready).</t>
  </si>
  <si>
    <t xml:space="preserve">1. Откройте верхнюю часть Модуля Рециркуляции Банкнот 2. Убедитесь, что Модуль обслуживания клиентов CSM закрыт 3. Проверьте датчик GS011</t>
  </si>
  <si>
    <t xml:space="preserve">51AA700</t>
  </si>
  <si>
    <t xml:space="preserve">Вынута Кассета Отбраковки RJC перед выполнением операции Начало Депозита (Deposit Ready).</t>
  </si>
  <si>
    <t xml:space="preserve">1. Откройте нижнюю часть Модуля Рециркуляции Банкнот 2. Откройте Средний Транспортный Тракт 3. Убедитесь, что Кассета отбраковки (21) находится в положении установлено</t>
  </si>
  <si>
    <t xml:space="preserve">51AA800</t>
  </si>
  <si>
    <t xml:space="preserve">Отстыкованное состояние концевого переключателя (inter lock) Нижней части Модуля Рециркуляции Банкнот BMD перед выполнением операции Начало Депозита (Deposit Ready).</t>
  </si>
  <si>
    <t xml:space="preserve">1. Проверьте, что Нижняя часть Модуля Рециркуляции Банкнот находится в положении установлено 2. Проверьте состояние концевого переключателя (интерлок) Нижней части Модуля Рециркуляции Банкнот 3. Замените концевой переключатель или очистите его датчик в случае повторения ошибки</t>
  </si>
  <si>
    <t xml:space="preserve">51AA900</t>
  </si>
  <si>
    <t xml:space="preserve">Отстыкованное состояние Нижней части Модуля Рециркуляции Банкнот BMD перед выполнением операции Начало Депозита (Deposit Ready).</t>
  </si>
  <si>
    <t xml:space="preserve">51AAA00</t>
  </si>
  <si>
    <t xml:space="preserve">Модуль Валидатора банкнот BC открыт перед работой в ходе операции Начало Депозита (Deposit Ready).</t>
  </si>
  <si>
    <t xml:space="preserve">1. Откройте верхнюю часть Модуля Рециркуляции Банкнот 2. Проверьте закрытость защелки Модуля Валидатора банкнот BC</t>
  </si>
  <si>
    <t xml:space="preserve">51AAB00</t>
  </si>
  <si>
    <t xml:space="preserve">Переполненная Кассета Рециркуляции RC перед выполнением операции Начало Депозита (Deposit Ready).</t>
  </si>
  <si>
    <t xml:space="preserve">1. Откройте верхнюю часть Модуля Рециркуляции Банкнот 2. Откройте Средний Транспортный Тракт 3. Проверьте состояние датчика GSx11 переполнения Кассеты рециркуляции (A~E) 4. Откройте дверцу кассеты с ошибкой 5. Проверьте не переполнена ли кассета банкнотами</t>
  </si>
  <si>
    <t xml:space="preserve">51AAC00</t>
  </si>
  <si>
    <t xml:space="preserve">Переполненная Кассета Отбраковки RJC перед выполнением операции Начало Депозита (Deposit Ready).</t>
  </si>
  <si>
    <t xml:space="preserve">1. Откройте верхнюю часть Модуля Рециркуляции Банкнот 2. Откройте Средний Транспортный Тракт 3. Выньте Кассету Отбраковки (21) 4. Выньте банкноты после проверки статуса переполнения в кассете 5. Проверьте загрязненность датчика, если кассета не переполнена</t>
  </si>
  <si>
    <t xml:space="preserve">51AAD00</t>
  </si>
  <si>
    <t xml:space="preserve">Переполненная Вспомогательная кассета UTC1 перед выполнением операции Начало Депозита (Deposit Ready).</t>
  </si>
  <si>
    <t xml:space="preserve">1. Откройте верхнюю часть Модуля Рециркуляции Банкнот. 2. Откройте Вспомогательную (невостребованных/фальшивых банкнот) кассету (9). 3. Проверьте не переполнена ли Вспомогательная (невостребованных/фальшивых банкнот) кассета (9)</t>
  </si>
  <si>
    <t xml:space="preserve">51AAE00</t>
  </si>
  <si>
    <t xml:space="preserve">Переполненная Вспомогательная кассета UTC2 перед выполнением операции Начало Депозита (Deposit Ready).</t>
  </si>
  <si>
    <t xml:space="preserve">1. Откройте верхнюю часть Модуля Рециркуляции Банкнот 2. Откройте Вспомогательную (отделение фальшивых банкнот) кассету (10) 3. Проверьте не переполнена ли Вспомогательная (отделение фальшивых банкнот) кассета (10)</t>
  </si>
  <si>
    <t xml:space="preserve">51AAF00</t>
  </si>
  <si>
    <t xml:space="preserve">Пустая Кассета Рециркуляции RC перед выполнением операции Начало Депозита (Deposit Ready).</t>
  </si>
  <si>
    <t xml:space="preserve">1. Откройте верхнюю часть Модуля Рециркуляции Банкнот 2. Откройте Средний Транспортный Тракт 3. Проверьте кол-во оставшихся банкнот в Кассете Рециркуляции (A~E)</t>
  </si>
  <si>
    <t xml:space="preserve">51AE100</t>
  </si>
  <si>
    <t xml:space="preserve">Получена операция без выполнения команды установки начальных данных (Initail Info Set) в ходе операции Пересчет Депозита (Deposit Count).</t>
  </si>
  <si>
    <t xml:space="preserve">1. Перезагрузите ПО верхнего AP и Среднего SP уровней 2. Выполните операцию транзакции после установки параметров чтения системы в утилите TM Тестирование (Test) -&gt; Установка исходных данных (Initail Info Set) -&gt; Инициализация (Initialization) </t>
  </si>
  <si>
    <t xml:space="preserve">51AE200</t>
  </si>
  <si>
    <t xml:space="preserve">Состояние not operation при получении команды в ходе операции Пересчет Депозита (Deposit Count).</t>
  </si>
  <si>
    <t xml:space="preserve">51AE300</t>
  </si>
  <si>
    <t xml:space="preserve">Получена команда выполнения без выполнения операции Чтение Системных Данных (Read System Info) в ходе операции Пересчет Депозита (Deposit Count).</t>
  </si>
  <si>
    <t xml:space="preserve">51AE400</t>
  </si>
  <si>
    <t xml:space="preserve">Транзакция Начало Депозита (Deposit Ready) была выполнена без Инициализации после включения питания.</t>
  </si>
  <si>
    <t xml:space="preserve">51AE600</t>
  </si>
  <si>
    <t xml:space="preserve">Ошибка обработки операции Начало Депозита (Deposit Ready) в ходе операции Работа кнопки TE (TE Button Operating).</t>
  </si>
  <si>
    <t xml:space="preserve">51AEE00</t>
  </si>
  <si>
    <t xml:space="preserve">Ошибка последовательности сообщений интерфейса RS485 платы контроллера RBU в ходе операции Начало Депозита (Deposit Ready).</t>
  </si>
  <si>
    <t xml:space="preserve">51AEF00</t>
  </si>
  <si>
    <t xml:space="preserve">Нарушение линии связи интерфейса RS485 платы контроллера RBU error в ходе операции Начало Депозита (Deposit Ready).</t>
  </si>
  <si>
    <t xml:space="preserve">51AH500</t>
  </si>
  <si>
    <t xml:space="preserve">Ошибка Чтения/Записи памяти NVRAM (128 деноминаций) в ходе операции Начало Депозита (Deposit Ready).</t>
  </si>
  <si>
    <t xml:space="preserve">51AR100</t>
  </si>
  <si>
    <t xml:space="preserve">51AR200</t>
  </si>
  <si>
    <t xml:space="preserve">Возвращена ошибка таймаута сообщения при проведении транзакции в ходе операции Начало Депозита (Deposit Ready).</t>
  </si>
  <si>
    <t xml:space="preserve">51AR300</t>
  </si>
  <si>
    <t xml:space="preserve">51AR700</t>
  </si>
  <si>
    <t xml:space="preserve">Возвращена ошибка таймаута сообщения от контроллера RBU в ходе операции Начало Депозита (Deposit Ready).</t>
  </si>
  <si>
    <t xml:space="preserve">51ARC00</t>
  </si>
  <si>
    <t xml:space="preserve">Возвращена ошибка таймаута ответного сообщения Модуля Валидатора банкнот BC в ходе операции Начало Депозита (Deposit Ready).</t>
  </si>
  <si>
    <t xml:space="preserve">51ARJ00</t>
  </si>
  <si>
    <t xml:space="preserve">Возвращена ошибка таймаута сообщения в ходе операции Начало Остановки (Ready Stop) в ходе операции Начало Депозита (Deposit Ready) Deposit Ready.</t>
  </si>
  <si>
    <t xml:space="preserve">51BS000</t>
  </si>
  <si>
    <t xml:space="preserve">Ошибка таймаута связи контроллера RBU в ходе операции Начало Депозита (Deposit Ready).</t>
  </si>
  <si>
    <t xml:space="preserve">1. Перезагрузите банкомат</t>
  </si>
  <si>
    <t xml:space="preserve">51BS100</t>
  </si>
  <si>
    <t xml:space="preserve">Ошибка последовательности сообщений платы контроллера RBU в ходе операции Начало Депозита (Deposit Ready).</t>
  </si>
  <si>
    <t xml:space="preserve">51BS200</t>
  </si>
  <si>
    <t xml:space="preserve">Ошибка Информации о памяти MI в ходе соединения контроллера RBU в ходе операции Начало Депозита (Deposit Ready).</t>
  </si>
  <si>
    <t xml:space="preserve">51US100</t>
  </si>
  <si>
    <t xml:space="preserve">Ошибка дублирования номера последовательности USB в ходе операции Начало Депозита (Deposit Ready).</t>
  </si>
  <si>
    <t xml:space="preserve">51US300</t>
  </si>
  <si>
    <t xml:space="preserve">Ошибка длины данных команды USB  в ходе операции Начало Депозита (Deposit Ready).</t>
  </si>
  <si>
    <t xml:space="preserve">GS801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</si>
  <si>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Убедитесь, что круглая ручка Переднего Транспортного Тракта (4) вращается свободно 3. Проверьте не остались ли банкноты и посторонние предметы в Верхнем Транспортном Тракте 4. Откройте Модуль обслуживания клиентов (CSM) 5. Откройте модуль Валидатора банкнот (5)  6.Удалите банкноты и посторонние предметы из Переднего Транспортного Тракта (4) 7. В случае отсутствия банкнот или посторонних предметов проверьте не загрязнен ли датчик </t>
  </si>
  <si>
    <t xml:space="preserve">GS003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</si>
  <si>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CSM и Модуль временного хранения_TE (12) 3. Откройте Модуль Валидатора банкнот (5) и Задний Транспортный Тракт (6) 4. Удалите замятие между Модулем Валидатора банкнот BC (5) и Задним Транспортным Трактом (6)</t>
  </si>
  <si>
    <t xml:space="preserve">GS005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</si>
  <si>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Откройте Модуль временного хранения (12) 3. Откройте Задний Транспортный Тракт (6) 4. Удалите замятие между Задним Транспортным Трактом (11) и Задним Транспортным Трактом (6)</t>
  </si>
  <si>
    <t xml:space="preserve">5200G00</t>
  </si>
  <si>
    <t xml:space="preserve">GS614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</si>
  <si>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CSM (12) 3. Откройте Задний Транспортный Тракт (6) 4. Удалите замятие между Модулем обслуживания клиентов CSM (3) и Задним Транспортным Трактом (11)</t>
  </si>
  <si>
    <t xml:space="preserve">5200H00</t>
  </si>
  <si>
    <t xml:space="preserve">GS618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</si>
  <si>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CSM (12) 3. Удалите замятие между Задним Транспортным Трактом (11) и Задним Транспортным Трактом (6)</t>
  </si>
  <si>
    <t xml:space="preserve">5200J00</t>
  </si>
  <si>
    <t xml:space="preserve">GS619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</si>
  <si>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CSM (12) 3. Удалите замятие в Заднем Тарнспортном Тракте (11)</t>
  </si>
  <si>
    <t xml:space="preserve">5200K00</t>
  </si>
  <si>
    <t xml:space="preserve">GS703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</si>
  <si>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Откройте Модуль временного хранения (12) 3. Удалите замятие между Модулем обслуживания клиентов CSM (3) и Задним Транспортным Трактом (11)</t>
  </si>
  <si>
    <t xml:space="preserve">5200W00</t>
  </si>
  <si>
    <t xml:space="preserve">GS802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</si>
  <si>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3. Откройте Модуль Валидатора банкнот (5) 4. Удалите замятие между Модулем Валидатора (5) и Задним Транспортным Трактом (4)</t>
  </si>
  <si>
    <t xml:space="preserve">GS801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</si>
  <si>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3. Откройте Модуль Валидатора банкнот (5) 4. Удалите банкноты и посторонние предметы из Заднего Транспортного Тракта (4) 5. В случае отсутствия банкнот или посторонних предметов проверьте не загрязнен ли датчик </t>
  </si>
  <si>
    <t xml:space="preserve">GS002 сообщил об ошибке замятия по Темному типу в ходе операции Пересчет Депозита (Deposit Count).</t>
  </si>
  <si>
    <t xml:space="preserve">GS003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</si>
  <si>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временного хранения (12) 3. Откройте Задний Транспортный Тракт (6) 4. Удалите банкноты и посторонние предметы из Заднего Транспортного Тракта (6) 5. В случае отсутствия банкнот или посторонних предметов проверьте не загрязнен ли датчик </t>
  </si>
  <si>
    <t xml:space="preserve">GS004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</si>
  <si>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временного хранения (12) 3. Откройте Задний Транспортный Тракт (9) 4. Удалите банкноты и посторонние предметы из Заднего Транспортного Тракта (8) 5. В случае отсутствия банкнот или посторонних предметов проверьте не загрязнен ли датчик </t>
  </si>
  <si>
    <t xml:space="preserve">GS005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</si>
  <si>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временного хранения (12) 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 </t>
  </si>
  <si>
    <t xml:space="preserve">GS006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</si>
  <si>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временного хранения (12) 3. Выньте Вспомогательную (невостребованных/фальшивых банкнот) кассету (9) 4. Удалите посторонние предметы из Заднего Транспортного Тракта (7) 5. В случае отсутствия банкнот или посторонних предметов проверьте не загрязнен ли датчик </t>
  </si>
  <si>
    <t xml:space="preserve">5201A00</t>
  </si>
  <si>
    <t xml:space="preserve">GS021 сообщил об ошибке замятия по Темному типу в ходе операции Пересчет Депозита (Deposit Count).</t>
  </si>
  <si>
    <t xml:space="preserve">5201B00</t>
  </si>
  <si>
    <t xml:space="preserve">GS022 сообщил об ошибке замятия по Темному типу в ходе операции Пересчет Депозита (Deposit Count).</t>
  </si>
  <si>
    <t xml:space="preserve">5201G00</t>
  </si>
  <si>
    <t xml:space="preserve">GS614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</si>
  <si>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CSM (12) 3. Удалите банкноты и посторонние предметы из Модуля обслуживания клиентов CSM (3) 4. В случае отсутствия банкнот или посторонних предметов проверьте не загрязнен ли датчик </t>
  </si>
  <si>
    <t xml:space="preserve">5201H00</t>
  </si>
  <si>
    <t xml:space="preserve">GS618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</si>
  <si>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 </t>
  </si>
  <si>
    <t xml:space="preserve">5201J00</t>
  </si>
  <si>
    <t xml:space="preserve">GS619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</si>
  <si>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 </t>
  </si>
  <si>
    <t xml:space="preserve">5201K00</t>
  </si>
  <si>
    <t xml:space="preserve">GS703 сообщил об ошибке замятия по Темному типу в ходе операции Пересчет Депозита (Deposit Count).</t>
  </si>
  <si>
    <t xml:space="preserve">5201M00</t>
  </si>
  <si>
    <t xml:space="preserve">GS031 сообщил об ошибке замятия по Темному типу в ходе операции Пересчет Депозита (Deposit Count).</t>
  </si>
  <si>
    <t xml:space="preserve">1. Откройте нижнюю часть Модуля Рециркуляции Банкнот . 2. Откройте Средний Транспортный Тракт. 3. Удалите посторонние предметы из Среднего Транспортного Тракта 4. В случае отсутствия банкнот или посторонних предметов проверьте не загрязнен ли датчик</t>
  </si>
  <si>
    <t xml:space="preserve">5201N00</t>
  </si>
  <si>
    <t xml:space="preserve">GS032 сообщил об ошибке замятия по Темному типу в ходе операции Пересчет Депозита (Deposit Count).</t>
  </si>
  <si>
    <t xml:space="preserve">5201P00</t>
  </si>
  <si>
    <t xml:space="preserve">GS033 сообщил об ошибке замятия по Темному типу в ходе операции Пересчет Депозита (Deposit Count).</t>
  </si>
  <si>
    <t xml:space="preserve">5201Q00</t>
  </si>
  <si>
    <t xml:space="preserve">GS034 сообщил об ошибке замятия по Темному типу в ходе операции Пересчет Депозита (Deposit Count).</t>
  </si>
  <si>
    <t xml:space="preserve">5201W00</t>
  </si>
  <si>
    <t xml:space="preserve">GS802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</si>
  <si>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клиентов3. Откройте Модуль Валидатора банкнот (5) 4. Удалите банкноты и посторонние предметы из Модуля Валидатора банкнот BC (5) 5. В случае отсутствия банкнот или посторонних предметов проверьте не загрязнен ли датчик </t>
  </si>
  <si>
    <t xml:space="preserve">Произошла ошибка оставшихся банкнот в области датчика Транспортного Тракта GS(801) в ходе операции Пересчет Депозита (Deposit Count).</t>
  </si>
  <si>
    <t xml:space="preserve">Произошла ошибка оставшихся банкнот в области датчика Транспортного Тракта GS(002) в ходе операции Пересчет Депозита (Deposit Count).</t>
  </si>
  <si>
    <t xml:space="preserve">Произошла ошибка оставшихся банкнот в области датчика Транспортного Тракта GS(003) в ходе операции Пересчет Депозита (Deposit Count).</t>
  </si>
  <si>
    <t xml:space="preserve">Произошла ошибка оставшихся банкнот в области датчика Транспортного Тракта GS(004) в ходе операции Пересчет Депозита (Deposit Count).</t>
  </si>
  <si>
    <t xml:space="preserve">Произошла ошибка оставшихся банкнот в области датчика Транспортного Тракта GS(005) в ходе операции Пересчет Депозита (Deposit Count).</t>
  </si>
  <si>
    <t xml:space="preserve">Произошла ошибка оставшихся банкнот в области датчика Транспортного Тракта GS(006) в ходе операции Пересчет Депозита (Deposit Count).</t>
  </si>
  <si>
    <t xml:space="preserve">1. Откройте верхнюю часть Модуля Рециркуляции Банкнот. 2. Откройте модуль Временного хранения_TE (Временный Эскроу) (12) 3. Выньте Вспомогательную (невостребованных/фальшивых банкнот) кассету (9) 4. Удалите посторонние предметы из Заднего Транспортного Тракта (7) 5. В случае отсутствия банкнот или посторонних предметов проверьте не загрязнен ли датчик </t>
  </si>
  <si>
    <t xml:space="preserve">5202A00</t>
  </si>
  <si>
    <t xml:space="preserve">Произошла ошибка оставшихся банкнот в области датчика Транспортного Тракта GS(021) в ходе операции Пересчет Депозита (Deposit Count).</t>
  </si>
  <si>
    <t xml:space="preserve">5202B00</t>
  </si>
  <si>
    <t xml:space="preserve">Произошла ошибка оставшихся банкнот в области датчика Транспортного Тракта GS(022) в ходе операции Пересчет Депозита (Deposit Count).</t>
  </si>
  <si>
    <t xml:space="preserve">5202G00</t>
  </si>
  <si>
    <t xml:space="preserve">Произошла ошибка оставшихся банкнот в области датчика Транспортного Тракта GS(614) в ходе операции Пересчет Депозита (Deposit Count).</t>
  </si>
  <si>
    <t xml:space="preserve">5202H00</t>
  </si>
  <si>
    <t xml:space="preserve">Произошла ошибка оставшихся банкнот в области датчика Транспортного Тракта GS(618) в ходе операции Пересчет Депозита (Deposit Count).</t>
  </si>
  <si>
    <t xml:space="preserve">5202J00</t>
  </si>
  <si>
    <t xml:space="preserve">Произошла ошибка оставшихся банкнот в области датчика Транспортного Тракта GS(619) в ходе операции Пересчет Депозита (Deposit Count).</t>
  </si>
  <si>
    <t xml:space="preserve">5202K00</t>
  </si>
  <si>
    <t xml:space="preserve">Произошла ошибка оставшихся банкнот в области датчика Транспортного Тракта GS(703) в ходе операции Пересчет Депозита (Deposit Count).</t>
  </si>
  <si>
    <t xml:space="preserve">5202M00</t>
  </si>
  <si>
    <t xml:space="preserve">Произошла ошибка оставшихся банкнот в области датчика Транспортного Тракта GS(031) в ходе операции Пересчет Депозита (Deposit Count).</t>
  </si>
  <si>
    <t xml:space="preserve">5202N00</t>
  </si>
  <si>
    <t xml:space="preserve">Произошла ошибка оставшихся банкнот в области датчика Транспортного Тракта GS(032) в ходе операции Пересчет Депозита (Deposit Count).</t>
  </si>
  <si>
    <t xml:space="preserve">5202P00</t>
  </si>
  <si>
    <t xml:space="preserve">Произошла ошибка оставшихся банкнот в области датчика Транспортного Тракта GS(033) в ходе операции Пересчет Депозита (Deposit Count).</t>
  </si>
  <si>
    <t xml:space="preserve">5202Q00</t>
  </si>
  <si>
    <t xml:space="preserve">Произошла ошибка оставшихся банкнот в области датчика Транспортного Тракта GS(034) в ходе операции Пересчет Депозита (Deposit Count).</t>
  </si>
  <si>
    <t xml:space="preserve">5202W00</t>
  </si>
  <si>
    <t xml:space="preserve">Произошла ошибка оставшихся банкнот в области датчика Транспортного Тракта GS(802) в ходе операции Пересчет Депозита (Deposit Count).</t>
  </si>
  <si>
    <t xml:space="preserve">1. Откройте верхнюю часть Модуля Рециркуляции Банкнот 2. Откройте модуль Временного хранения_TE (Временный Эскроу) (12) 3. Откройте Вспомогательную (невостребованных/фальшивых банкнот) кассету (9) 4. Удалите банкноты и посторонние предметы из Заднего Транспортного Тракта (8) 5. В случае отсутствия банкнот или посторонних предметов проверьте не загрязнен ли датчик</t>
  </si>
  <si>
    <t xml:space="preserve">Произошла ошибка Транспортного Тракта (датчик GS005) в ходе операции Пересчет Депозита (Deposit Count).</t>
  </si>
  <si>
    <t xml:space="preserve">1. Откройте верхнюю часть Модуля Рециркуляции Банкнот 2. Откройте Модуль обслуживания клиентов CSM и Модуль временного хранения_TE (временный эскроу) (12) 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</si>
  <si>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Произошла ошибка Транспортного Тракта (датчик GS006) в ходе операции Пересчет Депозита (Deposit Count).</t>
  </si>
  <si>
    <t xml:space="preserve">1. Откройте верхнюю часть Модуля Рециркуляции Банкнот 2. Откройте модуль Временного хранения_TE (Временный Эскроу) (12) 3. Откройте Вспомогательную (невостребованных/фальшивых банкнот) кассету (9) 4. Удалите банкноты и посторонние предметы из Заднего Транспортного Тракта (7) 5. В случае отсутствия банкнот или посторонних предметов проверьте не загрязнен ли датчик</t>
  </si>
  <si>
    <t xml:space="preserve">5205A00</t>
  </si>
  <si>
    <t xml:space="preserve">Произошла ошибка Транспортного Тракта (датчик GS021) в ходе операции Пересчет Депозита (Deposit Count).</t>
  </si>
  <si>
    <t xml:space="preserve">5205G00</t>
  </si>
  <si>
    <t xml:space="preserve">Произошла ошибка Транспортного Тракта (датчик GS614) в ходе операции Пересчет Депозита (Deposit Count).</t>
  </si>
  <si>
    <t xml:space="preserve">1. Откройте верхнюю часть Модуля Рециркуляции Банкнот 2. Откройте Модуль обслуживания клиентов (CSM) 3. Удалите банкноты и посторонние предметы из Модуля обслуживания клиентов CSM (3) 4. В случае отсутствия банкнот или посторонних предметов проверьте не загрязнен ли датчик</t>
  </si>
  <si>
    <t xml:space="preserve">5205H00</t>
  </si>
  <si>
    <t xml:space="preserve">Произошла ошибка Транспортного Тракта (датчик GS618) в ходе операции Пересчет Депозита (Deposit Count).</t>
  </si>
  <si>
    <t xml:space="preserve">5205J00</t>
  </si>
  <si>
    <t xml:space="preserve">Произошла ошибка Транспортного Тракта (датчик GS619) в ходе операции Пересчет Депозита (Deposit Count).</t>
  </si>
  <si>
    <t xml:space="preserve">5205K00</t>
  </si>
  <si>
    <t xml:space="preserve">Произошла ошибка Транспортного Тракта (датчик GS703) в ходе операции Пересчет Депозита (Deposit Count).</t>
  </si>
  <si>
    <t xml:space="preserve">Произошла ошибка Возвращающего Транспортного Тракта (датчик GS002) в ходе операции Пересчет Депозита (Deposit Count).</t>
  </si>
  <si>
    <t xml:space="preserve">Произошла ошибка Возвращающего Транспортного Тракта (датчик GS006) в ходе операции Пересчет Депозита (Deposit Count).</t>
  </si>
  <si>
    <t xml:space="preserve">5206A00</t>
  </si>
  <si>
    <t xml:space="preserve">Произошла ошибка Возвращающего Транспортного Тракта (датчик GS021) в ходе операции Пересчет Депозита (Deposit Count).</t>
  </si>
  <si>
    <t xml:space="preserve">5206B00</t>
  </si>
  <si>
    <t xml:space="preserve">Произошла ошибка Возвращающего Транспортного Тракта (датчик GS022) в ходе операции Пересчет Депозита (Deposit Count).</t>
  </si>
  <si>
    <t xml:space="preserve">1. Откройте нижнюю часть Модуля Рециркуляции Банкнот 2. Откройте Средний Транспортный Тракт 3. Удалите банкноты и посторонние предметы из Кассеты отбраковки  (19) 4. В случае отсутствия банкнот или посторонних предметов проверьте не загрязнен ли датчик</t>
  </si>
  <si>
    <t xml:space="preserve">5206M00</t>
  </si>
  <si>
    <t xml:space="preserve">Произошла ошибка Возвращающего Транспортного Тракта (датчик GS031) в ходе операции Пересчет Депозита (Deposit Count).</t>
  </si>
  <si>
    <t xml:space="preserve">1. Откройте нижнюю часть Модуля Рециркуляции Банкнот 2. Прокрутите круглую ручку Среднего транспортного тракта 3. Удалите банкноты и посторонние предметы из Среднего Транспортного Тракта (13) 4. В случае отсутствия банкнот или посторонних предметов проверьте не загрязнен ли датчик</t>
  </si>
  <si>
    <t xml:space="preserve">5206N00</t>
  </si>
  <si>
    <t xml:space="preserve">Произошла ошибка Возвращающего Транспортного Тракта (датчик GS032) в ходе операции Пересчет Депозита (Deposit Count).</t>
  </si>
  <si>
    <t xml:space="preserve">5206P00</t>
  </si>
  <si>
    <t xml:space="preserve">Произошла ошибка Возвращающего Транспортного Тракта (датчик GS033) в ходе операции Пересчет Депозита (Deposit Count).</t>
  </si>
  <si>
    <t xml:space="preserve">5206Q00</t>
  </si>
  <si>
    <t xml:space="preserve">Произошла ошибка Возвращающего Транспортного Тракта (датчик GS034) в ходе операции Пересчет Депозита (Deposit Count).</t>
  </si>
  <si>
    <t xml:space="preserve">5206W00</t>
  </si>
  <si>
    <t xml:space="preserve">Произошла ошибка Возвращающего Транспортного Тракта (датчик GS802) в ходе операции Пересчет Депозита (Deposit Count).</t>
  </si>
  <si>
    <t xml:space="preserve">1. Откройте верхнюю часть Модуля Рециркуляции Банкнот 2. Откройте Модуль обслуживания клиентов (CSM) 3. Откройте модуль Валидатора банкнот (5) 4. Удалите банкноты и посторонние предметы из Модуля Валидатора банкнот BC (5) 5.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</si>
  <si>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GS801 в ходе операции Пересчет Депозита (Deposit Count).</t>
  </si>
  <si>
    <t xml:space="preserve">Произошла ошибка порядка следования банкнот в области датчика GS002 в ходе операции Пересчет Депозита (Deposit Count).</t>
  </si>
  <si>
    <t xml:space="preserve">Произошла ошибка порядка следования банкнот в области датчика GS003 в ходе операции Пересчет Депозита (Deposit Count).</t>
  </si>
  <si>
    <t xml:space="preserve">1. Откройте верхнюю часть Модуля Рециркуляции Банкнот 2. Откройте модуль Временного хранения_TE (Временный Эскроу) (12) 3. Откройте Задний Транспортный Тракт (6) 4. Удалите банкноты и посторонние предметы из Заднего Транспортного Тракта (6) 5.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</si>
  <si>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GS004 в ходе операции Пересчет Депозита (Deposit Count).</t>
  </si>
  <si>
    <t xml:space="preserve">1. Откройте верхнюю часть Модуля Рециркуляции Банкнот 2. Откройте модуль Временного хранения_TE (Временный Эскроу) (12) 3. Откройте Задний Транспортный Тракт (6) 4. Выньте Вспомогательную (невостребованных/фальшивых банкнот) кассету (9) 5. Удалите банкноты и посторонние предметы из Заднего Транспортного Тракта (6) 6.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</si>
  <si>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GS005 в ходе операции Пересчет Депозита (Deposit Count).</t>
  </si>
  <si>
    <t xml:space="preserve">1. Откройте верхнюю часть Модуля Рециркуляции Банкнот 2. Откройте модуль Временного хранения_TE (Временный Эскроу) (12) 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</si>
  <si>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GS006 в ходе операции Пересчет Депозита (Deposit Count).</t>
  </si>
  <si>
    <t xml:space="preserve">1. Откройте верхнюю часть Модуля Рециркуляции Банкнот 2. Откройте модуль Временного хранения_TE (Временный Эскроу) (12) 3. Откройте Задний Транспортный Тракт (6) 4. Выньте Вспомогательную (отделение фальшивых банкнот) кассету (9) 5. Удалите банкноты и посторонние предметы из Заднего Транспортного Тракта (6) 6. В случае отсутствия банкнот или посторонних предметов проверьте не загрязнен ли датчик</t>
  </si>
  <si>
    <t xml:space="preserve">5207A00</t>
  </si>
  <si>
    <t xml:space="preserve">Произошла ошибка порядка следования банкнот в области датчика GS021 в ходе операции Пересчет Депозита (Deposit Count).</t>
  </si>
  <si>
    <t xml:space="preserve">5207B00</t>
  </si>
  <si>
    <t xml:space="preserve">Произошла ошибка порядка следования банкнот в области датчика GS022 в ходе операции Пересчет Депозита (Deposit Count).</t>
  </si>
  <si>
    <t xml:space="preserve">5207G00</t>
  </si>
  <si>
    <t xml:space="preserve">Произошла ошибка порядка следования банкнот в области датчика GS0614 в ходе операции Пересчет Депозита (Deposit Count).</t>
  </si>
  <si>
    <t xml:space="preserve">5207H00</t>
  </si>
  <si>
    <t xml:space="preserve">Произошла ошибка порядка следования банкнот в области датчика GS618 в ходе операции Пересчет Депозита (Deposit Count).</t>
  </si>
  <si>
    <t xml:space="preserve">1. Откройте верхнюю часть Модуля Рециркуляции Банкнот 2. Откройте Модуль обслуживания клиентов (CSM) 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</si>
  <si>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5207J00</t>
  </si>
  <si>
    <t xml:space="preserve">Произошла ошибка порядка следования банкнот в области датчика GS619 в ходе операции Пересчет Депозита (Deposit Count).</t>
  </si>
  <si>
    <t xml:space="preserve">5207K00</t>
  </si>
  <si>
    <t xml:space="preserve">Произошла ошибка порядка следования банкнот в области датчика GS703 в ходе операции Пересчет Депозита (Deposit Count).</t>
  </si>
  <si>
    <t xml:space="preserve">5207M00</t>
  </si>
  <si>
    <t xml:space="preserve">Произошла ошибка порядка следования банкнот в области датчика GS031 в ходе операции Пересчет Депозита (Deposit Count).</t>
  </si>
  <si>
    <t xml:space="preserve">1. Откройте нижнюю часть Модуля Рециркуляции Банкнот 2. Удалите банкноты и посторонние предметы из Среднего Транспортного Тракта (13~20) 3. В случае отсутствия банкнот или посторонних предметов проверьте не загрязнен ли датчик</t>
  </si>
  <si>
    <t xml:space="preserve">5207N00</t>
  </si>
  <si>
    <t xml:space="preserve">Произошла ошибка порядка следования банкнот в области датчика GS032 в ходе операции Пересчет Депозита (Deposit Count).</t>
  </si>
  <si>
    <t xml:space="preserve">5207P00</t>
  </si>
  <si>
    <t xml:space="preserve">Произошла ошибка порядка следования банкнот в области датчика GS033 в ходе операции Пересчет Депозита (Deposit Count).</t>
  </si>
  <si>
    <t xml:space="preserve">5207Q00</t>
  </si>
  <si>
    <t xml:space="preserve">Произошла ошибка порядка следования банкнот в области датчика GS034 в ходе операции Пересчет Депозита (Deposit Count).</t>
  </si>
  <si>
    <t xml:space="preserve">5207W00</t>
  </si>
  <si>
    <t xml:space="preserve">520D100</t>
  </si>
  <si>
    <t xml:space="preserve">Ошибка Непрерывной Отбраковки Continous Reject в ходе операции Пересчет Депозита (Deposit Count).</t>
  </si>
  <si>
    <t xml:space="preserve">1. Откройте верхнюю часть Модуля Рециркуляции Банкнот 2. Откройте шторку Модуля обслуживания клиентов CSM 3. Проверьте состояние отдельных узлов в Модуле обслуживания клиентов CSM</t>
  </si>
  <si>
    <t xml:space="preserve">520D200</t>
  </si>
  <si>
    <t xml:space="preserve">Ошибка Превышение предельного значения счетчика Максимума для Отбраковки (Maximum Reject) в ходе операции Пересчет Депозита (Deposit Count).</t>
  </si>
  <si>
    <t xml:space="preserve">1. Откройте верхнюю часть Модуля Рециркуляции Банкнот 2. Откройте шторку Модуля обслуживания клиентов CSM 3. Проверьте состояние отдельных узлов в Модуле обслуживания клиентов CSM </t>
  </si>
  <si>
    <t xml:space="preserve">520D300</t>
  </si>
  <si>
    <t xml:space="preserve">Ошибка несоответствия деноминации в ходе операции Пересчет Депозита (Deposit Count).</t>
  </si>
  <si>
    <t xml:space="preserve">1. Проверьте Внесенные Деноминации</t>
  </si>
  <si>
    <t xml:space="preserve">520D400</t>
  </si>
  <si>
    <t xml:space="preserve">Ошибка сбоя деноминаций кассеты в ходе операции Пересчет Депозита (Deposit Count).</t>
  </si>
  <si>
    <t xml:space="preserve">520D500</t>
  </si>
  <si>
    <t xml:space="preserve">Ошибка обработки сдвоенных банкнот в ходе операции Пересчет Депозита (Deposit Count).</t>
  </si>
  <si>
    <t xml:space="preserve">520D600</t>
  </si>
  <si>
    <t xml:space="preserve">Ошибка неполадки зазора (1 банкнота) в ходе операции Пересчет Депозита (Desposit Count).</t>
  </si>
  <si>
    <t xml:space="preserve">520D700</t>
  </si>
  <si>
    <t xml:space="preserve">Ошибка неполадки зазора (2 банкноты) в ходе операции Пересчет Депозита (Desposit Count).</t>
  </si>
  <si>
    <t xml:space="preserve">520D800</t>
  </si>
  <si>
    <t xml:space="preserve">Ошибка нарушения перекашивания в ходе операции Пересчет Депозита (Deposit Count).</t>
  </si>
  <si>
    <t xml:space="preserve">520D900</t>
  </si>
  <si>
    <t xml:space="preserve">Ошибка нарушения смещения в ходе операции Пересчет Депозита (Deposit Count).</t>
  </si>
  <si>
    <t xml:space="preserve">520DA00</t>
  </si>
  <si>
    <t xml:space="preserve">Ошибка превышения длины (1 банкнота) в ходе операции Пересчет Депозита (Deposit Count).</t>
  </si>
  <si>
    <t xml:space="preserve">520DB00</t>
  </si>
  <si>
    <t xml:space="preserve">Ошибка превышения длины (2 банкноты) в ходе операции Пересчет Депозита (Deposit Count).</t>
  </si>
  <si>
    <t xml:space="preserve">520DC00</t>
  </si>
  <si>
    <t xml:space="preserve">Ошибка превышения длины (3 банкноты) в ходе операции Пересчет Депозита (Deposit Count).</t>
  </si>
  <si>
    <t xml:space="preserve">520DD00</t>
  </si>
  <si>
    <t xml:space="preserve">Ошибка превышения длины (4 банкноты) в ходе операции Пересчет Депозита (Deposit Count).</t>
  </si>
  <si>
    <t xml:space="preserve">520DE00</t>
  </si>
  <si>
    <t xml:space="preserve">Ошибка недостаточной длины (1 банкнота) в ходе операции Пересчет Депозита (Deposit Count).</t>
  </si>
  <si>
    <t xml:space="preserve">520DF00</t>
  </si>
  <si>
    <t xml:space="preserve">Ошибка недостаточной длины (2 банкноты) в ходе операции Пересчет Депозита (Deposit Count).</t>
  </si>
  <si>
    <t xml:space="preserve">520DG00</t>
  </si>
  <si>
    <t xml:space="preserve">Ошибка неверной деноминации в ходе операции Пересчет Депозита (Deposit Count).</t>
  </si>
  <si>
    <t xml:space="preserve">520DH00</t>
  </si>
  <si>
    <t xml:space="preserve">Ошибка нарушения работы Магнитно-Резонансного датчика MR в ходе операции Пересчет Депозита (Deposit Count).</t>
  </si>
  <si>
    <t xml:space="preserve">1. Проверьте банкноты (Сбой распознавания банкнот)</t>
  </si>
  <si>
    <t xml:space="preserve">520DJ00</t>
  </si>
  <si>
    <t xml:space="preserve">Ошибка работы Инфракрасного датчика IR в ходе операции Пересчет Депозита (Deposit Count).</t>
  </si>
  <si>
    <t xml:space="preserve">520DK00</t>
  </si>
  <si>
    <t xml:space="preserve">Ошибка обработки края банкнот в ходе операции Пересчет Депозита (Deposit Count).</t>
  </si>
  <si>
    <t xml:space="preserve">520DL00</t>
  </si>
  <si>
    <t xml:space="preserve">Ошибка образа банкнот в ходе операции Пересчет Депозита (Deposit Count).</t>
  </si>
  <si>
    <t xml:space="preserve">520DM00</t>
  </si>
  <si>
    <t xml:space="preserve">Ошибка нарушения работы УФ датчика UV в ходе операции Пересчет Депозита (Deposit Count).</t>
  </si>
  <si>
    <t xml:space="preserve">520DN00</t>
  </si>
  <si>
    <t xml:space="preserve">Ошибка нарушения работы сенсора в ходе операции Пересчет Депозита (Deposit Count).</t>
  </si>
  <si>
    <t xml:space="preserve">1. Выполните инициализацию Модуля Рециркуляции Банкнот BRM (Восстановление) </t>
  </si>
  <si>
    <t xml:space="preserve">520DO</t>
  </si>
  <si>
    <t xml:space="preserve">Ошибка Повышенная Отбраковка (Excessive Reject) операции Ограничение Деноминации Пересчета Депозита (Denominatinon Limitation Deposit Count).</t>
  </si>
  <si>
    <t xml:space="preserve">Банкноты возвращены клиенту (информационный статус)</t>
  </si>
  <si>
    <t xml:space="preserve">520DO00</t>
  </si>
  <si>
    <t xml:space="preserve">520DP00</t>
  </si>
  <si>
    <t xml:space="preserve">Ошибка подключения в ходе операции Пересчет Депозита (Deposit Count).</t>
  </si>
  <si>
    <t xml:space="preserve">520DQ00</t>
  </si>
  <si>
    <t xml:space="preserve">Ошибка Full&amp;ETC в ходе операции Пересчет Депозита (Deposit Count).</t>
  </si>
  <si>
    <t xml:space="preserve">520DR00</t>
  </si>
  <si>
    <t xml:space="preserve">Ошибка синхронизации распознавания в ходе операции Пересчет Депозита (Deposit Count).</t>
  </si>
  <si>
    <t xml:space="preserve">520DS00</t>
  </si>
  <si>
    <t xml:space="preserve">520DT00</t>
  </si>
  <si>
    <t xml:space="preserve">520DU00</t>
  </si>
  <si>
    <t xml:space="preserve">520DV00</t>
  </si>
  <si>
    <t xml:space="preserve">520DW00</t>
  </si>
  <si>
    <t xml:space="preserve">520DX00</t>
  </si>
  <si>
    <t xml:space="preserve">520DY00</t>
  </si>
  <si>
    <t xml:space="preserve">520F100</t>
  </si>
  <si>
    <t xml:space="preserve">Ошибка motor removal error двигателя GM001 в ходе операции Пересчет Депозита (Deposit Count).</t>
  </si>
  <si>
    <t xml:space="preserve">1. Откройте верхнюю часть Модуля Рециркуляции Банкнот 2. Убедитесь, что круглая ручка Переднего Транспортного Тракта (4) вращается свободно 3. Проверьте не остались ли банкноты и посторонние предметы в Верхнем Транспортном Тракте 4. Проверьте состояние датчика GS804</t>
  </si>
  <si>
    <t xml:space="preserve">520F200</t>
  </si>
  <si>
    <t xml:space="preserve">Ошибка motor removal error двигателя GM002 в ходе операции Пересчет Депозита (Deposit Count).</t>
  </si>
  <si>
    <t xml:space="preserve">1. Откройте верхнюю часть Модуля Рециркуляции Банкнот 2. Убедитесь, что круглая ручка Заднего Транспортного Тракта (8) вращается свободно 3. Проверьте не остались ли банкноты и посторонние предметы в Верхнем Транспортном Тракте 4. Проверьте состояние датчика GS007 Sensor</t>
  </si>
  <si>
    <t xml:space="preserve">520F500</t>
  </si>
  <si>
    <t xml:space="preserve">Снижено кол-во счетов энкодера двигателя GM001 относительно предыдущих значений в ходе операции Пересчет Депозита (Deposit Count).</t>
  </si>
  <si>
    <t xml:space="preserve">520F600</t>
  </si>
  <si>
    <t xml:space="preserve">Снижено кол-во счетов энкодера двигателя GM002 относительно предыдущих значений в ходе операции Пересчет Депозита (Deposit Count).</t>
  </si>
  <si>
    <t xml:space="preserve">520F700</t>
  </si>
  <si>
    <t xml:space="preserve">Снижено кол-во счетов энкодера двигателя GM004 относительно предыдущих значений в ходе операции Пересчет Депозита (Deposit Count).</t>
  </si>
  <si>
    <t xml:space="preserve">520G100</t>
  </si>
  <si>
    <t xml:space="preserve">Не удалось переключить 3-х направленный Затвор Тракта в режим 0-го градуса в ходе операции Пересчет Депозита (Deposit Count) в ходе операции Пересчет Депозита (Deposit Count).</t>
  </si>
  <si>
    <t xml:space="preserve">1. Откройте верхнюю часть Модуля Рециркуляции Банкнот 2. Откройте Модуль обслуживания клиентов CSM и Модуль временного хранения_TE (временный эскроу) (12) 3. Удалите банкноты и посторонние предметы из затвора в Заднем Транспортном Тракте</t>
  </si>
  <si>
    <t xml:space="preserve">520G200</t>
  </si>
  <si>
    <t xml:space="preserve">Не удалось переключить 3-х направленный Затвор Тракта в 120 градусный режим в ходе операции Пересчет Депозита (Deposit Count) в ходе операции Пересчет Депозита (Deposit Count).</t>
  </si>
  <si>
    <t xml:space="preserve">520K100</t>
  </si>
  <si>
    <t xml:space="preserve">Ошибка дублирования серийного номера в ходе операции Пересчет Депозита (Deposit Count)..</t>
  </si>
  <si>
    <t xml:space="preserve">1. Проверьте и удалите дублированную банкноту. 2. Выполните инициализацию Модуля Рециркуляции Банкнот BRM (Восстановление)</t>
  </si>
  <si>
    <t xml:space="preserve">520N100</t>
  </si>
  <si>
    <t xml:space="preserve">Ошибка несоответствия счетчика Проследовавших банкнот датчика GS615 и пересчитанных банкнот датчика GS801 после того как Отбракованные банкноты были уложены в Модуле обслуживания клиентов CSM в ходе операции Пересчет Депозита (Deposit Count) (Только для разрешения проблемы 4 Отбраковыннах Банкнот).</t>
  </si>
  <si>
    <t xml:space="preserve">520N200</t>
  </si>
  <si>
    <t xml:space="preserve">Превышен лимит счётчика в ходе операции Пересчет Депозита (Deposit Count).</t>
  </si>
  <si>
    <t xml:space="preserve">520N300</t>
  </si>
  <si>
    <t xml:space="preserve">Превышен лимит суммы в ходе операции Пересчет Депозита (Deposit Count).</t>
  </si>
  <si>
    <t xml:space="preserve">520N400</t>
  </si>
  <si>
    <t xml:space="preserve">Ошибка невозможности автовосстановления датчика.</t>
  </si>
  <si>
    <t xml:space="preserve">520N900</t>
  </si>
  <si>
    <t xml:space="preserve">Кол-во набранных банкнот не совпадает с кол-вом уложенных банкнот при завершении разделения в ходе операции Пересчет Депозита (Deposit Count).</t>
  </si>
  <si>
    <t xml:space="preserve">520NB00</t>
  </si>
  <si>
    <t xml:space="preserve">Превышение Предельного кол-ва деноминаций при вводе банкнот в ходе операции Пересчет Депозита (Deposit Count).</t>
  </si>
  <si>
    <t xml:space="preserve">520NC00</t>
  </si>
  <si>
    <t xml:space="preserve">Не удалось проверить последнюю банкноту в окончании Среднего Транспортного Тракта в ходе операции Пересчет Депозита (Deposit Count).</t>
  </si>
  <si>
    <t xml:space="preserve">520ND00</t>
  </si>
  <si>
    <t xml:space="preserve">Изъята одна из сдвоенных банкнот в ходе операции forced Пересчет Депозита (Deposit Count).</t>
  </si>
  <si>
    <t xml:space="preserve">1. Проверьте Внесенные Деноминации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</si>
  <si>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520NE00</t>
  </si>
  <si>
    <t xml:space="preserve">Ошибка проверки деноминации первой внесенной банкноты - вне деноминации.</t>
  </si>
  <si>
    <t xml:space="preserve">520NF00</t>
  </si>
  <si>
    <t xml:space="preserve">Установленная деноминация отличается от распознанной деноминации в ходе операции Принудительный Пересчет Депозита (Forced Deposit Count).</t>
  </si>
  <si>
    <t xml:space="preserve">520NG00</t>
  </si>
  <si>
    <t xml:space="preserve">Изъята одна из сдвоенных банкнот в ходе операции Пересчет Депозита (Deposit Count).</t>
  </si>
  <si>
    <t xml:space="preserve">520NH00</t>
  </si>
  <si>
    <t xml:space="preserve">Не удалось установить повтор депозита при первом депозите в ходе операции Пересчет Депозита (Deposit Count).</t>
  </si>
  <si>
    <t xml:space="preserve">1. Проверьте повторное внесение при первичном внесении.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</si>
  <si>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520NK00</t>
  </si>
  <si>
    <t xml:space="preserve">Ошибка No gate for insertion в ходе операции Пересчет Депозита (Deposit Count).</t>
  </si>
  <si>
    <t xml:space="preserve">520Q100</t>
  </si>
  <si>
    <t xml:space="preserve">Ошибка установки Вспомогательной Кассеты UTC в ходе операции Пересчет Депозита (Deposit Count).</t>
  </si>
  <si>
    <t xml:space="preserve">1. Откройте верхнюю часть Модуля Рециркуляции Банкнот 2. Проверьте, что Вспомогательная (невостребованных/фальшивых банкнот) кассета установлена (9)</t>
  </si>
  <si>
    <t xml:space="preserve">520Q200</t>
  </si>
  <si>
    <t xml:space="preserve">Ошибка открытого Модуля временного хранения (TE) в ходе операции Пересчет Депозита (Deposit Count).</t>
  </si>
  <si>
    <t xml:space="preserve">520Q300</t>
  </si>
  <si>
    <t xml:space="preserve">Ошибка концевого переключателя BMU в ходе операции Пересчет Депозита (Deposit Count).</t>
  </si>
  <si>
    <t xml:space="preserve">1. Проверьте, что Верхняя часть Модуля Рециркуляции Банкнот находится в положении установлено 2. Замените концевой переключатель в случае повторения ошибки</t>
  </si>
  <si>
    <t xml:space="preserve">520Q400</t>
  </si>
  <si>
    <t xml:space="preserve">Ошибка установки BMU в ходе операции Пересчет Депозита (Deposit Count).</t>
  </si>
  <si>
    <t xml:space="preserve">1. Проверьте, что Верхняя часть Модуля Рециркуляции Банкнот находится в положении установлено</t>
  </si>
  <si>
    <t xml:space="preserve">520Q500</t>
  </si>
  <si>
    <t xml:space="preserve">Сейфовая дверь открыта в ходе операции Пересчет Депозита (Deposit Count).</t>
  </si>
  <si>
    <t xml:space="preserve">1. Проверьте, что сейфовая дверь закрыта</t>
  </si>
  <si>
    <t xml:space="preserve">520Q600</t>
  </si>
  <si>
    <t xml:space="preserve">Ошибка открытия CSM в ходе операции Пересчет Депозита (Deposit Count).</t>
  </si>
  <si>
    <t xml:space="preserve">1. Откройте верхнюю часть Модуля Рециркуляции Банкнот 2. Проверьте закрыт ли Модуль обслуживания клиентов CSM 3. Проверьте датчик GS011</t>
  </si>
  <si>
    <t xml:space="preserve">520Q700</t>
  </si>
  <si>
    <t xml:space="preserve">Ошибка вынутой Кассеты Отбраковки RJC в ходе операции Пересчет Депозита (Deposit Count).</t>
  </si>
  <si>
    <t xml:space="preserve">1. Откройте нижнюю часть Модуля Рециркуляции Банкнот 2. Откройте Средний Транспортный Тракт 3. Проверьте, что Кассета отбраковки (21) установлена</t>
  </si>
  <si>
    <t xml:space="preserve">520Q800</t>
  </si>
  <si>
    <t xml:space="preserve">Ошибка концевого переключателя BMD в ходе операции Пересчет Депозита (Deposit Count).</t>
  </si>
  <si>
    <t xml:space="preserve">1. Проверьте, что Нижняя часть Модуля Рециркуляции Банкнот находится в положении установлено 2. Замените концевой переключатель в случае повторения ошибки</t>
  </si>
  <si>
    <t xml:space="preserve">520Q900</t>
  </si>
  <si>
    <t xml:space="preserve">Ошибка положения BMD в ходе операции Пересчет Депозита (Deposit Count).</t>
  </si>
  <si>
    <t xml:space="preserve">1. Проверьте, что Нижняя часть Модуля Рециркуляции Банкнот находится в положении установлено</t>
  </si>
  <si>
    <t xml:space="preserve">520QA00</t>
  </si>
  <si>
    <t xml:space="preserve">Ошибка открытия BC в ходе операции Пересчет Депозита (Deposit Count).</t>
  </si>
  <si>
    <t xml:space="preserve">1. Откройте верхнюю часть Модуля Рециркуляции Банкнот 2. Откройте Модуль обслуживания клиентов (CSM) 3. Проверьте закрытость защелки Модуля Валидатора банкнот BC</t>
  </si>
  <si>
    <t xml:space="preserve">520R100</t>
  </si>
  <si>
    <t xml:space="preserve">BM вернул ошибку таймаута сообщения в ходе готовности к операции Пересчет Депозита (Deposit Count).</t>
  </si>
  <si>
    <t xml:space="preserve">520R200</t>
  </si>
  <si>
    <t xml:space="preserve">BM вернул ошибку таймаута сообщения при совершении транзакции в ходе операции Пересчет Депозита (Deposit Count).</t>
  </si>
  <si>
    <t xml:space="preserve">520R300</t>
  </si>
  <si>
    <t xml:space="preserve">BM вернул ошибку таймаута сообщения в ходе постпроцессинга ошибки операции Пересчет Депозита (Deposit Count Error).</t>
  </si>
  <si>
    <t xml:space="preserve">GS105 сообщил об ошибке замятия по Темному типу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</si>
  <si>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Удалите посторонние предметы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</si>
  <si>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Транспортного Тракта GS(105)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</si>
  <si>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</si>
  <si>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Произошла ошибка порядка следования банкнот в Транспортном Тракте (датчик GS105) в ходе операции Пересчет Депозита (Deposit Count).</t>
  </si>
  <si>
    <t xml:space="preserve">1. Откройте нижнюю часть Модуля Рециркуляции Банкнот 2. Откройте Средний Транспортный Тракт 3. Удалите банкноты и посторонние предметы из Кассеты Рециркуляции (14) 4. В случае отсутствия банкнот или посторонних предметов проверьте не загрязнен ли датчик</t>
  </si>
  <si>
    <t xml:space="preserve">521GB00</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</si>
  <si>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Пересчет Депозита (Deposit Count).</t>
  </si>
  <si>
    <t xml:space="preserve">521GC00</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</si>
  <si>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Пересчет Депозита (Deposit Count).</t>
  </si>
  <si>
    <t xml:space="preserve">GS205 сообщил об ошибке замятия по Темному типу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</si>
  <si>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Удалите посторонние предметы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</si>
  <si>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Транспортного Тракта GS(205)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</si>
  <si>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</si>
  <si>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GS205 Note disorder error в ходе операции Пересчет Депозита (Deposit Count).</t>
  </si>
  <si>
    <t xml:space="preserve">1. Откройте нижнюю часть Модуля Рециркуляции Банкнот 2. Откройте Средний Транспортный Тракт 3. Удалите банкноты и посторонние предметы из Кассеты Рециркуляции (15) 4. В случае отсутствия банкнот или посторонних предметов проверьте не загрязнен ли датчик</t>
  </si>
  <si>
    <t xml:space="preserve">522GB00</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</si>
  <si>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Пересчет Депозита (Deposit Count).</t>
  </si>
  <si>
    <t xml:space="preserve">522GC00</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</si>
  <si>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Пересчет Депозита (Deposit Count).</t>
  </si>
  <si>
    <t xml:space="preserve">GS305 сообщил об ошибке замятия по Темному типу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</si>
  <si>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Удалите посторонние предметы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</si>
  <si>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Транспортного Тракта GS(305)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</si>
  <si>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</si>
  <si>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Произошла ошибка порядка следования банкнот в Транспортном Тракте (датчик GS305) в ходе операции Пересчет Депозита (Deposit Count).</t>
  </si>
  <si>
    <t xml:space="preserve">1. Откройте нижнюю часть Модуля Рециркуляции Банкнот 2. Откройте Средний Транспортный Тракт 3. Удалите банкноты и посторонние предметы из Кассеты Рециркуляции (16) 4. В случае отсутствия банкнот или посторонних предметов проверьте не загрязнен ли датчик</t>
  </si>
  <si>
    <t xml:space="preserve">523GB00</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</si>
  <si>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Пересчет Депозита (Deposit Count).</t>
  </si>
  <si>
    <t xml:space="preserve">523GC00</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</si>
  <si>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Пересчет Депозита (Deposit Count).</t>
  </si>
  <si>
    <t xml:space="preserve">GS405 сообщил об ошибке замятия по Темному типу.</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</si>
  <si>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Удалите посторонние предметы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</si>
  <si>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Транспортного Тракта GS(405)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</si>
  <si>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</si>
  <si>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1. Откройте нижнюю часть Модуля Рециркуляции Банкнот 2. Откройте Средний Транспортный Тракт 3. Удалите банкноты и посторонние предметы из Кассеты Рециркуляции (17) 4. В случае отсутствия банкнот или посторонних предметов проверьте не загрязнен ли датчик</t>
  </si>
  <si>
    <t xml:space="preserve">524GB00</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</si>
  <si>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Пересчет Депозита (Deposit Count).</t>
  </si>
  <si>
    <t xml:space="preserve">524GC00</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</si>
  <si>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Пересчет Депозита (Deposit Count).</t>
  </si>
  <si>
    <t xml:space="preserve">GS505 сообщил об ошибке замятия по Темному типу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</si>
  <si>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Удалите посторонние предметы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</si>
  <si>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Транспортного Тракта GS(505)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</si>
  <si>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</si>
  <si>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1. Откройте нижнюю часть Модуля Рециркуляции Банкнот 2. Откройте Средний Транспортный Тракт 3. Удалите банкноты и посторонние предметы из Кассеты Рециркуляции (18) 4. В случае отсутствия банкнот или посторонних предметов проверьте не загрязнен ли датчик</t>
  </si>
  <si>
    <t xml:space="preserve">525GB00</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</si>
  <si>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Пересчет Депозита (Deposit Count).</t>
  </si>
  <si>
    <t xml:space="preserve">525GC00</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</si>
  <si>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Пересчет Депозита (Deposit Count).</t>
  </si>
  <si>
    <t xml:space="preserve">Ошибка оставшихся банкнот в Модуле обслуживания клиентов CSM в ходе операции Пересчет Депозита (Deposit Count).</t>
  </si>
  <si>
    <t xml:space="preserve">1. Откройте верхнюю часть Модуля Рециркуляции Банкнот 2. Откройте Модуль обслуживания клиентов CSM (1) 3. Удалите банкноты и посторонние предметы из Модуля обслуживания клиентов CSM(1) 4. В случае отсутствия банкнот или посторонних предметов проверьте не загрязнен ли датчик</t>
  </si>
  <si>
    <t xml:space="preserve">Разделённые банкноты не обнаружены в Модуле обслуживания клиентов CSM в ходе операции Пересчет Депозита (Deposit Count).</t>
  </si>
  <si>
    <t xml:space="preserve">1. Откройте верхнюю часть Модуля Рециркуляции Банкнот 2. Откройте Модуль обслуживания клиентов CSM (1) 3. Удалите банкноты и посторонние предметы из Модуля обслуживания клиентов CSM 4. Проверьте датчики относящиеся к ошибке</t>
  </si>
  <si>
    <t xml:space="preserve">1. Выполните инициализацию Модуля Рециркуляции Банкнот BRM (Восстановление) 2. Проверьте не было ли внесено более 200 банкнот за раз в Модуль обслуживания клиентов CSM</t>
  </si>
  <si>
    <t xml:space="preserve">Неизвестная ошибка команды Модуля обслуживания клиентов (CSM) в ходе операции Пересчет Депозита (Deposit Count).</t>
  </si>
  <si>
    <t xml:space="preserve">Состояние остались банкноты сменилось на состояние банкноты отсутствуют в Модуле обслуживания клиентов CSM в ходе операции Пересчет Депозита (Deposit Count).</t>
  </si>
  <si>
    <t xml:space="preserve">1. Откройте верхнюю часть Модуля Рециркуляции Банкнот 2. Откройте шторку Модуля обслуживания клиентов CSM (1) 3. Удалите банкноты и посторонние предметы из Модуля обслуживания клиентов CSM 4. Проверьте датчики относящиеся к ошибке</t>
  </si>
  <si>
    <t xml:space="preserve">Состояние банкноты отсутствуют сменилось на состояние остались банкноты в Модуле обслуживания клиентов CSM в ходе операции Пересчет Депозита (Deposit Count).</t>
  </si>
  <si>
    <t xml:space="preserve">526B100</t>
  </si>
  <si>
    <t xml:space="preserve">Ошибка получения и позиционирования банкнот в ходе операции Пересчет Депозита (Deposit Count).</t>
  </si>
  <si>
    <t xml:space="preserve">526B200</t>
  </si>
  <si>
    <t xml:space="preserve">526B300</t>
  </si>
  <si>
    <t xml:space="preserve">Ошибка слистывания при разделении в ходе операции Пересчет Депозита (Deposit Count).</t>
  </si>
  <si>
    <t xml:space="preserve">526B400</t>
  </si>
  <si>
    <t xml:space="preserve">Замятие из-за нарушения процесса разделения (Фронтальный перекос) в ходе операции Пересчет Депозита (Deposit Count).</t>
  </si>
  <si>
    <t xml:space="preserve">526B500</t>
  </si>
  <si>
    <t xml:space="preserve">Замятие из-за нарушения процесса разделения (Задний перекос) в ходе операции Пересчет Депозита (Deposit Count).</t>
  </si>
  <si>
    <t xml:space="preserve">526B600</t>
  </si>
  <si>
    <t xml:space="preserve">Замятие из-за нарушения процесса разделения (Превышение макс. длины) в ходе операции Пересчет Депозита (Deposit Count).</t>
  </si>
  <si>
    <t xml:space="preserve">526B700</t>
  </si>
  <si>
    <t xml:space="preserve">Замятие из-за нарушения процесса разделения (Превышение мин. длины) в ходе операции Пересчет Депозита (Deposit Count).</t>
  </si>
  <si>
    <t xml:space="preserve">526B800</t>
  </si>
  <si>
    <t xml:space="preserve">Замятие из-за нарушения процесса разделения по Темному типу в ходе операции Пересчет Депозита (Deposit Count).</t>
  </si>
  <si>
    <t xml:space="preserve">526B900</t>
  </si>
  <si>
    <t xml:space="preserve">Нарушение разделения сдвоенных банкнот (2 банкноты) в ходе операции Пересчет Депозита (Deposit Count).</t>
  </si>
  <si>
    <t xml:space="preserve">526BB00</t>
  </si>
  <si>
    <t xml:space="preserve">Замятие из-за нарушения процесса разделения (Превышение макс. длины -&gt; GS801 замятие в области датчика по Светлому типу) в ходе операции Пересчет Депозита (Deposit Count).</t>
  </si>
  <si>
    <t xml:space="preserve">1. Откройте верхнюю часть Модуля Рециркуляции Банкнот 2. Откройте шторку Модуля обслуживания клиентов CSM (1) 3.  Удалите банкноты и посторонние предметы из Модуля обслуживания клиентов CSM</t>
  </si>
  <si>
    <t xml:space="preserve">526BC00</t>
  </si>
  <si>
    <t xml:space="preserve">Замятие из-за нарушения процесса разделения по Светлому типу в ходе операции Пересчет Депозита (Deposit Count).</t>
  </si>
  <si>
    <t xml:space="preserve">526BD00</t>
  </si>
  <si>
    <t xml:space="preserve">Замятие из-за нарушения процесса разделения (Hole. ETC) в ходе операции Пересчет Депозита (Deposit Count).</t>
  </si>
  <si>
    <t xml:space="preserve">526BE00</t>
  </si>
  <si>
    <t xml:space="preserve">Разделённые банкноты не обнаружены в Модуле обслуживания клиентов CSM после полного разделения в ходе операции Пересчет Депозита (Deposit Count).</t>
  </si>
  <si>
    <t xml:space="preserve">Разделённые банкноты не обнаружены в Модуле обслуживания клиентов CSM после полного разделения  в ходе операции Пересчет Депозита (Deposit Count).</t>
  </si>
  <si>
    <t xml:space="preserve">526G100</t>
  </si>
  <si>
    <t xml:space="preserve">Ошибка перемещения Задней прижимной пластины BP в положение для укладывания банкнот в пачку в ходе операции Пересчет Депозита (Deposit Count).</t>
  </si>
  <si>
    <t xml:space="preserve">526G200</t>
  </si>
  <si>
    <t xml:space="preserve">Ошибка выдачи банкнот Задней прижимной пластины BP в ходе операции Пересчет Депозита (Deposit Count).</t>
  </si>
  <si>
    <t xml:space="preserve">1. Откройте верхнюю часть Модуля Рециркуляции Банкнот 2. Откройте шторку Модуля обслуживания клиентов CSM (1) 4.  Удалите банкноты и посторонние предметы из Модуля обслуживания клиентов CSM</t>
  </si>
  <si>
    <t xml:space="preserve">526G300</t>
  </si>
  <si>
    <t xml:space="preserve">Ошибка перемещения Задней прижимной пластины BP в положение для разделения банкнот в ходе операции Пересчет Депозита (Deposit Count).</t>
  </si>
  <si>
    <t xml:space="preserve">526G400</t>
  </si>
  <si>
    <t xml:space="preserve">Ошибка контроля разделения банкнот Задней прижимной пластины BP в ходе операции Пересчет Депозита (Deposit Count).</t>
  </si>
  <si>
    <t xml:space="preserve">526G500</t>
  </si>
  <si>
    <t xml:space="preserve">526G600</t>
  </si>
  <si>
    <t xml:space="preserve">Не удалось переместить слистывающий ролик в исходное положение в ходе операции Пересчет Депозита (Deposit Count).</t>
  </si>
  <si>
    <t xml:space="preserve">526G700</t>
  </si>
  <si>
    <t xml:space="preserve">Не удалось вернуть банкноты в ходе операции Пересчет Депозита (Deposit Count) (Двигатель сепаратора работает с ошибками).</t>
  </si>
  <si>
    <t xml:space="preserve">526G800</t>
  </si>
  <si>
    <t xml:space="preserve">Не удалось вернуть банкноты в ходе операции Пересчет Депозита (Deposit Count).</t>
  </si>
  <si>
    <t xml:space="preserve">526G900</t>
  </si>
  <si>
    <t xml:space="preserve">Не удалось переместить укладывающий ролик в положение Выдача(укладка) в ходе операции Пересчет Депозита (Deposit Count) Stack roller (GM605 работает с ошибками).</t>
  </si>
  <si>
    <t xml:space="preserve">526GA00</t>
  </si>
  <si>
    <t xml:space="preserve">Не удалось переместить укладывающий ролик в положение для Депозита в ходе операции Пересчет Депозита (Deposit Count) (GM605 работает с ошибками).</t>
  </si>
  <si>
    <t xml:space="preserve">1. Откройте верхнюю часть Модуля Рециркуляции Банкнот 2. Убедитесь, что круглая ручка Модуля обслуживания клиентов CSM (3) вращается свободно</t>
  </si>
  <si>
    <t xml:space="preserve">526GB00</t>
  </si>
  <si>
    <t xml:space="preserve">Сбой управления укладывающего ролика в ходе операции Пересчет Депозита (Deposit Count) (GM605 работает с ошибками).</t>
  </si>
  <si>
    <t xml:space="preserve">526GC00</t>
  </si>
  <si>
    <t xml:space="preserve">Не удалось вернуть банкноты в ходе операции Пересчет Депозита (Deposit Count) (BP/PP работает с ошибками).</t>
  </si>
  <si>
    <t xml:space="preserve">526GD00</t>
  </si>
  <si>
    <t xml:space="preserve">Не удалось выполнить Поднимание (Lift-up) в ходе операции Пересчет Депозита (Deposit Count).</t>
  </si>
  <si>
    <t xml:space="preserve">526GE00</t>
  </si>
  <si>
    <t xml:space="preserve">Не удалось выполнить Опускание (Lift-down) в ходе операции Пересчет Депозита (Deposit Count).</t>
  </si>
  <si>
    <t xml:space="preserve">526GF00</t>
  </si>
  <si>
    <t xml:space="preserve">Не удалось переместить ролик затвора в исходное положение в ходе операции Пересчет Депозита (Deposit Count).</t>
  </si>
  <si>
    <t xml:space="preserve">526GG00</t>
  </si>
  <si>
    <t xml:space="preserve">526H100</t>
  </si>
  <si>
    <t xml:space="preserve">Не удалось переместить укладывающий ролик в положение для Депозита (укладка) в ходе операции возврата банкнот при операции Пересчет Депозита (Deposit Count).</t>
  </si>
  <si>
    <t xml:space="preserve">526H200</t>
  </si>
  <si>
    <t xml:space="preserve">Ошибка инициализации ограничителя в ходе операции Пересчет Депозита (Deposit Count).</t>
  </si>
  <si>
    <t xml:space="preserve">1. Откройте верхнюю часть Модуля Рециркуляции Банкнот 2. Удалите банкноты и посторонние предметы из Модуля обслуживания клиентов CSM (2) 3. Убедитесь, что Прижимная пластина вращается свободно с помощью круглой ручки Модуля обслуживания клиентов CSM  (1) </t>
  </si>
  <si>
    <t xml:space="preserve">526M100</t>
  </si>
  <si>
    <t xml:space="preserve">1. Откройте верхнюю часть Модуля Рециркуляции Банкнот 2. Убедитесь, что круглая ручка шаттера вращается свободно в Модуле обслуживания клиентов CSM (1) 3. Проверьте внутренние механизмы Модуля обслуживания клиентов CSM</t>
  </si>
  <si>
    <t xml:space="preserve">526M400</t>
  </si>
  <si>
    <t xml:space="preserve">Ошибка опускания ограничителя в ходе операции Пересчет Депозита (Deposit Count).</t>
  </si>
  <si>
    <t xml:space="preserve">526M500</t>
  </si>
  <si>
    <t xml:space="preserve">Ошибка поднятия ограничителя в ходе операции Пересчет Депозита (Deposit Count).</t>
  </si>
  <si>
    <t xml:space="preserve">1. Откройте верхнюю часть Модуля Рециркуляции Банкнот 2. Убедитесь, что круглая ручка вращается свободно в Модуле обслуживания клиентов CSM (1) 3. Проверьте внутренние механизмы Модуля обслуживания клиентов CSM</t>
  </si>
  <si>
    <t xml:space="preserve">526M600</t>
  </si>
  <si>
    <t xml:space="preserve">Ошибка закрытия шаттера при инициализации ограничителя в ходе операции Пересчет Депозита (Deposit Count).</t>
  </si>
  <si>
    <t xml:space="preserve">526P100</t>
  </si>
  <si>
    <t xml:space="preserve">Ошибка перемещения Прижимной Пластины в положение депозита в ходе операции Пересчет Депозита (Deposit Count).</t>
  </si>
  <si>
    <t xml:space="preserve">1. Откройте верхнюю часть Модуля Рециркуляции Банкнот 2.  Удалите банкноты и посторонние предметы из Модуля обслуживания клиентов CSM 3. Убедитесь, что Прижимная пластина вращается свободно с помощью круглой ручки Модуля обслуживания клиентов CSM  (1)</t>
  </si>
  <si>
    <t xml:space="preserve">526P200</t>
  </si>
  <si>
    <t xml:space="preserve">Ошибка перемещения Прижимной Пластины PP в положение разделения в ходе операции Пересчет Депозита (Deposit Count).</t>
  </si>
  <si>
    <t xml:space="preserve">526P300</t>
  </si>
  <si>
    <t xml:space="preserve">Ошибка перемещения Прижимной Пластины PP в положение lose return в ходе операции Пересчет Депозита (Deposit Count).</t>
  </si>
  <si>
    <t xml:space="preserve">526P400</t>
  </si>
  <si>
    <t xml:space="preserve">1. Откройте верхнюю часть Модуля Рециркуляции Банкнот 2.  Удалите банкноты и посторонние предметы из Модуля обслуживания клиентов CSM 3. Убедитесь, что круглая ручка вращается свободно в Модуле обслуживания клиентов CSM (1)</t>
  </si>
  <si>
    <t xml:space="preserve">526P500</t>
  </si>
  <si>
    <t xml:space="preserve">Ошибка выдачи банкнот Прижимной Пластины PP в ходе операции Пересчет Депозита (Deposit Count).</t>
  </si>
  <si>
    <t xml:space="preserve">526P600</t>
  </si>
  <si>
    <t xml:space="preserve">Ошибка выравнивания банкнот Прижимной Пластины PP в ходе операции Пересчет Депозита (Deposit Count).</t>
  </si>
  <si>
    <t xml:space="preserve">526P700</t>
  </si>
  <si>
    <t xml:space="preserve">Ошибка контроля разделения (во время сепарации) Прижимной Пластины PP в ходе операции Пересчет Депозита (Deposit Count).</t>
  </si>
  <si>
    <t xml:space="preserve">526P800</t>
  </si>
  <si>
    <t xml:space="preserve">Ошибка контроля укладки (во время укладывания) Прижимной Пластины PP в ходе операции Пересчет Депозита (Deposit Count).</t>
  </si>
  <si>
    <t xml:space="preserve">526P900</t>
  </si>
  <si>
    <t xml:space="preserve">Ошибка возврата банкнот в ходе операции Пересчет Депозита (Deposit Count).</t>
  </si>
  <si>
    <t xml:space="preserve">1. Откройте верхнюю часть Модуля Рециркуляции Банкнот 2. Удалите банкноты и посторонние предметы из Модуля обслуживания клиентов CSM (2) 3. Проверьте, что круглая ручка Модуля обслуживания клиентов CSM вращается свободно (2) 4. Убедитесь, что круглая ручка Модуля обслуживания клиентов CSM (3) вращается свободно</t>
  </si>
  <si>
    <t xml:space="preserve">526PA00</t>
  </si>
  <si>
    <t xml:space="preserve">Ошибка ready stop Прижимной Пластины PP в ходе операции Пересчет Депозита (Deposit Count).</t>
  </si>
  <si>
    <t xml:space="preserve">526R100</t>
  </si>
  <si>
    <t xml:space="preserve">Модуль обслуживания клиентов CSM вернул ошибку таймаута сообщения в ходе готовности к операции Пересчет Депозита (Deposit Count).</t>
  </si>
  <si>
    <t xml:space="preserve">526R200</t>
  </si>
  <si>
    <t xml:space="preserve">Модуль обслуживания клиентов CSM вернул ошибку таймаута сообщения при проведении транзакции в ходе операции Пересчет Депозита (Deposit Count).</t>
  </si>
  <si>
    <t xml:space="preserve">526R300</t>
  </si>
  <si>
    <t xml:space="preserve">Модуль обслуживания клиентов CSM вернул ошибку таймаута сообщения в ходе постпроцессинга ошибки операции Пересчет Депозита (Deposit Count Error).</t>
  </si>
  <si>
    <t xml:space="preserve">GS703 замятие в области датчика по Темному типу в ходе операции Пересчет Депозита (Deposit Count).</t>
  </si>
  <si>
    <t xml:space="preserve">Произошла ошибка оставшихся банкнот в области датчика GS701 Пересчет Депозита (Deposit Count).</t>
  </si>
  <si>
    <t xml:space="preserve">Произошла ошибка оставшихся банкнот в области датчика GS702 Пересчет Депозита (Deposit Count).</t>
  </si>
  <si>
    <t xml:space="preserve">Произошла ошибка оставшихся банкнот в области датчика GS703 в ходе выполнения операции Пересчет Депозита (Deposit Count).</t>
  </si>
  <si>
    <t xml:space="preserve">Произошла ошибка оставшихся банкнот в области датчика GS709 в ходе выполнения операции Пересчет Депозита (Deposit Count).</t>
  </si>
  <si>
    <t xml:space="preserve">5272Z00</t>
  </si>
  <si>
    <t xml:space="preserve">Произошла ошибка оставшихся банкнот в Модуле временного хранения_TE в ходе операции Пересчет Депозита (Deposit Count) at first.</t>
  </si>
  <si>
    <t xml:space="preserve">1. Откройте верхнюю часть Модуля Рециркуляции Банкнот 2. Откройте модуль Временного хранения_TE (Временный Эскроу) (12)  3. Прокрутите круглую ручку Модуля временного хранения_TE (12)  4. Удалите банкноты и посторонние предметы из Заднего Транспортного Тракта (11) </t>
  </si>
  <si>
    <t xml:space="preserve">527G100</t>
  </si>
  <si>
    <t xml:space="preserve">Нарушение движения двигателя в сторону укладки в ходе операции Пересчет Депозита (Deposit Count).</t>
  </si>
  <si>
    <t xml:space="preserve">527G200</t>
  </si>
  <si>
    <t xml:space="preserve">Нарушение движения двигателя в сторону разделения в ходе операции Пересчет Депозита (Deposit Count).</t>
  </si>
  <si>
    <t xml:space="preserve">527G300</t>
  </si>
  <si>
    <t xml:space="preserve">Нарушение остановки двигателя в ходе операции Пересчет Депозита (Deposit Count).</t>
  </si>
  <si>
    <t xml:space="preserve">527G400</t>
  </si>
  <si>
    <t xml:space="preserve">Не обнаружен передний конец ленты в ходе операции Пересчет Депозита (Deposit Count).</t>
  </si>
  <si>
    <t xml:space="preserve">527G500</t>
  </si>
  <si>
    <t xml:space="preserve">Обнаружен передний конец ленты в ходе операции Пересчет Депозита (Deposit Count).</t>
  </si>
  <si>
    <t xml:space="preserve">527G600</t>
  </si>
  <si>
    <t xml:space="preserve">527G700</t>
  </si>
  <si>
    <t xml:space="preserve">Обнаружен задний конец ленты в ходе операции Пересчет Депозита (Deposit Count).</t>
  </si>
  <si>
    <t xml:space="preserve">527J100</t>
  </si>
  <si>
    <t xml:space="preserve">Полный барабан TE в ходе операции Пересчет Депозита (Deposit Count).</t>
  </si>
  <si>
    <t xml:space="preserve">527J300</t>
  </si>
  <si>
    <t xml:space="preserve">Невозможно нормальное завершение в ходе операции Пересчет Депозита (Deposit Count).</t>
  </si>
  <si>
    <t xml:space="preserve">527R100</t>
  </si>
  <si>
    <t xml:space="preserve">Модуль временного хранения_TE вернул ошибку таймаута сообщения в ходе готовности к операции Пересчет Депозита (Deposit Count).</t>
  </si>
  <si>
    <t xml:space="preserve">527R200</t>
  </si>
  <si>
    <t xml:space="preserve">Модуль временного хранения_TE вернул ошибку таймаута сообщения при проведении транзакции в ходе операции Пересчет Депозита (Deposit Count).</t>
  </si>
  <si>
    <t xml:space="preserve">527R300</t>
  </si>
  <si>
    <t xml:space="preserve">Модуль временного хранения_TE вернул ошибку таймаута сообщения в ходе постпроцессинга ошибки операции Пересчет Депозита (Deposit Count Error).</t>
  </si>
  <si>
    <t xml:space="preserve">528HA01</t>
  </si>
  <si>
    <t xml:space="preserve">Ошибка датчика GS801A в ходе операции Пересчет Депозита (Deposit Count).</t>
  </si>
  <si>
    <t xml:space="preserve">528HA02</t>
  </si>
  <si>
    <t xml:space="preserve">Ошибка датчика GS801B в ходе операции Пересчет Депозита (Deposit Count).</t>
  </si>
  <si>
    <t xml:space="preserve">528HA03</t>
  </si>
  <si>
    <t xml:space="preserve">Ошибка датчиков GS801A, GS801B в ходе операции Пересчет Депозита (Deposit Count).</t>
  </si>
  <si>
    <t xml:space="preserve">528HA04</t>
  </si>
  <si>
    <t xml:space="preserve">Ошибка датчика GS802A в ходе операции Пересчет Депозита (Deposit Count).</t>
  </si>
  <si>
    <t xml:space="preserve">528HA05</t>
  </si>
  <si>
    <t xml:space="preserve">Ошибка датчиков GS801A, GS802A в ходе операции Пересчет Депозита (Deposit Count).</t>
  </si>
  <si>
    <t xml:space="preserve">528HA06</t>
  </si>
  <si>
    <t xml:space="preserve">Ошибка датчиков GS801B, GS802A в ходе операции Пересчет Депозита (Deposit Count).</t>
  </si>
  <si>
    <t xml:space="preserve">528HA07</t>
  </si>
  <si>
    <t xml:space="preserve">Ошибка датчиков GS801A, GS801B, GS802A в ходе операции Пересчет Депозита (Deposit Count).</t>
  </si>
  <si>
    <t xml:space="preserve">528HA08</t>
  </si>
  <si>
    <t xml:space="preserve">Ошибка датчика GS802B в ходе операции Пересчет Депозита (Deposit Count).</t>
  </si>
  <si>
    <t xml:space="preserve">528HA09</t>
  </si>
  <si>
    <t xml:space="preserve">Ошибка датчиков GS801A, GS802B в ходе операции Пересчет Депозита (Deposit Count).</t>
  </si>
  <si>
    <t xml:space="preserve">528HA10</t>
  </si>
  <si>
    <t xml:space="preserve">Ошибка датчиков GS801B, GS802B в ходе операции Пересчет Депозита (Deposit Count).</t>
  </si>
  <si>
    <t xml:space="preserve">528HA11</t>
  </si>
  <si>
    <t xml:space="preserve">Ошибка датчиков GS801A, GS801B, GS802B в ходе операции Пересчет Депозита (Deposit Count).</t>
  </si>
  <si>
    <t xml:space="preserve">528HA12</t>
  </si>
  <si>
    <t xml:space="preserve">Ошибка датчиков GS802A, GS802B в ходе операции Пересчет Депозита (Deposit Count).</t>
  </si>
  <si>
    <t xml:space="preserve">528HA13</t>
  </si>
  <si>
    <t xml:space="preserve">Ошибка датчиков GS801A, GS802A, GS802B в ходе операции Пересчет Депозита (Deposit Count).</t>
  </si>
  <si>
    <t xml:space="preserve">528HA14</t>
  </si>
  <si>
    <t xml:space="preserve">Ошибка датчиков GS801B, GS802A, GS802B в ходе операции Пересчет Депозита (Deposit Count).</t>
  </si>
  <si>
    <t xml:space="preserve">528HA15</t>
  </si>
  <si>
    <t xml:space="preserve">Ошибка датчиков GS801A, GS801B, GS802A, GS802B в ходе операции Пересчет Депозита (Deposit Count).</t>
  </si>
  <si>
    <t xml:space="preserve">528HF03</t>
  </si>
  <si>
    <t xml:space="preserve">Ошибка загрузки данных шейдинга Контактного датчика изображения CIS в ходе операции Пересчет Депозита (Deposit Count).</t>
  </si>
  <si>
    <t xml:space="preserve">528HF04</t>
  </si>
  <si>
    <t xml:space="preserve">Ошибка загрузки таблицы БД распознавания в ходе операции Пересчет Депозита (Deposit Count).</t>
  </si>
  <si>
    <t xml:space="preserve">528HF05</t>
  </si>
  <si>
    <t xml:space="preserve">Ошибка контрольной суммы данных ПЛИС Модуля Валидатора банкнот BC в ходе операции Пересчет Депозита (Deposit Count).</t>
  </si>
  <si>
    <t xml:space="preserve">528HF06</t>
  </si>
  <si>
    <t xml:space="preserve">Ошибка конфигурации ПЛИС Модуля Валидатора банкнот BC в ходе операции Пересчет Депозита (Deposit Count).</t>
  </si>
  <si>
    <t xml:space="preserve">528HF07</t>
  </si>
  <si>
    <t xml:space="preserve">Ошибка загрузки данных заголовка ПЛИС Модуля Валидатора банкнот BC header в ходе операции Пересчет Депозита (Deposit Count).</t>
  </si>
  <si>
    <t xml:space="preserve">528HF08</t>
  </si>
  <si>
    <t xml:space="preserve">Ошибка инициализации ПЛИС в ходе операции Пересчет Депозита (Deposit Count).</t>
  </si>
  <si>
    <t xml:space="preserve">528HF09</t>
  </si>
  <si>
    <t xml:space="preserve">Ошибка чтения ПЛИС в ходе операции Пересчет Депозита (Deposit Count).</t>
  </si>
  <si>
    <t xml:space="preserve">528HF11</t>
  </si>
  <si>
    <t xml:space="preserve">Ошибка загрузки Базы Данных распознавания #01 в ходе операции Пересчет Депозита (Deposit Count).</t>
  </si>
  <si>
    <t xml:space="preserve">528HF12</t>
  </si>
  <si>
    <t xml:space="preserve">Ошибка загрузки Базы Данных распознавания #02 в ходе операции Пересчет Депозита (Deposit Count).</t>
  </si>
  <si>
    <t xml:space="preserve">528HF13</t>
  </si>
  <si>
    <t xml:space="preserve">Ошибка загрузки Базы Данных распознавания #03 в ходе операции Пересчет Депозита (Deposit Count).</t>
  </si>
  <si>
    <t xml:space="preserve">528HF14</t>
  </si>
  <si>
    <t xml:space="preserve">Ошибка загрузки Базы Данных распознавания #04 в ходе операции Пересчет Депозита (Deposit Count).</t>
  </si>
  <si>
    <t xml:space="preserve">528HF15</t>
  </si>
  <si>
    <t xml:space="preserve">Ошибка загрузки Базы Данных распознавания #05 в ходе операции Пересчет Депозита (Deposit Count).</t>
  </si>
  <si>
    <t xml:space="preserve">528HF16</t>
  </si>
  <si>
    <t xml:space="preserve">Ошибка загрузки Базы Данных распознавания #06 в ходе операции Пересчет Депозита (Deposit Count).</t>
  </si>
  <si>
    <t xml:space="preserve">528HF17</t>
  </si>
  <si>
    <t xml:space="preserve">Ошибка загрузки Базы Данных распознавания #07 в ходе операции Пересчет Депозита (Deposit Count).</t>
  </si>
  <si>
    <t xml:space="preserve">528HF18</t>
  </si>
  <si>
    <t xml:space="preserve">Ошибка загрузки Базы Данных распознавания #08 в ходе операции Пересчет Депозита (Deposit Count).</t>
  </si>
  <si>
    <t xml:space="preserve">528HF19</t>
  </si>
  <si>
    <t xml:space="preserve">Ошибка загрузки Базы Данных распознавания #09 в ходе операции Пересчет Депозита (Deposit Count).</t>
  </si>
  <si>
    <t xml:space="preserve">528HF20</t>
  </si>
  <si>
    <t xml:space="preserve">Ошибка загрузки Базы Данных распознавания #10 в ходе операции Пересчет Депозита (Deposit Count).</t>
  </si>
  <si>
    <t xml:space="preserve">528HG01</t>
  </si>
  <si>
    <t xml:space="preserve">Ошибка установки режима при выполнении команды BCU mode в ходе операции Пересчет Депозита (Deposit Count).</t>
  </si>
  <si>
    <t xml:space="preserve">528HG02</t>
  </si>
  <si>
    <t xml:space="preserve">Ошибка установленного уровня распознавания при выполнении команды BCU mode в ходе операции Пересчет Депозита (Deposit Count).</t>
  </si>
  <si>
    <t xml:space="preserve">528HG03</t>
  </si>
  <si>
    <t xml:space="preserve">Ошибка установки начала транзакции при выполнении команды BCU ready в ходе операции Пересчет Депозита (Deposit Count).</t>
  </si>
  <si>
    <t xml:space="preserve">528HG04</t>
  </si>
  <si>
    <t xml:space="preserve">Ошибка установки режима при выполнении команды BCU ready в ходе операции Пересчет Депозита (Deposit Count).</t>
  </si>
  <si>
    <t xml:space="preserve">528HG05</t>
  </si>
  <si>
    <t xml:space="preserve">Ошибка установленного уровня распознавания при выполнении команды BCU ready в ходе операции Пересчет Депозита (Deposit Count).</t>
  </si>
  <si>
    <t xml:space="preserve">528HG06</t>
  </si>
  <si>
    <t xml:space="preserve">Ошибка направления внесения Модуля Валидатора банкнот BC при выполнении команды BCU ready в ходе операции Пересчет Депозита (Deposit Count).</t>
  </si>
  <si>
    <t xml:space="preserve">528HG07</t>
  </si>
  <si>
    <t xml:space="preserve">Ошибка получения неопределенной команды Модуля Валидатора банкнот BCU в ходе операции Пересчет Депозита (Deposit Count).</t>
  </si>
  <si>
    <t xml:space="preserve">528HG08</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</si>
  <si>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Пересчет Депозита (Deposit Count).</t>
  </si>
  <si>
    <t xml:space="preserve">528HG09</t>
  </si>
  <si>
    <t xml:space="preserve">Ошибка настройки кода страны при выполнении команды записи данных в Модуль Валидатора банкнот BCUв ходе операции Пересчет Депозита (Deposit Count).</t>
  </si>
  <si>
    <t xml:space="preserve">528HG10</t>
  </si>
  <si>
    <t xml:space="preserve">Ошибка отсутствия БД распознавания для страны в процессе получения команды BCU data write в ходе операции Пересчет Депозита (Deposit Count).</t>
  </si>
  <si>
    <t xml:space="preserve">528HG11</t>
  </si>
  <si>
    <t xml:space="preserve">Не установлен код страны при получении команды BCU ready в ходе операции Пересчет Депозита (Deposit Count).</t>
  </si>
  <si>
    <t xml:space="preserve">528HG12</t>
  </si>
  <si>
    <t xml:space="preserve">Спецификация Модуля Валидатора банкнот BC отличается от параметра команды записи данных в ходе операции Пересчет Депозита (Deposit Count).</t>
  </si>
  <si>
    <t xml:space="preserve">528HG20</t>
  </si>
  <si>
    <t xml:space="preserve">Ошибка инициализации Контактного датчика изображения CIS при получении команды BCU ready в ходе операции Пересчет Депозита (Deposit Count).</t>
  </si>
  <si>
    <t xml:space="preserve">528HG21</t>
  </si>
  <si>
    <t xml:space="preserve">Ошибка включения при получении команды BCU ready в ходе операции Пересчет Депозита (Deposit Count).</t>
  </si>
  <si>
    <t xml:space="preserve">528HG22</t>
  </si>
  <si>
    <t xml:space="preserve">Ошибка инициализации датчика DD при получении команды BCU ready в ходе операции Пересчет Депозита (Deposit Count).</t>
  </si>
  <si>
    <t xml:space="preserve">528HG23</t>
  </si>
  <si>
    <t xml:space="preserve">Ошибка настройки ЦАП Датчика определения сдвоенных банкнот DD при получении команды BCU ready в ходе операции Пересчет Депозита (Deposit Count).</t>
  </si>
  <si>
    <t xml:space="preserve">528HG24</t>
  </si>
  <si>
    <t xml:space="preserve">Ошибка режима настройки энкодера при получении команды BCU ready в ходе операции Пересчет Депозита (Deposit Count).</t>
  </si>
  <si>
    <t xml:space="preserve">528HG36</t>
  </si>
  <si>
    <t xml:space="preserve">Ошибка режима распознавания при выполнении команды receiving BCU mode в ходе операции Пересчет Депозита (Deposit Count).</t>
  </si>
  <si>
    <t xml:space="preserve">528HG37</t>
  </si>
  <si>
    <t xml:space="preserve">Ошибка настроек транзакции при выполнении команды receiving BCU mode в ходе операции Пересчет Депозита (Deposit Count).</t>
  </si>
  <si>
    <t xml:space="preserve">528HI01</t>
  </si>
  <si>
    <t xml:space="preserve">Ошибка тайм-аута RecogTask Message в ходе операции Пересчет Депозита (Deposit Count).</t>
  </si>
  <si>
    <t xml:space="preserve">528HI02</t>
  </si>
  <si>
    <t xml:space="preserve">Ошибка тайм-аута ScanTask Message в ходе операции Пересчет Депозита (Deposit Count).</t>
  </si>
  <si>
    <t xml:space="preserve">528HI03</t>
  </si>
  <si>
    <t xml:space="preserve">Ошибка тайм-аута UartTask Message в ходе операции Пересчет Депозита (Deposit Count).</t>
  </si>
  <si>
    <t xml:space="preserve">528HI04</t>
  </si>
  <si>
    <t xml:space="preserve">Ошибка тайм-аута BcUsbTask Message в ходе операции Пересчет Депозита (Deposit Count).</t>
  </si>
  <si>
    <t xml:space="preserve">528HJ01</t>
  </si>
  <si>
    <t xml:space="preserve">Ошибка инициализации алгоритма распознавания в ходе операции Пересчет Депозита (Deposit Count).</t>
  </si>
  <si>
    <t xml:space="preserve">528HJ02</t>
  </si>
  <si>
    <t xml:space="preserve">Ошибка готовности Алгоритма Распознавания в ходе операции Пересчет Депозита (Deposit Count).</t>
  </si>
  <si>
    <t xml:space="preserve">528HJ03</t>
  </si>
  <si>
    <t xml:space="preserve">Ошибка алгоритма распознавания набора валют в ходе операции Пересчет Депозита (Deposit Count).</t>
  </si>
  <si>
    <t xml:space="preserve">528HS01</t>
  </si>
  <si>
    <t xml:space="preserve">Ошибка ПЛИС Write Scan Driver Init в ходе операции Пересчет Депозита (Deposit Count).</t>
  </si>
  <si>
    <t xml:space="preserve">528HS02</t>
  </si>
  <si>
    <t xml:space="preserve">Ошибка Sensor (MR/UV/DD/Gate) Power Off Scan Driver Init в ходе операции Пересчет Депозита (Deposit Count).</t>
  </si>
  <si>
    <t xml:space="preserve">528HS03</t>
  </si>
  <si>
    <t xml:space="preserve">Ошибка Контактного датчика изображения CIS Led On Value Set Fail Scan Driver Init в ходе операции Пересчет Депозита (Deposit Count).</t>
  </si>
  <si>
    <t xml:space="preserve">528HS04</t>
  </si>
  <si>
    <t xml:space="preserve">Ошибка Источника Света Set Fail Scan Driver Init в ходе операции Пересчет Депозита (Deposit Count).</t>
  </si>
  <si>
    <t xml:space="preserve">528HS05</t>
  </si>
  <si>
    <t xml:space="preserve">Ошибка Контактного датчика изображения CIS Shading Scan Driver Init в ходе операции Пересчет Депозита (Deposit Count).</t>
  </si>
  <si>
    <t xml:space="preserve">528HS08</t>
  </si>
  <si>
    <t xml:space="preserve">Ошибка ЦАП Set Fail Scan Driver Init в ходе операции Пересчет Депозита (Deposit Count).</t>
  </si>
  <si>
    <t xml:space="preserve">528HS11</t>
  </si>
  <si>
    <t xml:space="preserve">Ошибка ПЛИС Write BCU Ready в ходе операции Пересчет Депозита (Deposit Count).</t>
  </si>
  <si>
    <t xml:space="preserve">528HS12</t>
  </si>
  <si>
    <t xml:space="preserve">Ошибка Sensor (MR/UV/DD/Gate) Power Off BCU Ready в ходе операции Пересчет Депозита (Deposit Count).</t>
  </si>
  <si>
    <t xml:space="preserve">528HS13</t>
  </si>
  <si>
    <t xml:space="preserve">Ошибка Контактного датчика изображения CIS Led On Value Set Fail BCU Ready в ходе операции Пересчет Депозита (Deposit Count).</t>
  </si>
  <si>
    <t xml:space="preserve">528HS14</t>
  </si>
  <si>
    <t xml:space="preserve">Ошибка Источника Света Set Fail BCU Ready в ходе операции Пересчет Депозита (Deposit Count).</t>
  </si>
  <si>
    <t xml:space="preserve">528HS15</t>
  </si>
  <si>
    <t xml:space="preserve">Ошибка Контактного датчика изображения CIS Shading BCU Ready в ходе операции Пересчет Депозита (Deposit Count).</t>
  </si>
  <si>
    <t xml:space="preserve">528HS17</t>
  </si>
  <si>
    <t xml:space="preserve">Ошибка AFE Chip Set BCU Ready в ходе операции Пересчет Депозита (Deposit Count).</t>
  </si>
  <si>
    <t xml:space="preserve">528HS18</t>
  </si>
  <si>
    <t xml:space="preserve">Ошибка ЦАП Set Fail BCU Ready в ходе операции Пересчет Депозита (Deposit Count).</t>
  </si>
  <si>
    <t xml:space="preserve">528HS19</t>
  </si>
  <si>
    <t xml:space="preserve">Ошибка MR/UV/DD Sampling BCU Ready в ходе операции Пересчет Депозита (Deposit Count).</t>
  </si>
  <si>
    <t xml:space="preserve">528HS1A</t>
  </si>
  <si>
    <t xml:space="preserve">Ошибка ЦАП Датчика Холла Set Fail BCU Ready в ходе операции Пересчет Депозита (Deposit Count).</t>
  </si>
  <si>
    <t xml:space="preserve">528HS1B</t>
  </si>
  <si>
    <t xml:space="preserve">Ошибка Датчика Холла Shading Fail BCU Ready в ходе операции Пересчет Депозита (Deposit Count).</t>
  </si>
  <si>
    <t xml:space="preserve">528HS22</t>
  </si>
  <si>
    <t xml:space="preserve">Ошибка Модуля Валидатора BC Stop Sensor (MR/UV/DD/Gate) Power Off Scan Driver Init в ходе операции Пересчет Депозита (Deposit Count).</t>
  </si>
  <si>
    <t xml:space="preserve">528HS28</t>
  </si>
  <si>
    <t xml:space="preserve">Ошибка Модуля Валидатора BC Stop DAC Set Fail Scan Driver Init в ходе операции Пересчет Депозита (Deposit Count).</t>
  </si>
  <si>
    <t xml:space="preserve">528HS29</t>
  </si>
  <si>
    <t xml:space="preserve">Ошибка Модуля Валидатора BC Stop MR/UV/DD Sampling BCU Ready в ходе операции Пересчет Депозита (Deposit Count).</t>
  </si>
  <si>
    <t xml:space="preserve">528R100</t>
  </si>
  <si>
    <t xml:space="preserve">Модуль Валидатора BC вернул ошибку таймаута сообщения в ходе готовности к операции Пересчет Депозита (Deposit Count).</t>
  </si>
  <si>
    <t xml:space="preserve">528R200</t>
  </si>
  <si>
    <t xml:space="preserve">Модуль Валидатора BC вернул ошибку таймаута сообщения при проведении транзакции в ходе операции Пересчет Депозита (Deposit Count).</t>
  </si>
  <si>
    <t xml:space="preserve">528R300</t>
  </si>
  <si>
    <t xml:space="preserve">Модуль Валидатора BC вернул ошибку таймаута сообщения в ходе постпроцессинга ошибки операции Пересчет Депозита (Deposit Count Error).</t>
  </si>
  <si>
    <t xml:space="preserve">528R900</t>
  </si>
  <si>
    <t xml:space="preserve">Модуль Валидатора BC вернул ошибку таймаута сообщения в ходе операции Пересчет Депозита (Deposit Count).</t>
  </si>
  <si>
    <t xml:space="preserve">528S100</t>
  </si>
  <si>
    <t xml:space="preserve">Получена неправильная Информация о памяти MI от Модуля Валидатора банкнот BC в ходе операции Пересчет Депозита (Deposit Count).</t>
  </si>
  <si>
    <t xml:space="preserve">528S200</t>
  </si>
  <si>
    <t xml:space="preserve">Получен ненормальный BCC от Модуля Валидатора банкнот в ходе операции Пересчет Депозита (Deposit Count).</t>
  </si>
  <si>
    <t xml:space="preserve">528S400</t>
  </si>
  <si>
    <t xml:space="preserve">Получена ошибка ETC. от Модуля Валидатора банкнот BC в ходе операции Пересчет Депозита (Deposit Count).</t>
  </si>
  <si>
    <t xml:space="preserve">528S900</t>
  </si>
  <si>
    <t xml:space="preserve">Повторная попытка завершилась ошибкой Модуля Валидатора банкнот BC в ходе операции пересчет Депозита (Deposit Count).</t>
  </si>
  <si>
    <t xml:space="preserve">52A2C00</t>
  </si>
  <si>
    <t xml:space="preserve">Произошла ошибка оставшихся банкнот в Модуле Валидатора банкнот BCU (Контактный датчик изображения CIS) в ходе операции Пересчет Депозита (Deposit Count).</t>
  </si>
  <si>
    <t xml:space="preserve">52AA100</t>
  </si>
  <si>
    <t xml:space="preserve">Вынутое состояние Вспомогательной (невостребованных/фальшивых банкнот) Кассеты UTC перед выполнением операции Пересчет Депозита (Deposit Count).</t>
  </si>
  <si>
    <t xml:space="preserve">52AA200</t>
  </si>
  <si>
    <t xml:space="preserve">Модуль временного хранения открыт перед выполнением операции Пересчет Депозита (Deposit Count).</t>
  </si>
  <si>
    <t xml:space="preserve">52AA300</t>
  </si>
  <si>
    <t xml:space="preserve">Отстыкованное состояние концевого переключателя (inter lock) Верхней части Модуля Рециркуляции Банкнот BMU перед выполнением операции Пересчет Депозита (Deposit Count).</t>
  </si>
  <si>
    <t xml:space="preserve">52AA400</t>
  </si>
  <si>
    <t xml:space="preserve">Отстыкованное состояние Верхней части Модуля рециркуляции Банкнот BMU перед выполнением операции Пересчет Депозита (Deposit Count).</t>
  </si>
  <si>
    <t xml:space="preserve">52AA600</t>
  </si>
  <si>
    <t xml:space="preserve">Открыт Модуль обслуживания клиентов CSM перед выполнением операции Пересчет Депозита (Deposit Count).</t>
  </si>
  <si>
    <t xml:space="preserve">52AA700</t>
  </si>
  <si>
    <t xml:space="preserve">Вынутое состояние Кассеты Отбраковки RJC перед выполнением операции Пересчет Депозита (Deposit Count).</t>
  </si>
  <si>
    <t xml:space="preserve">52AA800</t>
  </si>
  <si>
    <t xml:space="preserve">Отстыкованное состояние концевого переключателя (inter lock) Нижней части Модуля Рециркуляции Банкнот BMD перед выполнением операции Пересчет Депозита (Deposit Count).</t>
  </si>
  <si>
    <t xml:space="preserve">52AA900</t>
  </si>
  <si>
    <t xml:space="preserve">Выдвинутое состояние Нижней части Модуля Рециркуляции Банкнот BMD перед выполнением операции Пересчет Депозита (Deposit Count).</t>
  </si>
  <si>
    <t xml:space="preserve">52AAA00</t>
  </si>
  <si>
    <t xml:space="preserve">Модуль Валидатора банкнот BC открыт перед работой в ходе операции Пересчет Депозита (Deposit Count).</t>
  </si>
  <si>
    <t xml:space="preserve">52AAB00</t>
  </si>
  <si>
    <t xml:space="preserve">Переполненная Кассета Рециркуляции RC перед выполнением операции Пересчет Депозита (Deposit Count).</t>
  </si>
  <si>
    <t xml:space="preserve">1. Откройте нижнюю часть Модуля Рециркуляции Банкнот 2. Откройте Средний Транспортный Тракт 3. Проверьте состояние датчика GSx11 переполнения Кассеты рециркуляции (A~E) 4. Откройте дверцу кассеты 5. Проверьте не переполнена ли кассета банкнотами </t>
  </si>
  <si>
    <t xml:space="preserve">52AAC00</t>
  </si>
  <si>
    <t xml:space="preserve">Переполненная Кассета Отбраковки RJC перед выполнением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</si>
  <si>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отбраковки (21) 4. Выньте банкноты после проверки статуса переполнения в кассете 5. Проверьте не загрязнен ли датчик, если кассета не переполнена.</t>
  </si>
  <si>
    <t xml:space="preserve">52AAD00</t>
  </si>
  <si>
    <t xml:space="preserve">Переполненная Вспомогательная кассета UTC1 перед выполнением операции Пересчет Депозита (Deposit Count).</t>
  </si>
  <si>
    <t xml:space="preserve">1. Откройте верхнюю часть Модуля Рециркуляции Банкнот 2. Откройте Вспомогательную (невостребованных/фальшивых банкнот) кассету (9) 3. Проверьте не переполнена ли Вспомогательная (невостребованных/фальшивых банкнот) кассета (9)</t>
  </si>
  <si>
    <t xml:space="preserve">52AAE00</t>
  </si>
  <si>
    <t xml:space="preserve">Переполненная Вспомогательная кассета UTC2 перед выполнением операции Пересчет Депозита (Deposit Count).</t>
  </si>
  <si>
    <t xml:space="preserve">52AAF00</t>
  </si>
  <si>
    <t xml:space="preserve">Пустая Кассета Рециркуляции RC перед выполнением операции Пересчет Депозита (Deposit Count).</t>
  </si>
  <si>
    <t xml:space="preserve">1. Откройте нижнюю часть Модуля Рециркуляции Банкнот 2. Откройте Средний Транспортный Тракт 3. Проверьте кол-во оставшихся банкнот в Кассете Рециркуляции (A~E)</t>
  </si>
  <si>
    <t xml:space="preserve">52AE100</t>
  </si>
  <si>
    <t xml:space="preserve">52AE200</t>
  </si>
  <si>
    <t xml:space="preserve">52AE300</t>
  </si>
  <si>
    <t xml:space="preserve">52AE400</t>
  </si>
  <si>
    <t xml:space="preserve">Транзакция Пересчет Депозита (Deposit Count) была выполнена без Инициализации после включения питания.</t>
  </si>
  <si>
    <t xml:space="preserve">52AE600</t>
  </si>
  <si>
    <t xml:space="preserve">Ошибка обработки операции Пересчет Депозита (Deposit Count) в ходе операции Работа кнопки TE (TE Button Operating).</t>
  </si>
  <si>
    <t xml:space="preserve">52AEE00</t>
  </si>
  <si>
    <t xml:space="preserve">Нарушение последовательности сообщений интерфейса RS485 платы контроллера RBU в ходе операции Пересчет Депозита (Deposit Count).</t>
  </si>
  <si>
    <t xml:space="preserve">52AEF00</t>
  </si>
  <si>
    <t xml:space="preserve">Нарушение линии связи интерфейса RS485 платы контроллера RBU в ходе операции Пересчет Депозита (Deposit Count).</t>
  </si>
  <si>
    <t xml:space="preserve">52AH500</t>
  </si>
  <si>
    <t xml:space="preserve">Ошибка Чтения/Записи памяти NVRAM (128 деноминаций) в ходе операции Пересчет Депозита (Deposit Count).</t>
  </si>
  <si>
    <t xml:space="preserve">52AN700</t>
  </si>
  <si>
    <t xml:space="preserve">Несоответствие счетчика набранных банкнот TE и счетчика штатно банкнот проследовавших через Модуль Валидатора банкнот BC в ходе операции Пересчет Депозита (Deposit Count).</t>
  </si>
  <si>
    <t xml:space="preserve">52AR100</t>
  </si>
  <si>
    <t xml:space="preserve">вернул ошибку таймаута сообщения в ходе готовности к операции Пересчет Депозита (Deposit Count).</t>
  </si>
  <si>
    <t xml:space="preserve">52AR200</t>
  </si>
  <si>
    <t xml:space="preserve">Возвращена ошибка таймаута сообщения при проведении транзакции  of Пересчет Депозита (Deposit Count).</t>
  </si>
  <si>
    <t xml:space="preserve">52AR300</t>
  </si>
  <si>
    <t xml:space="preserve">Возвращена ошибка таймаута сообщения в ходе постпроцессинга ошибки операции Пересчет Депозита (Deposit Count Error).</t>
  </si>
  <si>
    <t xml:space="preserve">52AR700</t>
  </si>
  <si>
    <t xml:space="preserve">Контроллер RBU вернул ошибку таймаута сообщения в ходе операции Пересчет Депозита (Deposit Count).</t>
  </si>
  <si>
    <t xml:space="preserve">52AR900</t>
  </si>
  <si>
    <t xml:space="preserve">Ошибка таймаута сообщения готовности к укладке в процессе автовосстановленияв ходе операции Пересчет Депозита (Deposit Count).</t>
  </si>
  <si>
    <t xml:space="preserve">52ARA00</t>
  </si>
  <si>
    <t xml:space="preserve">Ошибка таймаута сообщения возврата банкнот BM в процессе автовосстановления в ходе операции Депозита (Deposit Count).</t>
  </si>
  <si>
    <t xml:space="preserve">52ARB00</t>
  </si>
  <si>
    <t xml:space="preserve">Возвращена ошибка таймаута сообщения при обработке банкнот оставшихся при авто-восстановлении в ходе операции Пересчет Депозита (Deposit Count).</t>
  </si>
  <si>
    <t xml:space="preserve">52ARC00</t>
  </si>
  <si>
    <t xml:space="preserve">52ARJ00</t>
  </si>
  <si>
    <t xml:space="preserve">Возвращена ошибка таймаута сообщения в ходе операции Начало Остановки (Stop Ready) в ходе операции Пересчет Депозита (Deposit Count).</t>
  </si>
  <si>
    <t xml:space="preserve">52AS800</t>
  </si>
  <si>
    <t xml:space="preserve">Значение счетчика набранных банкнот больше значения счетчика Оставшихся банкнот в процессе обновления счетчиков банкнот в ходе операции Пересчет Депозита (Deposit Count).</t>
  </si>
  <si>
    <t xml:space="preserve">52BS000</t>
  </si>
  <si>
    <t xml:space="preserve">Ошибка таймаута связи контроллера RBU в ходе операции Пересчет Депозита (Deposit Count).</t>
  </si>
  <si>
    <t xml:space="preserve">52BS100</t>
  </si>
  <si>
    <t xml:space="preserve">Ошибка последовательности сообщений платы контроллера RBU в ходе операции Пересчет Депозита (Deposit Count).</t>
  </si>
  <si>
    <t xml:space="preserve">52BS200</t>
  </si>
  <si>
    <t xml:space="preserve">Ошибка Информации о памяти MI в ходе соединения контроллера RBU в ходе операции Пересчет Депозита (Deposit Count).</t>
  </si>
  <si>
    <t xml:space="preserve">52US100</t>
  </si>
  <si>
    <t xml:space="preserve">Ошибка дублирования номера последовательности USB в операции Пересчет Депозита (Deposit Count).</t>
  </si>
  <si>
    <t xml:space="preserve">52US300</t>
  </si>
  <si>
    <t xml:space="preserve">Ошибка длины данных команды USB  в ходе операции Пересчет Депозита (Deposit Count).</t>
  </si>
  <si>
    <t xml:space="preserve">1. Проверьте USB-соединение 2. Выполните инициализацию Модуля Рециркуляции Банкнот BRM (Восстановление)</t>
  </si>
  <si>
    <t xml:space="preserve">GS801 сообщил об ошибке замятия по Светлому типу в ходе операции Конец Депозита (Deposit End).</t>
  </si>
  <si>
    <t xml:space="preserve">GS802 сообщил об ошибке замятия по Светлому типу в ходе операции Конец Депозита (Deposit End).</t>
  </si>
  <si>
    <t xml:space="preserve">1. Откройте верхнюю часть Модуля Рециркуляции Банкнот 2. Откройте Модуль обслуживания клиентов (CSM) 3. Откройте модуль Валидатора банкнот (5) 4. Прокрутите круглую ручку Переднего Транспортного Тракта (4) 5. Удалите замятие между Модулем Валидатора BC (5) и Передним Транспортным Трактом (4).</t>
  </si>
  <si>
    <t xml:space="preserve">GS003 сообщил об ошибке замятия по Светлому типу в ходе операции Конец Депозита (Deposit End).</t>
  </si>
  <si>
    <t xml:space="preserve">1. Откройте верхнюю часть Модуля Рециркуляции Банкнот 2. Откройте модуль Временного хранения_TE (Временный Эскроу) (12) 3. Откройте Задний Транспортный Тракт (6) 4. Удалите замятие между Задним Транспортным Трактом (11) и Задним Транспортным Трактом (6).</t>
  </si>
  <si>
    <t xml:space="preserve">GS004 сообщил об ошибке замятия по Светлому типу в ходе операции Конец Депозита (Deposit End).</t>
  </si>
  <si>
    <t xml:space="preserve">1. Откройте верхнюю часть Модуля Рециркуляции Банкнот 2. Откройте модуль Временного хранения_TE (Временный Эскроу) (12) 3. Выньте Вспомогательную (невостребованных/фальшивых банкнот) кассету (9) 4. Удалите замятие между Задним Танспортным Трактом (8) и Задним Транспортным Трактом (11).</t>
  </si>
  <si>
    <t xml:space="preserve">GS005 сообщил об ошибке замятия по Светлому типу в ходе операции Конец Депозита (Deposit End).</t>
  </si>
  <si>
    <t xml:space="preserve">1. Откройте верхнюю часть Модуля Рециркуляции Банкнот 2. Откройте модуль Временного хранения_TE (Временный Эскроу) (12) 3. Удалите замятие между Модулем временного хранения_TE (12) и Задним Транспортным Трактом (11).</t>
  </si>
  <si>
    <t xml:space="preserve">GS006 сообщил об ошибке замятия по Светлому типу в ходе операции Конец Депозита (Deposit End).</t>
  </si>
  <si>
    <t xml:space="preserve">1. Откройте верхнюю часть Модуля Рециркуляции Банкнот 2. Откройте модуль Временного хранения_TE (Временный Эскроу) (12) 3. Выньте Вспомогательную (невостребованных/фальшивых банкнот) кассету (9) 4. Удалите замятие между Задним Транспортным Трактом (7) и Задним Транспортным Трактом (11).</t>
  </si>
  <si>
    <t xml:space="preserve">5300A00</t>
  </si>
  <si>
    <t xml:space="preserve">GS021 сообщил об ошибке замятия по Светлому типу в ходе операции Конец Депозита (Deposit End).</t>
  </si>
  <si>
    <t xml:space="preserve">1. Откройте верхнюю часть Модуля Рециркуляции Банкнот 2. Откройте Модуль обслуживания клиентов (CSM) 3. Откройте модуль Валидатора банкнот (5) 4. Прокрутите круглую ручку Заднего Транспортного Тракта (4) 5. Удалите банкноты в Модуле Валидатора банкнот BC</t>
  </si>
  <si>
    <t xml:space="preserve">5300B00</t>
  </si>
  <si>
    <t xml:space="preserve">GS022 сообщил об ошибке замятия по Светлому типу в ходе операции Конец Депозита (Deposit End).</t>
  </si>
  <si>
    <t xml:space="preserve">1. Откройте нижнюю часть Модуля Рециркуляции Банкнот 2. Прокрутите круглую ручку Среднего транспортного тракта 3. Удалите замятие в Среднем Транспортном Тракте (13). </t>
  </si>
  <si>
    <t xml:space="preserve">5300M00</t>
  </si>
  <si>
    <t xml:space="preserve">GS031 сообщил об ошибке замятия по Светлому типу в ходе операции Конец Депозита (Deposit End).</t>
  </si>
  <si>
    <t xml:space="preserve">5300N00</t>
  </si>
  <si>
    <t xml:space="preserve">GS032 сообщил об ошибке замятия по Светлому типу в ходе операции Конец Депозита (Deposit End).</t>
  </si>
  <si>
    <t xml:space="preserve">5300P00</t>
  </si>
  <si>
    <t xml:space="preserve">GS033 сообщил об ошибке замятия по Светлому типу в ходе операции Конец Депозита (Deposit End).</t>
  </si>
  <si>
    <t xml:space="preserve">5300Q00</t>
  </si>
  <si>
    <t xml:space="preserve">GS034 сообщил об ошибке замятия по Светлому типу в ходе операции Конец Депозита (Deposit End).</t>
  </si>
  <si>
    <t xml:space="preserve">5300W00</t>
  </si>
  <si>
    <t xml:space="preserve">1. Откройте верхнюю часть Модуля Рециркуляции Банкнот 2. Откройте Модуль обслуживания клиентов CSM и Модуль временного хранения_TE (временный эскроу) (12) 3. Откройте Модуль Валидатора банкнот (5) и Задний Транспортный Тракт (6) 4. Удалите замятие между Модулем Валидатора банкнот BC (5) и Задним Транспортным Трактом (6).</t>
  </si>
  <si>
    <t xml:space="preserve">GS801 сообщил об ошибке замятия по Темному типу в ходе операции Конец Депозита (Deposit End).</t>
  </si>
  <si>
    <t xml:space="preserve">GS002 сообщил об ошибке замятия по Темному типу в ходе операции Конец Депозита (Deposit End).</t>
  </si>
  <si>
    <t xml:space="preserve">GS003 сообщил об ошибке замятия по Темному типу в ходе операции Конец Депозита (Deposit End).</t>
  </si>
  <si>
    <t xml:space="preserve">GS004 сообщил об ошибке замятия по Темному типу в ходе операции Конец Депозита (Deposit End).</t>
  </si>
  <si>
    <t xml:space="preserve">GS005 сообщил об ошибке замятия по Темному типу в ходе операции Конец Депозита (Deposit End).</t>
  </si>
  <si>
    <t xml:space="preserve">GS006 сообщил об ошибке замятия по Темному типу в ходе операции Конец Депозита (Deposit End).</t>
  </si>
  <si>
    <t xml:space="preserve">5301A00</t>
  </si>
  <si>
    <t xml:space="preserve">GS021 сообщил об ошибке замятия по Темному типу в ходе операции Конец Депозита (Deposit End).</t>
  </si>
  <si>
    <t xml:space="preserve">5301B00</t>
  </si>
  <si>
    <t xml:space="preserve">GS022 сообщил об ошибке замятия по Темному типу в ходе операции Конец Депозита (Deposit End).</t>
  </si>
  <si>
    <t xml:space="preserve">5301G00</t>
  </si>
  <si>
    <t xml:space="preserve">GS614 сообщил об ошибке замятия по Темному типу в ходе операции Конец Депозита (Deposit End).</t>
  </si>
  <si>
    <t xml:space="preserve">1. Откройте верхнюю часть Модуля Рециркуляции Банкнот 2. Откройте Модуль обслуживания клиентов (CSM) 3. Удалите посторонние предметы из Модуля обслуживания клиентов CSM (3) 4. В случае отсутствия банкнот или посторонних предметов проверьте не загрязнен ли датчик.</t>
  </si>
  <si>
    <t xml:space="preserve">5301H00</t>
  </si>
  <si>
    <t xml:space="preserve">GS618 сообщил об ошибке замятия по Темному типу в ходе операции Конец Депозита (Deposit End).</t>
  </si>
  <si>
    <t xml:space="preserve">1. Откройте верхнюю часть Модуля Рециркуляции Банкнот 2. Откройте Модуль обслуживания клиентов (CSM) 3. Удалите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</si>
  <si>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5301J00</t>
  </si>
  <si>
    <t xml:space="preserve">GS619 сообщил об ошибке замятия по Темному типу в ходе операции Конец Депозита (Deposit End).</t>
  </si>
  <si>
    <t xml:space="preserve">5301K00</t>
  </si>
  <si>
    <t xml:space="preserve">GS703 сообщил об ошибке замятия по Темному типу в ходе операции Конец Депозита (Deposit End).</t>
  </si>
  <si>
    <t xml:space="preserve">5301M00</t>
  </si>
  <si>
    <t xml:space="preserve">GS031 сообщил об ошибке замятия по Темному типу в ходе операции Конец Депозита (Deposit End).</t>
  </si>
  <si>
    <t xml:space="preserve">5301N00</t>
  </si>
  <si>
    <t xml:space="preserve">GS032 сообщил об ошибке замятия по Темному типу в ходе операции Конец Депозита (Deposit End).</t>
  </si>
  <si>
    <t xml:space="preserve">5301P00</t>
  </si>
  <si>
    <t xml:space="preserve">GS033 сообщил об ошибке замятия по Темному типу в ходе операции Конец Депозита (Deposit End).</t>
  </si>
  <si>
    <t xml:space="preserve">5301Q00</t>
  </si>
  <si>
    <t xml:space="preserve">GS034 сообщил об ошибке замятия по Темному типу в ходе операции Конец Депозита (Deposit End).</t>
  </si>
  <si>
    <t xml:space="preserve">5301W00</t>
  </si>
  <si>
    <t xml:space="preserve">GS802 сообщил об ошибке замятия по Темному типу в ходе операции Конец Депозита (Deposit End).</t>
  </si>
  <si>
    <t xml:space="preserve">Произошла ошибка оставшихся банкнот в области датчика GS801 в ходе операции Конец Депозита (Deposit End).</t>
  </si>
  <si>
    <t xml:space="preserve">Произошла ошибка оставшихся банкнот в области датчика GS002 в ходе операции Конец Депозита (Deposit End).</t>
  </si>
  <si>
    <t xml:space="preserve">Произошла ошибка оставшихся банкнот в области датчика GS003 в ходе операции Конец Депозита (Deposit End).</t>
  </si>
  <si>
    <t xml:space="preserve">Произошла ошибка оставшихся банкнот в области датчика GS004 в ходе операции Конец Депозита (Deposit End).</t>
  </si>
  <si>
    <t xml:space="preserve">Произошла ошибка оставшихся банкнот в области датчика GS005 в ходе операции Конец Депозита (Deposit End).</t>
  </si>
  <si>
    <t xml:space="preserve">Произошла ошибка оставшихся банкнот в области датчика GS006 в ходе операции Конец Депозита (Deposit End).</t>
  </si>
  <si>
    <t xml:space="preserve">5302A00</t>
  </si>
  <si>
    <t xml:space="preserve">Произошла ошибка оставшихся банкнот в области датчика GS021 в ходе операции Конец Депозита (Deposit End).</t>
  </si>
  <si>
    <t xml:space="preserve">5302B00</t>
  </si>
  <si>
    <t xml:space="preserve">Произошла ошибка оставшихся банкнот в области датчика GS022 в ходе операции Конец Депозита (Deposit End).</t>
  </si>
  <si>
    <t xml:space="preserve">5302G00</t>
  </si>
  <si>
    <t xml:space="preserve">Произошла ошибка оставшихся банкнот в области датчика GS614 в ходе операции Конец Депозита (Deposit End).</t>
  </si>
  <si>
    <t xml:space="preserve">5302H00</t>
  </si>
  <si>
    <t xml:space="preserve">Произошла ошибка оставшихся банкнот в области датчика GS618 в ходе операции Конец Депозита (Deposit End).</t>
  </si>
  <si>
    <t xml:space="preserve">5302J00</t>
  </si>
  <si>
    <t xml:space="preserve">Произошла ошибка оставшихся банкнот в области датчика GS619 в ходе операции Конец Депозита (Deposit End).</t>
  </si>
  <si>
    <t xml:space="preserve">5302K00</t>
  </si>
  <si>
    <t xml:space="preserve">Произошла ошибка оставшихся банкнот в области датчика GS703 в ходе операции Конец Депозита (Deposit End).</t>
  </si>
  <si>
    <t xml:space="preserve">5302M00</t>
  </si>
  <si>
    <t xml:space="preserve">Произошла ошибка оставшихся банкнот в области датчика GS031 в ходе операции Конец Депозита (Deposit End).</t>
  </si>
  <si>
    <t xml:space="preserve">5302N00</t>
  </si>
  <si>
    <t xml:space="preserve">Произошла ошибка оставшихся банкнот в области датчика GS032 в ходе операции Конец Депозита (Deposit End).</t>
  </si>
  <si>
    <t xml:space="preserve">5302P00</t>
  </si>
  <si>
    <t xml:space="preserve">Произошла ошибка оставшихся банкнот в области датчика GS033 в ходе операции Конец Депозита (Deposit End).</t>
  </si>
  <si>
    <t xml:space="preserve">5302Q00</t>
  </si>
  <si>
    <t xml:space="preserve">Произошла ошибка оставшихся банкнот в области датчика GS034 в ходе операции Конец Депозита (Deposit End).</t>
  </si>
  <si>
    <t xml:space="preserve">5302W00</t>
  </si>
  <si>
    <t xml:space="preserve">Произошла ошибка оставшихся банкнот в области датчика GS802 в ходе операции Конец Депозита (Deposit End).</t>
  </si>
  <si>
    <t xml:space="preserve">Произошла ошибка Транспортного Тракта по данным датчика GS801 в ходе операции Конец Депозита (Deposit End).</t>
  </si>
  <si>
    <t xml:space="preserve">Произошла ошибка Транспортного Тракта по данным датчика GS002 в ходе операции Конец Депозита (Deposit End).</t>
  </si>
  <si>
    <t xml:space="preserve">Произошла ошибка Транспортного Тракта по данным датчика GS003 в ходе операции Конец Депозита (Deposit End).</t>
  </si>
  <si>
    <t xml:space="preserve">Произошла ошибка Транспортного Тракта по данным датчика GS004 в ходе операции Конец Депозита (Deposit End).</t>
  </si>
  <si>
    <t xml:space="preserve">1. Откройте верхнюю часть Модуля Рециркуляции Банкнот 2. Откройте модуль Временного хранения_TE (Временный Эскроу) (12) 3. Выньте Вспомогательную (невостребованных/фальшивых банкнот) кассету (9) 4. Удалите посторонние предметы из Заднего Транспортного Тракта (8) 5. В случае отсутствия банкнот или посторонних предметов проверьте не загрязнен ли датчик.</t>
  </si>
  <si>
    <t xml:space="preserve">Произошла ошибка Транспортного Тракта по данным датчика GS005 в ходе операции Конец Депозита (Deposit End).</t>
  </si>
  <si>
    <t xml:space="preserve">Произошла ошибка Транспортного Тракта по данным датчика GS006 в ходе операции Конец Депозита (Deposit End).</t>
  </si>
  <si>
    <t xml:space="preserve">1. Откройте верхнюю часть Модуля Рециркуляции Банкнот 2. Откройте модуль Временного хранения_TE (Временный Эскроу) (12) 3. Выньте Вспомогательную (невостребованных/фальшивых банкнот) кассету (9) 4. Удалите посторонние предметы из Заднего Транспортного Тракта (7) 5. В случае отсутствия банкнот или посторонних предметов проверьте не загрязнен ли датчик.</t>
  </si>
  <si>
    <t xml:space="preserve">5305A00</t>
  </si>
  <si>
    <t xml:space="preserve">Произошла ошибка Транспортного Тракта по данным датчика GS021 в ходе операции Конец Депозита (Deposit End).</t>
  </si>
  <si>
    <t xml:space="preserve">5305B00</t>
  </si>
  <si>
    <t xml:space="preserve">Произошла ошибка Транспортного Тракта по данным датчика GS022 в ходе операции Конец Депозита (Deposit End).</t>
  </si>
  <si>
    <t xml:space="preserve">5305M00</t>
  </si>
  <si>
    <t xml:space="preserve">Произошла ошибка Транспортного Тракта по данным датчика GS031 в ходе операции Конец Депозита (Deposit End).</t>
  </si>
  <si>
    <t xml:space="preserve">5305N00</t>
  </si>
  <si>
    <t xml:space="preserve">Произошла ошибка Транспортного Тракта по данным датчика GS032 в ходе операции Конец Депозита (Deposit End).</t>
  </si>
  <si>
    <t xml:space="preserve">5305P00</t>
  </si>
  <si>
    <t xml:space="preserve">Произошла ошибка Транспортного Тракта по данным датчика GS033 в ходе операции Конец Депозита (Deposit End).</t>
  </si>
  <si>
    <t xml:space="preserve">5305Q00</t>
  </si>
  <si>
    <t xml:space="preserve">Произошла ошибка Транспортного Тракта по данным датчика GS034 в ходе операции Конец Депозита (Deposit End).</t>
  </si>
  <si>
    <t xml:space="preserve">5305W00</t>
  </si>
  <si>
    <t xml:space="preserve">Произошла ошибка Транспортного Тракта по данным датчика GS802 в ходе операции Конец Депозита (Deposit End).</t>
  </si>
  <si>
    <t xml:space="preserve">5306G00</t>
  </si>
  <si>
    <t xml:space="preserve">Произошла ошибка Возвращающего Транспортного Тракта (датчик GS614) в ходе операции Конец Депозита (Deposit End).</t>
  </si>
  <si>
    <t xml:space="preserve">5306H00</t>
  </si>
  <si>
    <t xml:space="preserve">Произошла ошибка Возвращающего Транспортного Тракта (датчик GS618) в ходе операции Конец Депозита (Deposit End).</t>
  </si>
  <si>
    <t xml:space="preserve">5306J00</t>
  </si>
  <si>
    <t xml:space="preserve">Произошла ошибка Возвращающего Транспортного Тракта (датчик GS619) в ходе операции Конец Депозита (Deposit End).</t>
  </si>
  <si>
    <t xml:space="preserve">Произошла ошибка порядка следования банкнот в области датчика GS801 в ходе операции Конец Депозита (Deposit End).</t>
  </si>
  <si>
    <t xml:space="preserve">Произошла ошибка порядка следования банкнот в области датчика GS002 в ходе операции Конец Депозита (Deposit End).</t>
  </si>
  <si>
    <t xml:space="preserve">Произошла ошибка порядка следования банкнот в области датчика GS003 в ходе операции Конец Депозита (Deposit End).</t>
  </si>
  <si>
    <t xml:space="preserve">Произошла ошибка порядка следования банкнот в области датчика GS004 в ходе операции Конец Депозита (Deposit End).</t>
  </si>
  <si>
    <t xml:space="preserve">Произошла ошибка порядка следования банкнот в области датчика GS005 в ходе операции Конец Депозита (Deposit End).</t>
  </si>
  <si>
    <t xml:space="preserve">Произошла ошибка порядка следования банкнот в области датчика GS006 в ходе операции Конец Депозита (Deposit End).</t>
  </si>
  <si>
    <t xml:space="preserve">5307A00</t>
  </si>
  <si>
    <t xml:space="preserve">Произошла ошибка порядка следования банкнот в области датчика GS021 в ходе операции Конец Депозита (Deposit End).</t>
  </si>
  <si>
    <t xml:space="preserve">5307B00</t>
  </si>
  <si>
    <t xml:space="preserve">Произошла ошибка порядка следования банкнот в области датчика GS022 в ходе операции Конец Депозита (Deposit End).</t>
  </si>
  <si>
    <t xml:space="preserve">5307G00</t>
  </si>
  <si>
    <t xml:space="preserve">Произошла ошибка порядка следования банкнот в области датчика GS614 в ходе операции Конец Депозита (Deposit End).</t>
  </si>
  <si>
    <t xml:space="preserve">5307H00</t>
  </si>
  <si>
    <t xml:space="preserve">Произошла ошибка порядка следования банкнот в области датчика GS618 в ходе операции Конец Депозита (Deposit End).</t>
  </si>
  <si>
    <t xml:space="preserve">5307J00</t>
  </si>
  <si>
    <t xml:space="preserve">Произошла ошибка порядка следования банкнот в области датчика GS619 в ходе операции Конец Депозита (Deposit End).</t>
  </si>
  <si>
    <t xml:space="preserve">5307K00</t>
  </si>
  <si>
    <t xml:space="preserve">Произошла ошибка порядка следования банкнот в области датчика GS703 в ходе операции Конец Депозита (Deposit End).</t>
  </si>
  <si>
    <t xml:space="preserve">5307M00</t>
  </si>
  <si>
    <t xml:space="preserve">Произошла ошибка порядка следования банкнот в области датчика GS031 в ходе операции Конец Депозита (Deposit End).</t>
  </si>
  <si>
    <t xml:space="preserve">5307N00</t>
  </si>
  <si>
    <t xml:space="preserve">Произошла ошибка порядка следования банкнот в области датчика GS032 в ходе операции Конец Депозита (Deposit End).</t>
  </si>
  <si>
    <t xml:space="preserve">5307P00</t>
  </si>
  <si>
    <t xml:space="preserve">Произошла ошибка порядка следования банкнот в области датчика GS033 в ходе операции Конец Депозита (Deposit End).</t>
  </si>
  <si>
    <t xml:space="preserve">5307Q00</t>
  </si>
  <si>
    <t xml:space="preserve">Произошла ошибка порядка следования банкнот в области датчика GS034 в ходе операции Конец Депозита (Deposit End).</t>
  </si>
  <si>
    <t xml:space="preserve">5307W00</t>
  </si>
  <si>
    <t xml:space="preserve">Произошла ошибка порядка следования банкнот в области датчика GS802 в ходе операции Конец Депозита (Deposit End).</t>
  </si>
  <si>
    <t xml:space="preserve">530DR00</t>
  </si>
  <si>
    <t xml:space="preserve">Ошибка синхронизации распознавания в ходе операции Конец Депозита (Deposit End).</t>
  </si>
  <si>
    <t xml:space="preserve">530DS00</t>
  </si>
  <si>
    <t xml:space="preserve">530DT00</t>
  </si>
  <si>
    <t xml:space="preserve">530DU00</t>
  </si>
  <si>
    <t xml:space="preserve">530DV00</t>
  </si>
  <si>
    <t xml:space="preserve">530DW00</t>
  </si>
  <si>
    <t xml:space="preserve">530DX00</t>
  </si>
  <si>
    <t xml:space="preserve">530DY00</t>
  </si>
  <si>
    <t xml:space="preserve">530F100</t>
  </si>
  <si>
    <t xml:space="preserve">Ошибка motor removal error двигателя GM001 в ходе операции Конец Депозита (Deposit End).</t>
  </si>
  <si>
    <t xml:space="preserve">530F200</t>
  </si>
  <si>
    <t xml:space="preserve">Ошибка motor removal error двигателя GM002 в ходе операции Конец Депозита (Deposit End).</t>
  </si>
  <si>
    <t xml:space="preserve">1. Откройте верхнюю часть Модуля Рециркуляции Банкнот 2. Убедитесь, что круглая ручка Заднего Транспортного Тракта (8) вращается свободно 3. Проверьте не остались ли банкноты и посторонние предметы в Верхнем Транспортном Тракте 4. Проверьте статус датчика GS007 status</t>
  </si>
  <si>
    <t xml:space="preserve">530F400</t>
  </si>
  <si>
    <t xml:space="preserve">Ошибка motor removal error двигателя GM004 в ходе операции Конец Депозита (Deposit End).</t>
  </si>
  <si>
    <t xml:space="preserve">1. Откройте нижнюю часть Модуля Рециркуляции Банкнот 2. Убедитесь, что круглая ручка Среднего Транспортного Пути вращается свободно (20) 3. удалите банкноты и посторонние предметы внутри Среднего Транспортного Тракта 4. Проверьте статус датчика GS023</t>
  </si>
  <si>
    <t xml:space="preserve">530F500</t>
  </si>
  <si>
    <t xml:space="preserve">Снижено кол-во счетов энкодера двигателя GM001 относительно предыдущих значений в ходе операции Конец Депозита (Deposit End).</t>
  </si>
  <si>
    <t xml:space="preserve">530F600</t>
  </si>
  <si>
    <t xml:space="preserve">Снижено кол-во счетов энкодера двигателя GM002 относительно предыдущих значений в ходе операции Конец Депозита (Deposit End).</t>
  </si>
  <si>
    <t xml:space="preserve">530F700</t>
  </si>
  <si>
    <t xml:space="preserve">Decreased encoder count of GM004 moter less than previous values в ходе операции Конец Депозита (Deposit End).</t>
  </si>
  <si>
    <t xml:space="preserve">530G100</t>
  </si>
  <si>
    <t xml:space="preserve">Не удалось переключить 3-х направленный Затвор Тракта в режим 0-го градуса в ходе операции Конец Депозита (Deposit End).</t>
  </si>
  <si>
    <t xml:space="preserve">530G200</t>
  </si>
  <si>
    <t xml:space="preserve">Не удалось переключить 3-х направленный Затвор Тракта в 120 градусный режим в ходе операции Пересчет Депозита (Deposit Count) в ходе операции Конец Депозита (Deposit End).</t>
  </si>
  <si>
    <t xml:space="preserve">530G300</t>
  </si>
  <si>
    <t xml:space="preserve">Ошибка таймаута изменения режима 3-направленного затвора на 120 градусов в ходе операции Пересчет Депозита (Deposit Count) в ходе операции Конец Депозита (Deposit End).</t>
  </si>
  <si>
    <t xml:space="preserve">530K100</t>
  </si>
  <si>
    <t xml:space="preserve">Ошибка дублирования серийного номера в ходе операции Конец Депозита (Deposit End)..</t>
  </si>
  <si>
    <t xml:space="preserve">530K300</t>
  </si>
  <si>
    <t xml:space="preserve">Деноминация операции Пересчет Депозита (Deposit Count) отличается от деноминации операции Конец Депозита (Deposit End) в случае установленного режима отбраковка настроек аспознавания банкнот в ходе операции Конец Депозита (Deposit End).</t>
  </si>
  <si>
    <t xml:space="preserve">1. Проверьте нет ли задвоенных ьанкнот и удалите таковые при обнаружении 2. Выполните инициализацию Модуля Рециркуляции Банкнот BRM (Восстановление)</t>
  </si>
  <si>
    <t xml:space="preserve">530N900</t>
  </si>
  <si>
    <t xml:space="preserve">Кол-во набранных банкнот не совпадает с кол-вом уложенных банкнот при завершении разделения в ходе операции Конец Депозита (Deposit End).</t>
  </si>
  <si>
    <t xml:space="preserve">530NA00</t>
  </si>
  <si>
    <t xml:space="preserve">No Result при предыдущем распознавании банкот при разделении банкнот из TE в ходе операции Конец Депозита (Deposit End).</t>
  </si>
  <si>
    <t xml:space="preserve">530NC00</t>
  </si>
  <si>
    <t xml:space="preserve">Не удалось проверить последнюю банкноту в окончании Среднего Транспортного Тракта в ходе операции Конец Депозита (Deposit End).</t>
  </si>
  <si>
    <t xml:space="preserve">530NJ00</t>
  </si>
  <si>
    <t xml:space="preserve">Значение счетчика набранных банкнот Модуля временного хранение TE в ходе операции Пересчет Депозита (Deposit Count) отличается от счетичика разделенных банкнот TE в ходе операции Конец Депозита (Deposit End).</t>
  </si>
  <si>
    <t xml:space="preserve">1. Проверьте кол-во банкнот в ходе операции Подсчет Депозита (Deposit Count) 2. Проверьте кол-во банкнот в ходе операции Конец Депозита (Deposit END) 3. Выполните инициализацию Модуля Рециркуляции Банкнот BRM (Восстановление)</t>
  </si>
  <si>
    <t xml:space="preserve">530NK00</t>
  </si>
  <si>
    <t xml:space="preserve">Ошибка No gate for insertion в ходе операции Конец Депозита (Deposit End).</t>
  </si>
  <si>
    <t xml:space="preserve">530Q100</t>
  </si>
  <si>
    <t xml:space="preserve">Ошибка установки Вспомогательной Кассеты UTC в ходе операции Конец Депозита (Deposit End).</t>
  </si>
  <si>
    <t xml:space="preserve">530Q200</t>
  </si>
  <si>
    <t xml:space="preserve">Ошибка открытого Модуля временного хранения (TE) в ходе операции Конец Депозита (Deposit End).</t>
  </si>
  <si>
    <t xml:space="preserve">530Q300</t>
  </si>
  <si>
    <t xml:space="preserve">Ошибка концевого переключателя BMU в ходе операции Конец Депозита (Deposit End).</t>
  </si>
  <si>
    <t xml:space="preserve">530Q400</t>
  </si>
  <si>
    <t xml:space="preserve">Ошибка установки BMU в ходе операции Конец Депозита (Deposit End).</t>
  </si>
  <si>
    <t xml:space="preserve">530Q500</t>
  </si>
  <si>
    <t xml:space="preserve">Сейфовая дверь открыта в ходе операции Конец Депозита (Deposit End).</t>
  </si>
  <si>
    <t xml:space="preserve">530Q600</t>
  </si>
  <si>
    <t xml:space="preserve">Ошибка открытия CSM в ходе операции Конец Депозита (Deposit End).</t>
  </si>
  <si>
    <t xml:space="preserve">530Q700</t>
  </si>
  <si>
    <t xml:space="preserve">Ошибка вынутой Кассеты Отбраковки RJC в ходе операции Конец Депозита (Deposit End).</t>
  </si>
  <si>
    <t xml:space="preserve">530Q800</t>
  </si>
  <si>
    <t xml:space="preserve">Ошибка концевого переключателя BMD в ходе операции Конец Депозита (Deposit End).</t>
  </si>
  <si>
    <t xml:space="preserve">530Q900</t>
  </si>
  <si>
    <t xml:space="preserve">Ошибка положения BMD в ходе операции Конец Депозита (Deposit End).</t>
  </si>
  <si>
    <t xml:space="preserve">530QA00</t>
  </si>
  <si>
    <t xml:space="preserve">Ошибка открытия BC в ходе операции Конец Депозита (Deposit End).</t>
  </si>
  <si>
    <t xml:space="preserve">530R100</t>
  </si>
  <si>
    <t xml:space="preserve">BM вернул ошибку таймаута сообщения в ходе готовности к операции Конец Депозита (Deposit End).</t>
  </si>
  <si>
    <t xml:space="preserve">530R200</t>
  </si>
  <si>
    <t xml:space="preserve">BM вернул ошибку таймаута сообщения при проведении транзакции в ходе операции в ходе операции Конец Депозита (Deposit End).</t>
  </si>
  <si>
    <t xml:space="preserve">530R300</t>
  </si>
  <si>
    <t xml:space="preserve">BM вернул ошибку таймаута сообщения в ходе постпроцессинга ошибки операции  Конец Депозита (Deposit End Error).</t>
  </si>
  <si>
    <t xml:space="preserve">GS105 сообщил об ошибке замятия по Светлому типу в ходе операции Конец Депозита (Deposit End).</t>
  </si>
  <si>
    <t xml:space="preserve">1. Откройте нижнюю часть Модуля Рециркуляции Банкнот 2. Откройте Средний Транспортный Тракт 3. Удалите замятие в Кассете Рециркуляции (14) 4. Прокрутите круглую ручку Среднего транспортного тракта5. Удалите замятие в Среднем Транспортном Тракте (13).</t>
  </si>
  <si>
    <t xml:space="preserve">GS101 замятие в области датчика в ходе операции Конец Депозита (Deposit End).</t>
  </si>
  <si>
    <t xml:space="preserve">GS102 замятие в области датчика в ходе операции Конец Депозита (Deposit End).</t>
  </si>
  <si>
    <t xml:space="preserve">GS105 замятие в области датчика в ходе операции Конец Депозита (Deposit End).</t>
  </si>
  <si>
    <t xml:space="preserve">1. Откройте Hижнюю часть Модуля Рециркуляции Банкнот 2. Откройте Средний Транспортный Тракт 3. Выньте Каcсету рециркуляции (A) 4. Опустите прижимную пластину после открытия дверцы Каcсеты рециркуляции (A)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</si>
  <si>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GS101 в ходе операции Конец Депозита (Deposit End).</t>
  </si>
  <si>
    <t xml:space="preserve">Произошла ошибка оставшихся банкнот в области датчика GS102 в ходе операции Конец Депозита (Deposit End).</t>
  </si>
  <si>
    <t xml:space="preserve">Произошла ошибка оставшихся банкнот в области датчика GS105 в ходе операции Конец Депозита (Deposit End).</t>
  </si>
  <si>
    <t xml:space="preserve">Произошла ошибка Транспортного Тракта по данным датчика GS105 в ходе операции Конец Депозита (Deposit End).</t>
  </si>
  <si>
    <t xml:space="preserve">Произошла ошибка Возвращающего Транспортного Тракта (датчик GS105) в ходе операции Конец Депозита (Deposit End).</t>
  </si>
  <si>
    <t xml:space="preserve">Произошла ошибка порядка следования банкнот в области датчика GS105 в ходе операции Конец Депозита (Deposit End).</t>
  </si>
  <si>
    <t xml:space="preserve">531G100</t>
  </si>
  <si>
    <t xml:space="preserve">Не удалось вернуть банкноты в Кассету Рециркуляции RC1 в ходе операции Конец Депозита (Deposit End).</t>
  </si>
  <si>
    <t xml:space="preserve">531G200</t>
  </si>
  <si>
    <t xml:space="preserve">Не удалось переместить Прижимную Пластину Кассеты Рециркуляции RC1 в укладывающее положение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</si>
  <si>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(A) 4. Откройте дверцу Кассеты рециркуляции(A) 5. Проверьте работоспособность прижимного механизма перемещая его вверх и вниз 6. Проверьте нижний край правой стороны двери (ключевая часть) в случае отсутствия причин неисправности </t>
  </si>
  <si>
    <t xml:space="preserve">531G400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</si>
  <si>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Конец Депозита (Deposit End).</t>
  </si>
  <si>
    <t xml:space="preserve">531G500</t>
  </si>
  <si>
    <t xml:space="preserve">Сбой обратного хода укладывающего ролика Кассеты Рециркуляции RC1 в ходе операции Конец Депозита (Deposit End).(ошибка датчика)</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</si>
  <si>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Убедитесь, что круглая ручка для устранения замятий вращается свободно</t>
  </si>
  <si>
    <t xml:space="preserve">531G600</t>
  </si>
  <si>
    <t xml:space="preserve">531G800</t>
  </si>
  <si>
    <t xml:space="preserve">Ошибка перемещения Прижимной Пластины в прижимающее положение Кассеты Рециркуляции RC1 в ходе операции Начало Депозита (Deposit Ready).</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</si>
  <si>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t>
  </si>
  <si>
    <t xml:space="preserve">531GA00</t>
  </si>
  <si>
    <t xml:space="preserve">Ошибка сообщения соленоида Кассеты Рециркуляции RC1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</si>
  <si>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рециркуляции(A) и вставьте повторно 4. Замените кассету в случае повторения ошибки</t>
  </si>
  <si>
    <t xml:space="preserve">531GB00</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</si>
  <si>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Начало Депозита (Deposit Ready).</t>
  </si>
  <si>
    <t xml:space="preserve">531GC00</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</si>
  <si>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Начало Депозита (Deposit Ready).</t>
  </si>
  <si>
    <t xml:space="preserve">531GG00</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</si>
  <si>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</si>
  <si>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#1 и откройте её дверцу (A) 4. Удалите замятые банкноты или посторонние предметы с помощью прокручивания роликов в верхней части. 5. Убедитесь, что датчик GS113 работает корректно и отсутствуют замятия.</t>
  </si>
  <si>
    <t xml:space="preserve">531GH00</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</si>
  <si>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Начало Депозита (Deposit Ready).</t>
  </si>
  <si>
    <t xml:space="preserve">531GJ00</t>
  </si>
  <si>
    <t xml:space="preserve">Сбой обратного хода укладывающего ролика Кассеты Рециркуляции RC1 в ходе операции Конец Депозита (Deposit End).(Перерасход)</t>
  </si>
  <si>
    <t xml:space="preserve">531GK00</t>
  </si>
  <si>
    <t xml:space="preserve">Сбой обратного хода укладывающего ролика Кассеты Рециркуляции RC1 в ходе операции Конец Депозита (Deposit End). (Ошибка состояния двигателя)</t>
  </si>
  <si>
    <t xml:space="preserve">531GL00</t>
  </si>
  <si>
    <t xml:space="preserve">Не удалось переместить подающий ролик Кассеты Рециркуляции RC1 в исходное положение в ходе операции Конец Депозита (Deposit End).(Ошибка состояния двигателя)</t>
  </si>
  <si>
    <t xml:space="preserve">531J300</t>
  </si>
  <si>
    <t xml:space="preserve">Не удалось выполнить полную проверку Кассеты Рециркуляции RC1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</si>
  <si>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(A) 4. Проверьте состояние прижимного механизма после открытия Кассеты рециркуляции (A) 5. Проверьте загрязненность датчика GS112</t>
  </si>
  <si>
    <t xml:space="preserve">531R100</t>
  </si>
  <si>
    <t xml:space="preserve">Ошибка тайм-аута сообщения Кассеты Рециркуляции RC1 в ходе готовности к операции Конец Депозита (Deposit End).</t>
  </si>
  <si>
    <t xml:space="preserve">531R200</t>
  </si>
  <si>
    <t xml:space="preserve">Ошибка тайм-аута сообщения Кассеты Рециркуляции RC1 при проведении транзакции в ходе операции Конец Депозита (Deposit End).</t>
  </si>
  <si>
    <t xml:space="preserve">531R300</t>
  </si>
  <si>
    <t xml:space="preserve">Ошибка тайм-аута сообщения Кассеты Рециркуляции RC1 в ходе постпроцессинга ошибки операции  Конец Депозита (Deposit End Error).</t>
  </si>
  <si>
    <t xml:space="preserve">531S100</t>
  </si>
  <si>
    <t xml:space="preserve">Возвращено неизвестное значение Кассеты Рециркуляции RC1 в ходе операции Конец Депозита (Deposit End).</t>
  </si>
  <si>
    <t xml:space="preserve">531S200</t>
  </si>
  <si>
    <t xml:space="preserve">Неизвестная команда RC1 в ходе операции Конец Депозита (Deposit End).</t>
  </si>
  <si>
    <t xml:space="preserve">GS205 замятие в области датчика по Светлому типу в ходе операции Конец Депозита (Deposit End).</t>
  </si>
  <si>
    <t xml:space="preserve">1. Откройте нижнюю часть Модуля Рециркуляции Банкнот 2. Откройте Средний Транспортный Тракт 3. Удалите замятие в Кассете Рециркуляции (15) 4. Прокрутите круглую ручку Среднего транспортного тракта5. Удалите замятие в Среднем Транспортном Тракте (13).</t>
  </si>
  <si>
    <t xml:space="preserve">GS201 замятие в области датчика в ходе операции Конец Депозита (Deposit End).</t>
  </si>
  <si>
    <t xml:space="preserve">GS202 замятие в области датчика в ходе операции Конец Депозита (Deposit End).</t>
  </si>
  <si>
    <t xml:space="preserve">GS205 замятие в области датчика в ходе операции Конец Депозита (Deposit End).</t>
  </si>
  <si>
    <t xml:space="preserve">1. Откройте Hижнюю часть Модуля Рециркуляции Банкнот 2. Откройте Средний Транспортный Тракт 3. Выньте Каcсету рециркуляции (B) 4. Опустите прижимную пластину после открытия дверцы Каcсеты рециркуляции (B)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</si>
  <si>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GS201 в ходе операции Конец Депозита (Deposit End).</t>
  </si>
  <si>
    <t xml:space="preserve">Произошла ошибка оставшихся банкнот в области датчика GS202 в ходе операции Конец Депозита (Deposit End).</t>
  </si>
  <si>
    <t xml:space="preserve">Не удалось переместить Прижимную Пластину Кассеты Рециркуляции RC2 в укладывающее положение в ходе операции Конец Депозита (Deposit End).</t>
  </si>
  <si>
    <t xml:space="preserve">Произошла ошибка Транспортного Тракта по данным датчика GS205 в ходе операции Конец Депозита (Deposit End).</t>
  </si>
  <si>
    <t xml:space="preserve">Произошла ошибка Возвращающего Транспортного Тракта (датчик GS205) в ходе операции Конец Депозита (Deposit End).</t>
  </si>
  <si>
    <t xml:space="preserve">Произошла ошибка порядка следования банкнот в области датчика GS205 в ходе операции Конец Депозита (Deposit End).</t>
  </si>
  <si>
    <t xml:space="preserve">532G100</t>
  </si>
  <si>
    <t xml:space="preserve">Не удалось вернуть банкноты в Кассету Рециркуляции RC2 в ходе операции Конец Депозита (Deposit End).</t>
  </si>
  <si>
    <t xml:space="preserve">532G200</t>
  </si>
  <si>
    <t xml:space="preserve">1. Откройте нижнюю часть Модуля Рециркуляции Банкнот 2. Откройте Средний Транспортный Тракт 3. Выньте Кассету рециркуляции (B) 4. Откройте дверцу Кассеты рециркуляции (B) 5. Проверьте работоспособность прижимного механизма перемещая его вверх и вниз 6. Проверьте нижний край правой стороны двери (ключевая часть) в случае отсутствия причин неисправности </t>
  </si>
  <si>
    <t xml:space="preserve">532G400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</si>
  <si>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Конец Депозита (Deposit End).</t>
  </si>
  <si>
    <t xml:space="preserve">532G500</t>
  </si>
  <si>
    <t xml:space="preserve">Сбой обратного хода укладывающего ролика Кассеты Рециркуляции RC2 в ходе операции Конец Депозита (Deposit End).(ошибка датчика)</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</si>
  <si>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Убедитесь, что круглая ручка для устранения замятий вращается свободно</t>
  </si>
  <si>
    <t xml:space="preserve">532G600</t>
  </si>
  <si>
    <t xml:space="preserve">Превышен предел количества попыток перемещений укладывающего ролика Кассеты Рециркуляции RC2 в ходе операции Конец Депозита (Deposit End).</t>
  </si>
  <si>
    <t xml:space="preserve">532G800</t>
  </si>
  <si>
    <t xml:space="preserve">Не удалось переместить Прижимную Пластину в прижимающее положение Кассеты Рециркуляции RC2 of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</si>
  <si>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t>
  </si>
  <si>
    <t xml:space="preserve">532GA00</t>
  </si>
  <si>
    <t xml:space="preserve">Ошибка сообщения соленоида Кассеты Рециркуляции RC2 в ходе операции Конец Депозита (Deposit End).</t>
  </si>
  <si>
    <t xml:space="preserve">1. Откройте нижнюю часть Модуля Рециркуляции Банкнот 2. Откройте Средний Транспортный Тракт 3. Вставьте Кассету рециркуляции (B) обратно 4. Замените кассету в случае повторения ошибки</t>
  </si>
  <si>
    <t xml:space="preserve">532GB00</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</si>
  <si>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Конец Депозита (Deposit End).</t>
  </si>
  <si>
    <t xml:space="preserve">532GC00</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</si>
  <si>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Конец Депозита (Deposit End).</t>
  </si>
  <si>
    <t xml:space="preserve">532GG00</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</si>
  <si>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</si>
  <si>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#2 и откройте её дверцу (B) 4. Удалите замятые банкноты или посторонние предметы с помощью прокручивания роликов в верхней части. 5. Убедитесь, что датчик GS213 работает корректно и отсутствуют замятия.</t>
  </si>
  <si>
    <t xml:space="preserve">532GH00</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</si>
  <si>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Начало Депозита (Deposit Ready).</t>
  </si>
  <si>
    <t xml:space="preserve">532GJ00</t>
  </si>
  <si>
    <t xml:space="preserve">Сбой обратного хода укладывающего ролика Кассеты Рециркуляции RC2 в ходе операции Конец Депозита (Deposit End).(Перерасход)</t>
  </si>
  <si>
    <t xml:space="preserve">532GK00</t>
  </si>
  <si>
    <t xml:space="preserve">Сбой обратного хода укладывающего ролика Кассеты Рециркуляции RC2 в ходе операции Конец Депозита (Deposit End). (Ошибка состояния двигателя)</t>
  </si>
  <si>
    <t xml:space="preserve">532GL00</t>
  </si>
  <si>
    <t xml:space="preserve">Не удалось переместить подающий ролик Кассеты Рециркуляции RC2 в исходное положение в ходе операции Конец Депозита (Deposit End). (Ошибка состояния двигателя)</t>
  </si>
  <si>
    <t xml:space="preserve">532J300</t>
  </si>
  <si>
    <t xml:space="preserve">Не удалось выполнить полную проверку Кассеты Рециркуляции RC2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</si>
  <si>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(B) 4. Проверьте состояние прижимного механизма после открытия Кассеты рециркуляции (B) 5. Проверьте загрязненность датчика GS212.</t>
  </si>
  <si>
    <t xml:space="preserve">532R100</t>
  </si>
  <si>
    <t xml:space="preserve">Ошибка тайм-аута сообщения Кассеты Рециркуляции RC2 в ходе готовности к операции Конец Депозита (Deposit End).</t>
  </si>
  <si>
    <t xml:space="preserve">532R200</t>
  </si>
  <si>
    <t xml:space="preserve">Ошибка тайм-аута сообщения Кассеты Рециркуляции RC2 при проведении транзакции в ходе операции Конец Депозита (Deposit End).</t>
  </si>
  <si>
    <t xml:space="preserve">532R300</t>
  </si>
  <si>
    <t xml:space="preserve">Ошибка тайм-аута сообщения Кассеты Рециркуляции RC2 в ходе постпроцессинга ошибки операции  Конец Депозита (Deposit End Error).</t>
  </si>
  <si>
    <t xml:space="preserve">532S100</t>
  </si>
  <si>
    <t xml:space="preserve">Возвращено неизвестное значение Кассеты Рециркуляции RC2 в ходе операции Конец Депозита (Deposit End).</t>
  </si>
  <si>
    <t xml:space="preserve">532S200</t>
  </si>
  <si>
    <t xml:space="preserve">Неизвестная команда RC2 в ходе операции Конец Депозита (Deposit End).</t>
  </si>
  <si>
    <t xml:space="preserve">GS305 замятие в области датчика по Светлому типу в ходе операции Конец Депозита (Deposit End).</t>
  </si>
  <si>
    <t xml:space="preserve">1. Откройте нижнюю часть Модуля Рециркуляции Банкнот 2. Откройте Средний Транспортный Тракт 3. Удалите замятие в Кассете Рециркуляции (16) 4. Прокрутите круглую ручку Среднего транспортного тракта5. Удалите замятие в Среднем Транспортном Тракте (13).</t>
  </si>
  <si>
    <t xml:space="preserve">GS301 замятие в области датчика в ходе операции Конец Депозита (Deposit End).</t>
  </si>
  <si>
    <t xml:space="preserve">GS302 замятие в области датчика в ходе операции Конец Депозита (Deposit End).</t>
  </si>
  <si>
    <t xml:space="preserve">GS305 замятие в области датчика в ходе операции Конец Депозита (Deposit End).</t>
  </si>
  <si>
    <t xml:space="preserve">1. Откройте Hижнюю часть Модуля Рециркуляции Банкнот 2. Откройте Средний Транспортный Тракт 3. Выньте Каcсету рециркуляции (C) 4. Опустите прижимную пластину после открытия дверцы Каcсеты рециркуляции (C)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</si>
  <si>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GS301 в ходе операции Конец Депозита (Deposit End).</t>
  </si>
  <si>
    <t xml:space="preserve">Произошла ошибка оставшихся банкнот в области датчика GS302 в ходе операции Конец Депозита (Deposit End).</t>
  </si>
  <si>
    <t xml:space="preserve">Произошла ошибка оставшихся банкнот в области датчика GS305 в ходе операции Конец Депозита (Deposit End).</t>
  </si>
  <si>
    <t xml:space="preserve">Произошла ошибка Транспортного Тракта по данным датчика GS305 в ходе операции Конец Депозита (Deposit End).</t>
  </si>
  <si>
    <t xml:space="preserve">Произошла ошибка Возвращающего Транспортного Тракта (датчик GS305) в ходе операции Конец Депозита (Deposit End).</t>
  </si>
  <si>
    <t xml:space="preserve">Произошла ошибка порядка следования банкнот в области датчика GS305 в ходе операции Конец Депозита (Deposit End).</t>
  </si>
  <si>
    <t xml:space="preserve">533G100</t>
  </si>
  <si>
    <t xml:space="preserve">Не удалось вернуть банкноты в Кассету Рециркуляции RC3 в ходе операции Конец Депозита (Deposit End).</t>
  </si>
  <si>
    <t xml:space="preserve">533G200</t>
  </si>
  <si>
    <t xml:space="preserve">Не удалось переместить Прижимную Пластину Кассеты Рециркуляции RC3 в укладывающее положение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</si>
  <si>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(C) 4. Откройте дверцу Кассеты рециркуляции (C) 5. Проверьте работоспособность прижимного механизма перемещая его вверх и вниз 6. Проверьте нижний край правой стороны двери (ключевая часть) в случае отсутствия причин неисправности </t>
  </si>
  <si>
    <t xml:space="preserve">533G400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</si>
  <si>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Конец Депозита (Deposit End).</t>
  </si>
  <si>
    <t xml:space="preserve">533G500</t>
  </si>
  <si>
    <t xml:space="preserve">Сбой обратного хода укладывающего ролика Кассеты Рециркуляции RC3 RC3 в ходе операции Конец Депозита (Deposit End).(ошибка датчика)</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</si>
  <si>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Убедитесь, что круглая ручка для устранения замятий вращается свободно</t>
  </si>
  <si>
    <t xml:space="preserve">533G600</t>
  </si>
  <si>
    <t xml:space="preserve">Превышен предел количества попыток перемещений укладывающего ролика Кассеты Рециркуляции RC3 в ходе операции Конец Депозита (Deposit End).</t>
  </si>
  <si>
    <t xml:space="preserve">533G800</t>
  </si>
  <si>
    <t xml:space="preserve">Не удалось переместить Прижимную Пластину в прижимающее положение Кассеты Рециркуляции RC3 of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</si>
  <si>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t>
  </si>
  <si>
    <t xml:space="preserve">533GA00</t>
  </si>
  <si>
    <t xml:space="preserve">Ошибка сообщения соленоида Кассеты Рециркуляции RC3 в ходе операции Конец Депозита (Deposit End).</t>
  </si>
  <si>
    <t xml:space="preserve">1. Откройте нижнюю часть Модуля Рециркуляции Банкнот 2. Откройте Средний Транспортный Тракт 3. Вставьте Кассету рециркуляции (C) обратно 4. Замените кассету в случае повторения ошибки</t>
  </si>
  <si>
    <t xml:space="preserve">533GB00</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</si>
  <si>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Конец Депозита (Deposit End).</t>
  </si>
  <si>
    <t xml:space="preserve">533GC00</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</si>
  <si>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Конец Депозита (Deposit End).</t>
  </si>
  <si>
    <t xml:space="preserve">533GG00</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</si>
  <si>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</si>
  <si>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#3 и откройте её дверцу (C) 4. Удалите замятые банкноты или посторонние предметы с помощью прокручивания роликов в верхней части. 5. Убедитесь, что датчик GS313 работает корректно и отсутствуют замятия.</t>
  </si>
  <si>
    <t xml:space="preserve">533GH00</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</si>
  <si>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Начало Депозита (Deposit Ready).</t>
  </si>
  <si>
    <t xml:space="preserve">533GJ00</t>
  </si>
  <si>
    <t xml:space="preserve">Сбой обратного хода укладывающего ролика Кассеты Рециркуляции RC3 RC3 в ходе операции Конец Депозита (Deposit End).(Перерасход)</t>
  </si>
  <si>
    <t xml:space="preserve">533GK00</t>
  </si>
  <si>
    <t xml:space="preserve">Сбой обратного хода укладывающего ролика Кассеты Рециркуляции RC3 в ходе операции Конец Депозита (Deposit End). (Ошибка состояния двигателя)</t>
  </si>
  <si>
    <t xml:space="preserve">533GL00</t>
  </si>
  <si>
    <t xml:space="preserve">Не удалось переместить подающий ролик Кассеты Рециркуляции RC3 в исходное положение в ходе операции Конец Депозита (Deposit End).(Ошибка состояния двигателя)</t>
  </si>
  <si>
    <t xml:space="preserve">533J300</t>
  </si>
  <si>
    <t xml:space="preserve">Не удалось выполнить полную проверку Кассеты Рециркуляции RC3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</si>
  <si>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(C) 4. Проверьте состояние прижимного механизма после открытия Кассеты рециркуляции (C) 5.  Проверьте загрязненность датчика GS312.</t>
  </si>
  <si>
    <t xml:space="preserve">533R100</t>
  </si>
  <si>
    <t xml:space="preserve">Ошибка тайм-аута сообщения Кассеты Рециркуляции RC3 в ходе готовности к операции Конец Депозита (Deposit End).</t>
  </si>
  <si>
    <t xml:space="preserve">533R200</t>
  </si>
  <si>
    <t xml:space="preserve">Ошибка тайм-аута сообщения Кассеты Рециркуляции RC3 при проведении транзакции в ходе операции Конец Депозита (Deposit End).</t>
  </si>
  <si>
    <t xml:space="preserve">533R300</t>
  </si>
  <si>
    <t xml:space="preserve">Ошибка тайм-аута сообщения Кассеты Рециркуляции RC3 в ходе постпроцессинга ошибки операции  Конец Депозита (Deposit End Error).</t>
  </si>
  <si>
    <t xml:space="preserve">533S100</t>
  </si>
  <si>
    <t xml:space="preserve">Возвращено неизвестное значение Кассеты Рециркуляции RC3 в ходе операции Конец Депозита (Deposit End).</t>
  </si>
  <si>
    <t xml:space="preserve">533S200</t>
  </si>
  <si>
    <t xml:space="preserve">Неизвестная команда RC3 в ходе операции Конец Депозита (Deposit End).</t>
  </si>
  <si>
    <t xml:space="preserve">GS405 замятие в области датчика по Светлому типу в ходе операции Конец Депозита (Deposit End).</t>
  </si>
  <si>
    <t xml:space="preserve">1. Откройте нижнюю часть Модуля Рециркуляции Банкнот 2. Откройте Средний Транспортный Тракт 3. Удалите замятие в Кассете Рециркуляции (17) 4. Прокрутите круглую ручку Среднего транспортного тракта5. Удалите замятие в Среднем Транспортном Тракте (13).</t>
  </si>
  <si>
    <t xml:space="preserve">GS401 замятие в области датчика в ходе операции Конец Депозита (Deposit End).</t>
  </si>
  <si>
    <t xml:space="preserve">GS402 замятие в области датчика в ходе операции Конец Депозита (Deposit End).</t>
  </si>
  <si>
    <t xml:space="preserve">GS405 замятие в области датчика в ходе операции Конец Депозита (Deposit End).</t>
  </si>
  <si>
    <t xml:space="preserve">1. Откройте Hижнюю часть Модуля Рециркуляции Банкнот 2. Откройте Средний Транспортный Тракт 3. Выньте Каcсету рециркуляции (D) 4. Опустите прижимную пластину после открытия дверцы Каcсеты рециркуляции (D)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</si>
  <si>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GS401 в ходе операции Конец Депозита (Deposit End).</t>
  </si>
  <si>
    <t xml:space="preserve">Произошла ошибка оставшихся банкнот в области датчика GS402 в ходе операции Конец Депозита (Deposit End).</t>
  </si>
  <si>
    <t xml:space="preserve">Произошла ошибка оставшихся банкнот в области датчика GS405 в ходе операции Конец Депозита (Deposit End).</t>
  </si>
  <si>
    <t xml:space="preserve">Произошла ошибка Транспортного Тракта по данным датчика GS405 в ходе операции Конец Депозита (Deposit End).</t>
  </si>
  <si>
    <t xml:space="preserve">Произошла ошибка Возвращающего Транспортного Тракта (датчик GS405) в ходе операции Конец Депозита (Deposit End).</t>
  </si>
  <si>
    <t xml:space="preserve">Произошла ошибка порядка следования банкнот в области датчика GS405 в ходе операции Конец Депозита (Deposit End).</t>
  </si>
  <si>
    <t xml:space="preserve">534G100</t>
  </si>
  <si>
    <t xml:space="preserve">Не удалось вернуть банкноты в Кассету Рециркуляции RC4 в ходе операции Конец Депозита (Deposit End).</t>
  </si>
  <si>
    <t xml:space="preserve">534G200</t>
  </si>
  <si>
    <t xml:space="preserve">Не удалось переместить Прижимную Пластину Кассеты Рециркуляции RC4 в укладывающее положение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</si>
  <si>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(D) 4. Откройте дверцу Кассеты рециркуляции (D) 5. Проверьте работоспособность прижимного механизма перемещая его вверх и вниз 6. Проверьте нижний край правой стороны двери (ключевая часть) в случае отсутствия причин неисправности </t>
  </si>
  <si>
    <t xml:space="preserve">534G400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</si>
  <si>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Конец Депозита (Deposit End).</t>
  </si>
  <si>
    <t xml:space="preserve">534G500</t>
  </si>
  <si>
    <t xml:space="preserve">Сбой обратного хода укладывающего ролика Кассеты Рециркуляции RC4 в ходе операции Конец Депозита (Deposit End).(ошибка датчика)</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</si>
  <si>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Убедитесь, что круглая ручка для устранения замятий вращается свободно</t>
  </si>
  <si>
    <t xml:space="preserve">534G600</t>
  </si>
  <si>
    <t xml:space="preserve">Превышен предел количества попыток перемещений укладывающего ролика Кассеты Рециркуляции RC4 в ходе операции Конец Депозита (Deposit End).</t>
  </si>
  <si>
    <t xml:space="preserve">534G800</t>
  </si>
  <si>
    <t xml:space="preserve">Не удалось переместить Прижимную Пластину в прижимающее положение Кассеты Рециркуляции RC4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</si>
  <si>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t>
  </si>
  <si>
    <t xml:space="preserve">534GA00</t>
  </si>
  <si>
    <t xml:space="preserve">Ошибка сообщения соленоида Кассеты Рециркуляции RC4 в ходе операции Конец Депозита (Deposit End).</t>
  </si>
  <si>
    <t xml:space="preserve">1. Откройте нижнюю часть Модуля Рециркуляции Банкнот 2. Откройте Средний Транспортный Тракт 3. Вставьте Кассету рециркуляции (D) обратно 4. Замените кассету в случае повторения ошибки</t>
  </si>
  <si>
    <t xml:space="preserve">534GB00</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</si>
  <si>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Конец Депозита (Deposit End).</t>
  </si>
  <si>
    <t xml:space="preserve">534GC00</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</si>
  <si>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Конец Депозита (Deposit End).</t>
  </si>
  <si>
    <t xml:space="preserve">534GG00</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</si>
  <si>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</si>
  <si>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#4 и откройте её дверцу (D) 4. Удалите замятые банкноты или посторонние предметы с помощью прокручивания роликов в верхней части. 5. Убедитесь, что датчик GS413 работает корректно и отсутствуют замятия.</t>
  </si>
  <si>
    <t xml:space="preserve">534GH00</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</si>
  <si>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Начало Депозита (Deposit Ready).</t>
  </si>
  <si>
    <t xml:space="preserve">534GJ00</t>
  </si>
  <si>
    <t xml:space="preserve">Сбой обратного хода укладывающего ролика Кассеты Рециркуляции RC4 в ходе операции Конец Депозита (Deposit End).(Перерасход)</t>
  </si>
  <si>
    <t xml:space="preserve">534GK00</t>
  </si>
  <si>
    <t xml:space="preserve">Сбой обратного хода укладывающего ролика Кассеты Рециркуляции RC4 в ходе операции Конец Депозита (Deposit End). (Ошибка состояния двигателя)</t>
  </si>
  <si>
    <t xml:space="preserve">534GL00</t>
  </si>
  <si>
    <t xml:space="preserve">Не удалось переместить подающий ролик Кассеты Рециркуляции RC4 в исходное положение в ходе операции Конец Депозита (Deposit End).(Ошибка состояния двигателя)</t>
  </si>
  <si>
    <t xml:space="preserve">534J300</t>
  </si>
  <si>
    <t xml:space="preserve">Не удалось выполнить полную проверку Кассеты Рециркуляции RC4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</si>
  <si>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(D) 4. Проверьте состояние прижимного механизма после открытия Кассеты рециркуляции (D) 5.  Проверьте загрязненность датчика GS412.</t>
  </si>
  <si>
    <t xml:space="preserve">534R100</t>
  </si>
  <si>
    <t xml:space="preserve">Ошибка тайм-аута сообщения Кассеты Рециркуляции RC4 в ходе готовности к операции Конец Депозита (Deposit End).</t>
  </si>
  <si>
    <t xml:space="preserve">534R200</t>
  </si>
  <si>
    <t xml:space="preserve">Ошибка тайм-аута сообщения Кассеты Рециркуляции RC4 при проведении транзакции в ходе операции Конец Депозита (Deposit End).</t>
  </si>
  <si>
    <t xml:space="preserve">534R300</t>
  </si>
  <si>
    <t xml:space="preserve">Ошибка тайм-аута сообщения Кассеты Рециркуляции RC4 в ходе постпроцессинга ошибки операции  Конец Депозита (Deposit End Error).</t>
  </si>
  <si>
    <t xml:space="preserve">534S100</t>
  </si>
  <si>
    <t xml:space="preserve">Возвращено неизвестное значение Кассеты Рециркуляции RC4 в ходе операции Конец Депозита (Deposit End).</t>
  </si>
  <si>
    <t xml:space="preserve">534S200</t>
  </si>
  <si>
    <t xml:space="preserve">Неизвестная команда RC4 в ходе операции Конец Депозита (Deposit End).</t>
  </si>
  <si>
    <t xml:space="preserve">5350500</t>
  </si>
  <si>
    <t xml:space="preserve">GS505 замятие в области датчика по Светлому типу в ходе операции Конец Депозита (Deposit End).</t>
  </si>
  <si>
    <t xml:space="preserve">1. Откройте нижнюю часть Модуля Рециркуляции Банкнот 2. Откройте Средний Транспортный Тракт 3. Удалите замятие в Кассете Рециркуляции (18) 4. Прокрутите круглую ручку Среднего транспортного тракта5. Удалите замятие в Среднем Транспортном Тракте (13).</t>
  </si>
  <si>
    <t xml:space="preserve">5351100</t>
  </si>
  <si>
    <t xml:space="preserve">GS501 замятие в области датчика в ходе операции Конец Депозита (Deposit End).</t>
  </si>
  <si>
    <t xml:space="preserve">GS502 замятие в области датчика в ходе операции Конец Депозита (Deposit End).</t>
  </si>
  <si>
    <t xml:space="preserve">GS505 замятие в области датчика в ходе операции Конец Депозита (Deposit End).</t>
  </si>
  <si>
    <t xml:space="preserve">1. Откройте Hижнюю часть Модуля Рециркуляции Банкнот 2. Откройте Средний Транспортный Тракт 3. Выньте Касcету рециркуляции (E) 4. Опустите прижимную пластину после открытия дверцы Каcсеты рециркуляции (E)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</si>
  <si>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5352100</t>
  </si>
  <si>
    <t xml:space="preserve">Произошла ошибка оставшихся банкнот в области датчика GS501 в ходе операции Конец Депозита (Deposit End).</t>
  </si>
  <si>
    <t xml:space="preserve">5352200</t>
  </si>
  <si>
    <t xml:space="preserve">Произошла ошибка оставшихся банкнот в области датчика GS502 в ходе операции Конец Депозита (Deposit End).</t>
  </si>
  <si>
    <t xml:space="preserve">Произошла ошибка оставшихся банкнот в области датчика GS505 в ходе операции Конец Депозита (Deposit End).</t>
  </si>
  <si>
    <t xml:space="preserve">Произошла ошибка Транспортного Тракта по данным датчика GS505 в ходе операции Конец Депозита (Deposit End).</t>
  </si>
  <si>
    <t xml:space="preserve">5356500</t>
  </si>
  <si>
    <t xml:space="preserve">Произошла ошибка Возвращающего Транспортного Тракта (датчик GS505) в ходе операции Конец Депозита (Deposit End).</t>
  </si>
  <si>
    <t xml:space="preserve">Произошла ошибка порядка следования банкнот в области датчика GS505 в ходе операции Конец Депозита (Deposit End).</t>
  </si>
  <si>
    <t xml:space="preserve">535G100</t>
  </si>
  <si>
    <t xml:space="preserve">Не удалось вернуть банкноты в Кассету Рециркуляции RC5 в ходе операции Конец Депозита (Deposit End).</t>
  </si>
  <si>
    <t xml:space="preserve">535G200</t>
  </si>
  <si>
    <t xml:space="preserve">Не удалось переместить Прижимную Пластину Кассеты Рециркуляции RC5 в укладывающее положение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</si>
  <si>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(E) 4. Откройте дверцу Кассеты рециркуляции (E) 5. Проверьте работоспособность прижимного механизма перемещая его вверх и вниз 6. Проверьте нижний край правой стороны двери (ключевая часть) в случае отсутствия причин неисправности </t>
  </si>
  <si>
    <t xml:space="preserve">535G400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</si>
  <si>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Конец Депозита (Deposit End).</t>
  </si>
  <si>
    <t xml:space="preserve">535G500</t>
  </si>
  <si>
    <t xml:space="preserve">Сбой обратного хода укладывающего ролика Кассеты Рециркуляции RC5 в ходе операции Конец Депозита (Deposit End).(ошибка датчика)</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</si>
  <si>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Убедитесь, что круглая ручка для устранения замятий вращается свободно</t>
  </si>
  <si>
    <t xml:space="preserve">535G600</t>
  </si>
  <si>
    <t xml:space="preserve">Превышен предел количества попыток перемещений укладывающего ролика Кассеты Рециркуляции RC5 в ходе операции Конец Депозита (Deposit End).</t>
  </si>
  <si>
    <t xml:space="preserve">535G800</t>
  </si>
  <si>
    <t xml:space="preserve">Не удалось переместить Прижимную Пластину в прижимающее положение Кассеты Рециркуляции RC5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</si>
  <si>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t>
  </si>
  <si>
    <t xml:space="preserve">535GA00</t>
  </si>
  <si>
    <t xml:space="preserve">Ошибка сообщения соленоида Кассеты Рециркуляции RC5 в ходе операции Конец Депозита (Deposit End).</t>
  </si>
  <si>
    <t xml:space="preserve">1. Откройте нижнюю часть Модуля Рециркуляции Банкнот 2. Откройте Средний Транспортный Тракт 3. Вставьте Кассету рециркуляции (E) обратно 4. Замените кассету в случае повторения ошибки</t>
  </si>
  <si>
    <t xml:space="preserve">535GB00</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</si>
  <si>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Конец Депозита (Deposit End).</t>
  </si>
  <si>
    <t xml:space="preserve">535GC00</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</si>
  <si>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Конец Депозита (Deposit End).</t>
  </si>
  <si>
    <t xml:space="preserve">535GG00</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</si>
  <si>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</si>
  <si>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#5 и откройте её дверцу (E) 4. Удалите замятые банкноты или посторонние предметы с помощью прокручивания роликов в верхней части. 5. Убедитесь, что датчик GS513 работает корректно и отсутствуют замятия.</t>
  </si>
  <si>
    <t xml:space="preserve">535GH00</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</si>
  <si>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Начало Депозита (Deposit Ready).</t>
  </si>
  <si>
    <t xml:space="preserve">535GJ00</t>
  </si>
  <si>
    <t xml:space="preserve">Сбой обратного хода укладывающего ролика Кассеты Рециркуляции RC5 в ходе операции Конец Депозита (Deposit End).(Перерасход)</t>
  </si>
  <si>
    <t xml:space="preserve">535GK00</t>
  </si>
  <si>
    <t xml:space="preserve">Сбой обратного хода укладывающего ролика Кассеты Рециркуляции RC5 в ходе операции Конец Депозита (Deposit End). (Ошибка состояния двигателя)</t>
  </si>
  <si>
    <t xml:space="preserve">535GL00</t>
  </si>
  <si>
    <t xml:space="preserve">Не удалось переместить подающий ролик Кассеты Рециркуляции RC5 в исходное положение в ходе операции Конец Депозита (Deposit End).(Ошибка состояния двигателя)</t>
  </si>
  <si>
    <t xml:space="preserve">535J300</t>
  </si>
  <si>
    <t xml:space="preserve">Не удалось выполнить полную проверку Кассеты Рециркуляции RC5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</si>
  <si>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(E) 4. Проверьте состояние прижимного механизма после открытия Кассеты рециркуляции (E) 5.  Проверьте загрязненность датчика GS512 sensor.</t>
  </si>
  <si>
    <t xml:space="preserve">535R100</t>
  </si>
  <si>
    <t xml:space="preserve">Ошибка тайм-аута сообщения Кассеты Рециркуляции RC5 в ходе готовности к операции Конец Депозита (Deposit End).</t>
  </si>
  <si>
    <t xml:space="preserve">535R200</t>
  </si>
  <si>
    <t xml:space="preserve">Ошибка тайм-аута сообщения Кассеты Рециркуляции RC5 при проведении транзакции в ходе операции Конец Депозита (Deposit End).</t>
  </si>
  <si>
    <t xml:space="preserve">535R300</t>
  </si>
  <si>
    <t xml:space="preserve">Ошибка тайм-аута сообщения Кассеты Рециркуляции RC5 в ходе постпроцессинга ошибки операции  Конец Депозита (Deposit End Error).</t>
  </si>
  <si>
    <t xml:space="preserve">535S100</t>
  </si>
  <si>
    <t xml:space="preserve">Возвращено неизвестное значение Кассеты Рециркуляции RC5 в ходе операции Конец Депозита (Deposit End).</t>
  </si>
  <si>
    <t xml:space="preserve">535S200</t>
  </si>
  <si>
    <t xml:space="preserve">Неизвестная команда RC5 в ходе операции Конец Депозита (Deposit End).</t>
  </si>
  <si>
    <t xml:space="preserve">536R100</t>
  </si>
  <si>
    <t xml:space="preserve">Модуль обслуживания клиентов CSM вернул ошибку таймаута сообщения в ходе готовности к операции Конец Депозита (Deposit End).</t>
  </si>
  <si>
    <t xml:space="preserve">536R200</t>
  </si>
  <si>
    <t xml:space="preserve">Модуль обслуживания клиентов CSM вернул ошибку таймаута сообщения при проведении транзакции в ходе операции Конец Депозита (Deposit End).</t>
  </si>
  <si>
    <t xml:space="preserve">536R300</t>
  </si>
  <si>
    <t xml:space="preserve">Модуль обслуживания клиентов CSM вернул ошибку таймаута сообщения в ходе постпроцессинга ошибки операции  Конец Депозита (Deposit End Error).</t>
  </si>
  <si>
    <t xml:space="preserve">GS703 замятие в области датчика по Темному типу в ходе операции Конец Депозита (Deposit End).</t>
  </si>
  <si>
    <t xml:space="preserve">Произошла ошибка оставшихся банкнот в области датчика GS701 в ходе выполнения операции Получение Депозита (Deposit deceipt).</t>
  </si>
  <si>
    <t xml:space="preserve">Произошла ошибка оставшихся банкнот в области датчика GS702 в ходе выполнения операции Получение Депозита (Deposit deceipt).</t>
  </si>
  <si>
    <t xml:space="preserve">Произошла ошибка оставшихся банкнот в области датчика GS703 в ходе выполнения операции Получение Депозита (Deposit deceipt).</t>
  </si>
  <si>
    <t xml:space="preserve">5372800</t>
  </si>
  <si>
    <t xml:space="preserve">Произошла ошибка оставшихся банкнот в области датчика GS709 в ходе выполнения операции Получение Депозита (Deposit deceipt).</t>
  </si>
  <si>
    <t xml:space="preserve">537G100</t>
  </si>
  <si>
    <t xml:space="preserve">Нарушение движения двигателя в сторону укладки в ходе операции Конец Депозита (Deposit End).</t>
  </si>
  <si>
    <t xml:space="preserve">537G200</t>
  </si>
  <si>
    <t xml:space="preserve">537G300</t>
  </si>
  <si>
    <t xml:space="preserve">Нарушение остановки двигателя в ходе операции Конец Депозита (Deposit End).</t>
  </si>
  <si>
    <t xml:space="preserve">537G400</t>
  </si>
  <si>
    <t xml:space="preserve">Не обнаружен передний конец ленты в ходе операции Конец Депозита (Deposit End).</t>
  </si>
  <si>
    <t xml:space="preserve">537G500</t>
  </si>
  <si>
    <t xml:space="preserve">Обнаружен передний конец ленты в ходе операции Конец Депозита (Deposit End).</t>
  </si>
  <si>
    <t xml:space="preserve">537G700</t>
  </si>
  <si>
    <t xml:space="preserve">Обнаружен задний конец ленты в ходе операции Конец Депозита (Deposit End).</t>
  </si>
  <si>
    <t xml:space="preserve">537J100</t>
  </si>
  <si>
    <t xml:space="preserve">Полный барабан TE в ходе операции Конец Депозита (Deposit End).</t>
  </si>
  <si>
    <t xml:space="preserve">537J200</t>
  </si>
  <si>
    <t xml:space="preserve">Пустой барабан TE в ходе операции Конец Депозита (Deposit End).</t>
  </si>
  <si>
    <t xml:space="preserve">1. Откройте верхнюю часть Модуля Рециркуляции Банкнот 2. Проверьте не осталось ли банкнот в Модуле временного хранения_TE (12) 3. Проверьте состояние датчика GS701/GS702/GS709  4. Удалите банкноты из Модуля временного хранения_TE</t>
  </si>
  <si>
    <t xml:space="preserve">537J300</t>
  </si>
  <si>
    <t xml:space="preserve">Невозможно нормальное завершение в ходе операции Конец Депозита (Deposit End).</t>
  </si>
  <si>
    <t xml:space="preserve">537R100</t>
  </si>
  <si>
    <t xml:space="preserve">Модуль временного хранения_TE вернул ошибку таймаута сообщения в ходе операции Ready Operation в ходе операции Конец Депозита (Deposit End).</t>
  </si>
  <si>
    <t xml:space="preserve">537R200</t>
  </si>
  <si>
    <t xml:space="preserve">Модуль временного хранения_TE вернул ошибку таймаута сообщения в ходе операции transaction operation int the Конец Депозита (Deposit End).</t>
  </si>
  <si>
    <t xml:space="preserve">537R300</t>
  </si>
  <si>
    <t xml:space="preserve">Модуль временного хранения_TE вернул ошибку таймаута сообщения в ходе постпроцессинга ошибки Конец Отмены Депозита (Deposit Cancel End Error).</t>
  </si>
  <si>
    <t xml:space="preserve">538HA01</t>
  </si>
  <si>
    <t xml:space="preserve">Ошибка датчика GS801A в ходе операции Конец Депозита (Deposit End).</t>
  </si>
  <si>
    <t xml:space="preserve">538HA02</t>
  </si>
  <si>
    <t xml:space="preserve">Ошибка датчика GS801B в ходе операции Конец Депозита (Deposit End).</t>
  </si>
  <si>
    <t xml:space="preserve">538HA03</t>
  </si>
  <si>
    <t xml:space="preserve">Ошибка датчиков GS801A, GS801B в ходе операции Конец Депозита (Deposit End).</t>
  </si>
  <si>
    <t xml:space="preserve">538HA04</t>
  </si>
  <si>
    <t xml:space="preserve">Ошибка датчика GS802A в ходе операции Конец Депозита (Deposit End).</t>
  </si>
  <si>
    <t xml:space="preserve">538HA05</t>
  </si>
  <si>
    <t xml:space="preserve">Ошибка датчиков GS801A, GS802A в ходе операции Конец Депозита (Deposit End).</t>
  </si>
  <si>
    <t xml:space="preserve">538HA06</t>
  </si>
  <si>
    <t xml:space="preserve">Ошибка датчиков GS801B, GS802A в ходе операции Конец Депозита (Deposit End).</t>
  </si>
  <si>
    <t xml:space="preserve">538HA07</t>
  </si>
  <si>
    <t xml:space="preserve">Ошибка датчиков GS801A, GS801B, GS802A в ходе операции Конец Депозита (Deposit End).</t>
  </si>
  <si>
    <t xml:space="preserve">538HA08</t>
  </si>
  <si>
    <t xml:space="preserve">Ошибка датчика GS802B в ходе операции Конец Депозита (Deposit End).</t>
  </si>
  <si>
    <t xml:space="preserve">538HA09</t>
  </si>
  <si>
    <t xml:space="preserve">Ошибка датчиков GS801A, GS802B в ходе операции Конец Депозита (Deposit End).</t>
  </si>
  <si>
    <t xml:space="preserve">538HA10</t>
  </si>
  <si>
    <t xml:space="preserve">Ошибка датчиков GS801B, GS802B в ходе операции Конец Депозита (Deposit End).</t>
  </si>
  <si>
    <t xml:space="preserve">538HA11</t>
  </si>
  <si>
    <t xml:space="preserve">Ошибка датчиков GS801A, GS801B, GS802B в ходе операции Конец Депозита (Deposit End).</t>
  </si>
  <si>
    <t xml:space="preserve">538HA12</t>
  </si>
  <si>
    <t xml:space="preserve">Ошибка датчиков GS802A, GS802B в ходе операции Конец Депозита (Deposit End).</t>
  </si>
  <si>
    <t xml:space="preserve">538HA13</t>
  </si>
  <si>
    <t xml:space="preserve">Ошибка датчиков GS801A, GS802A, GS802B в ходе операции Конец Депозита (Deposit End).</t>
  </si>
  <si>
    <t xml:space="preserve">538HA14</t>
  </si>
  <si>
    <t xml:space="preserve">Ошибка датчиков GS801B, GS802A, GS802B в ходе операции Конец Депозита (Deposit End).</t>
  </si>
  <si>
    <t xml:space="preserve">538HA15</t>
  </si>
  <si>
    <t xml:space="preserve">Ошибка датчиков GS801A, GS801B, GS802A, GS802B в ходе операции Конец Депозита (Deposit End).</t>
  </si>
  <si>
    <t xml:space="preserve">538HF03</t>
  </si>
  <si>
    <t xml:space="preserve">Ошибка загрузки данных шейдинга Контактного датчика изображения CIS в ходе операции Конец Депозита (Deposit End).</t>
  </si>
  <si>
    <t xml:space="preserve">538HF04</t>
  </si>
  <si>
    <t xml:space="preserve">Ошибка загрузки таблицы БД распознавания в ходе операции Конец Депозита (Deposit End).</t>
  </si>
  <si>
    <t xml:space="preserve">538HF05</t>
  </si>
  <si>
    <t xml:space="preserve">Ошибка контрольной суммы данных ПЛИС Модуля Валидатора банкнот BC в ходе операции Конец Депозита (Deposit End).</t>
  </si>
  <si>
    <t xml:space="preserve">538HF06</t>
  </si>
  <si>
    <t xml:space="preserve">Ошибка конфигурации ПЛИС Модуля Валидатора банкнот BC в ходе операции Конец Депозита (Deposit End).</t>
  </si>
  <si>
    <t xml:space="preserve">538HF07</t>
  </si>
  <si>
    <t xml:space="preserve">Ошибка загрузки данных заголовка ПЛИС Модуля Валидатора банкнот BC header в ходе операции Конец Депозита (Deposit End).</t>
  </si>
  <si>
    <t xml:space="preserve">538HF08</t>
  </si>
  <si>
    <t xml:space="preserve">Ошибка инициализации ПЛИС в ходе операции Конец Депозита (Deposit End).</t>
  </si>
  <si>
    <t xml:space="preserve">538HF09</t>
  </si>
  <si>
    <t xml:space="preserve">Ошибка чтения ПЛИС в ходе операции Конец Депозита (Deposit End).</t>
  </si>
  <si>
    <t xml:space="preserve">538HF11</t>
  </si>
  <si>
    <t xml:space="preserve">Ошибка загрузки Базы Данных распознавания #01 в ходе операции Конец Депозита (Deposit End).</t>
  </si>
  <si>
    <t xml:space="preserve">538HF12</t>
  </si>
  <si>
    <t xml:space="preserve">Ошибка загрузки Базы Данных распознавания #02 в ходе операции Конец Депозита (Deposit End).</t>
  </si>
  <si>
    <t xml:space="preserve">538HF13</t>
  </si>
  <si>
    <t xml:space="preserve">Ошибка загрузки Базы Данных распознавания #03 в ходе операции Конец Депозита (Deposit End).</t>
  </si>
  <si>
    <t xml:space="preserve">538HF14</t>
  </si>
  <si>
    <t xml:space="preserve">Ошибка загрузки Базы Данных распознавания #04 в ходе операции Конец Депозита (Deposit End).</t>
  </si>
  <si>
    <t xml:space="preserve">538HF15</t>
  </si>
  <si>
    <t xml:space="preserve">Ошибка загрузки Базы Данных распознавания #05 в ходе операции Конец Депозита (Deposit End).</t>
  </si>
  <si>
    <t xml:space="preserve">538HF16</t>
  </si>
  <si>
    <t xml:space="preserve">Ошибка загрузки Базы Данных распознавания #06 в ходе операции Конец Депозита (Deposit End).</t>
  </si>
  <si>
    <t xml:space="preserve">538HF17</t>
  </si>
  <si>
    <t xml:space="preserve">Ошибка загрузки Базы Данных распознавания #07 в ходе операции Конец Депозита (Deposit End).</t>
  </si>
  <si>
    <t xml:space="preserve">538HF18</t>
  </si>
  <si>
    <t xml:space="preserve">Ошибка загрузки Базы Данных распознавания #08 в ходе операции Конец Депозита (Deposit End).</t>
  </si>
  <si>
    <t xml:space="preserve">538HF19</t>
  </si>
  <si>
    <t xml:space="preserve">Ошибка загрузки Базы Данных распознавания #09 в ходе операции Конец Депозита (Deposit End).</t>
  </si>
  <si>
    <t xml:space="preserve">538HF20</t>
  </si>
  <si>
    <t xml:space="preserve">Ошибка загрузки Базы Данных распознавания #10 в ходе операции Конец Депозита (Deposit End).</t>
  </si>
  <si>
    <t xml:space="preserve">538HG01</t>
  </si>
  <si>
    <t xml:space="preserve">Ошибка установки режима при выполнении команды BCU mode в ходе операции Конец Депозита (Deposit End).</t>
  </si>
  <si>
    <t xml:space="preserve">538HG02</t>
  </si>
  <si>
    <t xml:space="preserve">Ошибка установленного уровня распознавания при выполнении команды BCU mode в ходе операции Конец Депозита (Deposit End).</t>
  </si>
  <si>
    <t xml:space="preserve">538HG03</t>
  </si>
  <si>
    <t xml:space="preserve">Ошибка установки начала транзакции при выполнении команды BCU ready в ходе операции Конец Депозита (Deposit End).</t>
  </si>
  <si>
    <t xml:space="preserve">538HG04</t>
  </si>
  <si>
    <t xml:space="preserve">Ошибка установки режима при выполнении команды BCU ready в ходе операции Конец Депозита (Deposit End).</t>
  </si>
  <si>
    <t xml:space="preserve">538HG05</t>
  </si>
  <si>
    <t xml:space="preserve">Ошибка установленного уровня распознавания при выполнении команды BCU ready в ходе операции Конец Депозита (Deposit End).</t>
  </si>
  <si>
    <t xml:space="preserve">538HG06</t>
  </si>
  <si>
    <t xml:space="preserve">Ошибка направления внесения Модуля Валидатора банкнот BC при выполнении команды BCU ready в ходе операции Конец Депозита (Deposit End).</t>
  </si>
  <si>
    <t xml:space="preserve">538HG07</t>
  </si>
  <si>
    <t xml:space="preserve">Ошибка получения неопределенной команды Модуля Валидатора банкнот BCU в ходе операции Конец Депозита (Deposit End).</t>
  </si>
  <si>
    <t xml:space="preserve">538HG08</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</si>
  <si>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Конец Депозита (Deposit End).</t>
  </si>
  <si>
    <t xml:space="preserve">538HG09</t>
  </si>
  <si>
    <t xml:space="preserve">Ошибка настройки кода страны при выполнении команды записи данных в Модуль Валидатора банкнот BCUв ходе операции Конец Депозита (Deposit End).</t>
  </si>
  <si>
    <t xml:space="preserve">538HG10</t>
  </si>
  <si>
    <t xml:space="preserve">Ошибка отсутствия БД распознавания для страны в процессе получения команды BCU data write в ходе операции Конец Депозита (Deposit End).</t>
  </si>
  <si>
    <t xml:space="preserve">538HG11</t>
  </si>
  <si>
    <t xml:space="preserve">Не установлен код страны при получении команды BCU ready в ходе операции Конец Депозита (Deposit End).</t>
  </si>
  <si>
    <t xml:space="preserve">538HG12</t>
  </si>
  <si>
    <t xml:space="preserve">Спецификация Модуля Валидатора банкнот BC отличается от параметра команды записи данных в ходе операции Конец Депозита (Deposit End).</t>
  </si>
  <si>
    <t xml:space="preserve">538HG20</t>
  </si>
  <si>
    <t xml:space="preserve">Ошибка инициализации Контактного датчика изображения CIS при получении команды BCU ready в ходе операции Конец Депозита (Deposit End).</t>
  </si>
  <si>
    <t xml:space="preserve">538HG21</t>
  </si>
  <si>
    <t xml:space="preserve">Ошибка включения при получении команды BCU ready в ходе операции Конец Депозита (Deposit End).</t>
  </si>
  <si>
    <t xml:space="preserve">538HG22</t>
  </si>
  <si>
    <t xml:space="preserve">Ошибка инициализации датчика DD при получении команды BCU ready в ходе операции Конец Депозита (Deposit End).</t>
  </si>
  <si>
    <t xml:space="preserve">538HG23</t>
  </si>
  <si>
    <t xml:space="preserve">Ошибка настройки ЦАП Датчика определения сдвоенных банкнот DD при получении команды BCU ready в ходе операции Конец Депозита (Deposit End).</t>
  </si>
  <si>
    <t xml:space="preserve">538HG24</t>
  </si>
  <si>
    <t xml:space="preserve">Ошибка режима настройки энкодера при получении команды BCU ready в ходе операции Конец Депозита (Deposit End).</t>
  </si>
  <si>
    <t xml:space="preserve">538HG36</t>
  </si>
  <si>
    <t xml:space="preserve">Ошибка режима распознавания при выполнении команды receiving BCU mode в ходе операции Конец Депозита (Deposit End).</t>
  </si>
  <si>
    <t xml:space="preserve">538HG37</t>
  </si>
  <si>
    <t xml:space="preserve">Ошибка настроек транзакции при выполнении команды receiving BCU mode в ходе операции Конец Депозита (Deposit End).</t>
  </si>
  <si>
    <t xml:space="preserve">538HI01</t>
  </si>
  <si>
    <t xml:space="preserve">Ошибка тайм-аута RecogTask Message в ходе операции Конец Депозита (Deposit End).</t>
  </si>
  <si>
    <t xml:space="preserve">538HI02</t>
  </si>
  <si>
    <t xml:space="preserve">Ошибка тайм-аута ScanTask Message в ходе операции Конец Депозита (Deposit End).</t>
  </si>
  <si>
    <t xml:space="preserve">538HI03</t>
  </si>
  <si>
    <t xml:space="preserve">Ошибка тайм-аута UartTask Message в ходе операции Конец Депозита (Deposit End).</t>
  </si>
  <si>
    <t xml:space="preserve">538HI04</t>
  </si>
  <si>
    <t xml:space="preserve">Ошибка тайм-аута BcUsbTask Message в ходе операции Конец Депозита (Deposit End).</t>
  </si>
  <si>
    <t xml:space="preserve">538HJ01</t>
  </si>
  <si>
    <t xml:space="preserve">Ошибка инициализации алгоритма распознавания в ходе операции Конец Депозита (Deposit End).</t>
  </si>
  <si>
    <t xml:space="preserve">538HJ02</t>
  </si>
  <si>
    <t xml:space="preserve">Ошибка готовности Алгоритма Распознавания в ходе операции Конец Депозита (Deposit End).</t>
  </si>
  <si>
    <t xml:space="preserve">538HJ03</t>
  </si>
  <si>
    <t xml:space="preserve">Ошибка алгоритма распознавания набора валют в ходе операции Конец Депозита (Deposit End).</t>
  </si>
  <si>
    <t xml:space="preserve">538HS01</t>
  </si>
  <si>
    <t xml:space="preserve">Ошибка ПЛИС Write Scan Driver Init в ходе операции Конец Депозита (Deposit End).</t>
  </si>
  <si>
    <t xml:space="preserve">538HS02</t>
  </si>
  <si>
    <t xml:space="preserve">Ошибка Sensor (MR/UV/DD/Gate) Power Off Scan Driver Init в ходе операции Конец Депозита (Deposit End).</t>
  </si>
  <si>
    <t xml:space="preserve">538HS03</t>
  </si>
  <si>
    <t xml:space="preserve">Ошибка Контактного датчика изображения CIS Led On Value Set Fail Scan Driver Init в ходе операции Конец Депозита (Deposit End).</t>
  </si>
  <si>
    <t xml:space="preserve">538HS04</t>
  </si>
  <si>
    <t xml:space="preserve">Ошибка Источника Света Set Fail Scan Driver Init в ходе операции Конец Депозита (Deposit End).</t>
  </si>
  <si>
    <t xml:space="preserve">538HS05</t>
  </si>
  <si>
    <t xml:space="preserve">Ошибка Контактного датчика изображения CIS Shading Scan Driver Init в ходе операции Конец Депозита (Deposit End).</t>
  </si>
  <si>
    <t xml:space="preserve">538HS08</t>
  </si>
  <si>
    <t xml:space="preserve">Ошибка ЦАП Set Fail Scan Driver Init в ходе операции Конец Депозита (Deposit End).</t>
  </si>
  <si>
    <t xml:space="preserve">538HS11</t>
  </si>
  <si>
    <t xml:space="preserve">Ошибка ПЛИС Write BCU Ready в ходе операции Конец Депозита (Deposit End).</t>
  </si>
  <si>
    <t xml:space="preserve">538HS12</t>
  </si>
  <si>
    <t xml:space="preserve">Ошибка Sensor (MR/UV/DD/Gate) Power Off BCU Ready в ходе операции Конец Депозита (Deposit End).</t>
  </si>
  <si>
    <t xml:space="preserve">538HS13</t>
  </si>
  <si>
    <t xml:space="preserve">Ошибка Контактного датчика изображения CIS Led On Value Set Fail BCU Ready в ходе операции Конец Депозита (Deposit End).</t>
  </si>
  <si>
    <t xml:space="preserve">538HS14</t>
  </si>
  <si>
    <t xml:space="preserve">Ошибка Источника Света Set Fail BCU Ready в ходе операции Конец Депозита (Deposit End).</t>
  </si>
  <si>
    <t xml:space="preserve">538HS15</t>
  </si>
  <si>
    <t xml:space="preserve">Ошибка Контактного датчика изображения CIS Shading BCU Ready в ходе операции Конец Депозита (Deposit End).</t>
  </si>
  <si>
    <t xml:space="preserve">538HS17</t>
  </si>
  <si>
    <t xml:space="preserve">Ошибка AFE Chip Set BCU Ready в ходе операции Конец Депозита (Deposit End).</t>
  </si>
  <si>
    <t xml:space="preserve">538HS18</t>
  </si>
  <si>
    <t xml:space="preserve">Ошибка ЦАП Set Fail BCU Ready в ходе операции Конец Депозита (Deposit End).</t>
  </si>
  <si>
    <t xml:space="preserve">538HS19</t>
  </si>
  <si>
    <t xml:space="preserve">Ошибка MR/UV/DD Sampling BCU Ready в ходе операции Конец Депозита (Deposit End).</t>
  </si>
  <si>
    <t xml:space="preserve">538HS1A</t>
  </si>
  <si>
    <t xml:space="preserve">Ошибка ЦАП Датчика Холла Set Fail BCU Ready в ходе операции Конец Депозита (Deposit End).</t>
  </si>
  <si>
    <t xml:space="preserve">538HS1B</t>
  </si>
  <si>
    <t xml:space="preserve">Ошибка Датчика Холла Shading Fail BCU Ready в ходе операции Конец Депозита (Deposit End).</t>
  </si>
  <si>
    <t xml:space="preserve">538HS22</t>
  </si>
  <si>
    <t xml:space="preserve">Ошибка Модуля Валидатора BC Stop Sensor (MR/UV/DD/Gate) Power Off Scan Driver Init в ходе операции Конец Депозита (Deposit End).</t>
  </si>
  <si>
    <t xml:space="preserve">538HS28</t>
  </si>
  <si>
    <t xml:space="preserve">Ошибка Модуля Валидатора BC Stop DAC Set Fail Scan Driver Init в ходе операции Конец Депозита (Deposit End).</t>
  </si>
  <si>
    <t xml:space="preserve">538HS29</t>
  </si>
  <si>
    <t xml:space="preserve">Ошибка Модуля Валидатора BC Stop MR/UV/DD Sampling BCU Ready в ходе операции Конец Депозита (Deposit End).</t>
  </si>
  <si>
    <t xml:space="preserve">538R100</t>
  </si>
  <si>
    <t xml:space="preserve">Модуль Валидатора BC вернул ошибку таймаута сообщения в ходе готовности к операции Конец Депозита (Deposit End).</t>
  </si>
  <si>
    <t xml:space="preserve">538R200</t>
  </si>
  <si>
    <t xml:space="preserve">Модуль Валидатора BC вернул ошибку таймаута сообщения при проведении транзакции в ходе операции Конец Депозита (Deposit End).</t>
  </si>
  <si>
    <t xml:space="preserve">538R300</t>
  </si>
  <si>
    <t xml:space="preserve">Модуль Валидатора BC вернул ошибку таймаута сообщения в ходе постпроцессинга ошибки операции  Конец Депозита (Deposit End Error).</t>
  </si>
  <si>
    <t xml:space="preserve">538R900</t>
  </si>
  <si>
    <t xml:space="preserve">Модуль Валидатора BC вернул ошибку таймаута сообщения в ходе операции Конец Депозита (Deposit End).</t>
  </si>
  <si>
    <t xml:space="preserve">538S100</t>
  </si>
  <si>
    <t xml:space="preserve">Получена неправильная Информация о памяти MI от Модуля Валидатора банкнот BC в ходе операции Конец Депозита (Deposit End).</t>
  </si>
  <si>
    <t xml:space="preserve">538S200</t>
  </si>
  <si>
    <t xml:space="preserve">Получен ненормальный BCC от Модуля Валидатора банкнот в ходе операции Конец Депозита (Deposit End).</t>
  </si>
  <si>
    <t xml:space="preserve">538S400</t>
  </si>
  <si>
    <t xml:space="preserve">Получена ошибка ETC. от Модуля Валидатора банкнот BC в ходе операции Конец Депозита (Deposit End).</t>
  </si>
  <si>
    <t xml:space="preserve">538S900</t>
  </si>
  <si>
    <t xml:space="preserve">Повторная попытка завершилась ошибкой Модуля Валидатора банкнот BC в ходе операции Конец Депозита (Deposit End).</t>
  </si>
  <si>
    <t xml:space="preserve">Датчик Кассеты Отбраковки RJC GSA03 сообщил об ошибке замятия по Темному типу в ходе операции Конец Депозита (Deposit End).</t>
  </si>
  <si>
    <t xml:space="preserve">1. Откройте нижнюю часть Модуля Рециркуляции Банкнот 2. Откройте Средний Транспортный Тракт 3. Откройте Кассету Отбраковки (21) 4. Удалите банкноты и посторонние предметы из Кассеты Отбраковки (21) 5. В случае отсутствия банкнот или посторонних предметов проверьте не загрязнен ли датчик</t>
  </si>
  <si>
    <t xml:space="preserve">Датчик Кассеты Отбраковки RJC GSA05 сообщил об ошибке замятия по Темному типу druing Конец Депозита (Deposit End).</t>
  </si>
  <si>
    <t xml:space="preserve">539J100</t>
  </si>
  <si>
    <t xml:space="preserve">Переполненная Кассета Отбраковки RJC в ходе операции Конец Депозита (Deposit End).</t>
  </si>
  <si>
    <t xml:space="preserve">539P100</t>
  </si>
  <si>
    <t xml:space="preserve">Ошибка мотора Кассеты Отбраковки RJC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</si>
  <si>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отбраковки (21) 4. Проверьте работоспособность прижимной пластины после открытия дверцы и нажатия рычажка 5. Проверьте датчик.</t>
  </si>
  <si>
    <t xml:space="preserve">539R100</t>
  </si>
  <si>
    <t xml:space="preserve">Ошибка тайм-аута сообщения Кассеты Отбраковки RJC в ходе готовности к операции Конец Депозита (Deposit End).</t>
  </si>
  <si>
    <t xml:space="preserve">539R200</t>
  </si>
  <si>
    <t xml:space="preserve">Ошибка тайм-аута сообщения Кассеты Отбраковки RJC при проведении транзакции в ходе операции Конец Депозита (Deposit End).</t>
  </si>
  <si>
    <t xml:space="preserve">539R300</t>
  </si>
  <si>
    <t xml:space="preserve">Ошибка тайм-аута сообщения Кассеты Отбраковки RJC в ходе постпроцессинга ошибки операции  Конец Депозита (Deposit End Error).</t>
  </si>
  <si>
    <t xml:space="preserve">53A2100</t>
  </si>
  <si>
    <t xml:space="preserve">Оставшиеся банкноты в Возвращающем Транспортном Тракте (GS801) перед выполнением операции Конец Депозита (Deposit End).</t>
  </si>
  <si>
    <t xml:space="preserve">53A2200</t>
  </si>
  <si>
    <t xml:space="preserve">Оставшиеся банкноты в Возвращающем Транспортном Тракте (GS002) перед выполнением операции Конец Депозита (Deposit End).</t>
  </si>
  <si>
    <t xml:space="preserve">53A2300</t>
  </si>
  <si>
    <t xml:space="preserve">Оставшиеся банкноты в Возвращающем Транспортном Тракте (GS003) перед выполнением операции Конец Депозита (Deposit End).</t>
  </si>
  <si>
    <t xml:space="preserve">53A2400</t>
  </si>
  <si>
    <t xml:space="preserve">Оставшиеся банкноты в Возвращающем Транспортном Тракте (GS004) перед выполнением операции Конец Депозита (Deposit End).</t>
  </si>
  <si>
    <t xml:space="preserve">53A2500</t>
  </si>
  <si>
    <t xml:space="preserve">Оставшиеся банкноты в Возвращающем Транспортном Тракте (GS005) перед выполнением операции Конец Депозита (Deposit End).</t>
  </si>
  <si>
    <t xml:space="preserve">53A2600</t>
  </si>
  <si>
    <t xml:space="preserve">Оставшиеся банкноты в Возвращающем Транспортном Тракте (GS006) перед выполнением операции Конец Депозита (Deposit End).</t>
  </si>
  <si>
    <t xml:space="preserve">1. Откройте верхнюю часть Модуля Рециркуляции Банкнот 2. Откройте модуль Временного хранения_TE (Временный Эскроу) (12)  3. Откройте Вспомогательную (невостребованных/фальшивых банкнот) кассету (9) 4. Удалите банкноты и посторонние предметы из Заднего Транспортного Тракта (8) 5. В случае отсутствия банкнот или посторонних предметов проверьте не загрязнен ли датчик</t>
  </si>
  <si>
    <t xml:space="preserve">53A2A00</t>
  </si>
  <si>
    <t xml:space="preserve">Оставшиеся банкноты в Возвращающем Транспортном Тракте (GS021) перед выполнением операции Конец Депозита (Deposit End).</t>
  </si>
  <si>
    <t xml:space="preserve">53A2B00</t>
  </si>
  <si>
    <t xml:space="preserve">Оставшиеся банкноты в Возвращающем Транспортном Тракте (GS022) перед выполнением операции Конец Депозита (Deposit End).</t>
  </si>
  <si>
    <t xml:space="preserve">53A2C00</t>
  </si>
  <si>
    <t xml:space="preserve">Произошла ошибка оставшихся банкнот в Модуле Валидатора банкнот BCU (Контактный датчик изображения CIS) в ходе операции Конец Депозита (Deposit End).</t>
  </si>
  <si>
    <t xml:space="preserve">53A2G00</t>
  </si>
  <si>
    <t xml:space="preserve">Оставшиеся банкноты в Возвращающем Транспортном Тракте (GS614) перед выполнением операции Конец Депозита (Deposit End).</t>
  </si>
  <si>
    <t xml:space="preserve">53A2H00</t>
  </si>
  <si>
    <t xml:space="preserve">Оставшиеся банкноты в Возвращающем Транспортном Тракте (GS618) перед выполнением операции Конец Депозита (Deposit End).</t>
  </si>
  <si>
    <t xml:space="preserve">53A2J00</t>
  </si>
  <si>
    <t xml:space="preserve">Оставшиеся банкноты в Возвращающем Транспортном Тракте (GS619) перед выполнением операции Конец Депозита (Deposit End).</t>
  </si>
  <si>
    <t xml:space="preserve">53A2K00</t>
  </si>
  <si>
    <t xml:space="preserve">Оставшиеся банкноты в Транспортном Тракте (GS703) перед выполнением операции Конец Депозита (Deposit End).</t>
  </si>
  <si>
    <t xml:space="preserve">53A2M00</t>
  </si>
  <si>
    <t xml:space="preserve">Оставшиеся банкноты в Транспортном Тракте (GS031) перед выполнением операции Конец Депозита (Deposit End).</t>
  </si>
  <si>
    <t xml:space="preserve">53A2N00</t>
  </si>
  <si>
    <t xml:space="preserve">Оставшиеся банкноты в Возвращающем Транспортном Тракте (GS032) перед выполнением операции Конец Депозита (Deposit End).</t>
  </si>
  <si>
    <t xml:space="preserve">53A2P00</t>
  </si>
  <si>
    <t xml:space="preserve">Оставшиеся банкноты в Возвращающем Транспортном Тракте (GS033) перед выполнением операции Конец Депозита (Deposit End).</t>
  </si>
  <si>
    <t xml:space="preserve">53A2Q00</t>
  </si>
  <si>
    <t xml:space="preserve">Оставшиеся банкноты в Возвращающем Транспортном Тракте (GS034) перед выполнением операции Конец Депозита (Deposit End).</t>
  </si>
  <si>
    <t xml:space="preserve">53A2W00</t>
  </si>
  <si>
    <t xml:space="preserve">Оставшиеся банкноты в Возвращающем Транспортном Тракте (GS802) перед выполнением операции Конец Депозита (Deposit End).</t>
  </si>
  <si>
    <t xml:space="preserve">53AA100</t>
  </si>
  <si>
    <t xml:space="preserve">Вынутое состояние Вспомогательной (невостребованных/фальшивых банкнот) Кассеты UTC перед выполнением операции Конец Депозита (Deposit End).</t>
  </si>
  <si>
    <t xml:space="preserve">53AA200</t>
  </si>
  <si>
    <t xml:space="preserve">Модуль временного хранения открыт перед выполнением операции Конец Депозита (Deposit End).</t>
  </si>
  <si>
    <t xml:space="preserve">53AA300</t>
  </si>
  <si>
    <t xml:space="preserve">Отстыкованное состояние концевого переключателя (inter lock) Верхней части Модуля Рециркуляции Банкнот BMU перед выполнением операции Конец Депозита (Deposit End).</t>
  </si>
  <si>
    <t xml:space="preserve">53AA400</t>
  </si>
  <si>
    <t xml:space="preserve">Выдвинутое состояние Верхней части Модуля Рециркуляции Банкнот BMU перед выполнением операции Конец Депозита (Deposit End).</t>
  </si>
  <si>
    <t xml:space="preserve">53AA600</t>
  </si>
  <si>
    <t xml:space="preserve">Открыт Модуль обслуживания клиентов CSM перед выполнением операции Конец Депозита (Deposit End).</t>
  </si>
  <si>
    <t xml:space="preserve">53AA700</t>
  </si>
  <si>
    <t xml:space="preserve">Вынутое состояние Кассеты Отбраковки RJC перед выполнением операции Конец Депозита (Deposit End).</t>
  </si>
  <si>
    <t xml:space="preserve">53AA800</t>
  </si>
  <si>
    <t xml:space="preserve">Отстыкованное состояние концевого переключателя (inter lock) Нижней части Модуля Рециркуляции Банкнот BMD перед выполнением операции Конец Депозита (Deposit End).</t>
  </si>
  <si>
    <t xml:space="preserve">53AA900</t>
  </si>
  <si>
    <t xml:space="preserve">Выдвинутое состояние Нижней части Модуля Рециркуляции Банкнот BMD перед выполнением операции Конец Депозита (Deposit End).</t>
  </si>
  <si>
    <t xml:space="preserve">53AAA00</t>
  </si>
  <si>
    <t xml:space="preserve">Модуль Валидатора банкнот BC открыт перед работой в ходе операции Конец Депозита (Deposit End).</t>
  </si>
  <si>
    <t xml:space="preserve">53AAB00</t>
  </si>
  <si>
    <t xml:space="preserve">Переполненная Кассета Рециркуляции RC перед выполнением операции Конец Депозита (Deposit End).</t>
  </si>
  <si>
    <t xml:space="preserve">53AAC00</t>
  </si>
  <si>
    <t xml:space="preserve">Переполненная Кассета Отбраковки RJC перед выполнением операции Конец Депозита (Deposit End).</t>
  </si>
  <si>
    <t xml:space="preserve">53AAD00</t>
  </si>
  <si>
    <t xml:space="preserve">Переполненная Вспомогательная кассета UTC1 перед выполнением операции Конец Депозита (Deposit End).</t>
  </si>
  <si>
    <t xml:space="preserve">53AAE00</t>
  </si>
  <si>
    <t xml:space="preserve">Переполненная Вспомогательная кассета UTC2 перед выполнением операции Конец Депозита (Deposit End).</t>
  </si>
  <si>
    <t xml:space="preserve">53AAF00</t>
  </si>
  <si>
    <t xml:space="preserve">Пустая Кассета Рециркуляции RC перед выполнением операции Конец Депозита (Deposit End).</t>
  </si>
  <si>
    <t xml:space="preserve">1. Откройте нижнюю часть Модуля Рециркуляции Банкнот 2. Откройте Средний Транспортный Тракт 3. Проверьте кол-во оставшихся банкнот в Кассете Рециркуляции (A~E) </t>
  </si>
  <si>
    <t xml:space="preserve">53AE100</t>
  </si>
  <si>
    <t xml:space="preserve">Получена операция без выполнения команды установки начальных данных (Initail Info Set) в ходе операции Конец Депозита (Deposit End).</t>
  </si>
  <si>
    <t xml:space="preserve">1. Перезагрузите ПО верхнего AP и Среднего SP уровней 2. Выполните операцию транзакции после установки параметров чтения системы в утилите TM Тестирование (Test) -&gt; Установка исходных данных (Initail Info Set) -&gt; Инициализация (Initialization)</t>
  </si>
  <si>
    <t xml:space="preserve">53AE200</t>
  </si>
  <si>
    <t xml:space="preserve">Состояние not operation при получении команды в ходе операции Конец Депозита (Deposit End).</t>
  </si>
  <si>
    <t xml:space="preserve">53AE300</t>
  </si>
  <si>
    <t xml:space="preserve">Получена команда выполнения без выполнения операции Чтение Системных Данных (Read System Info) в ходе операции Конец Депозита (Deposit End).</t>
  </si>
  <si>
    <t xml:space="preserve">53AE400</t>
  </si>
  <si>
    <t xml:space="preserve">Транзакция Конец Депозита (Deposit End) была выполнена без выполнения Инициализации после включения питания.</t>
  </si>
  <si>
    <t xml:space="preserve">53AE600</t>
  </si>
  <si>
    <t xml:space="preserve">Ошибка обработки операции Конец Депозита (Deposit End) в ходе операции Работа кнопки TE (TE Button Operating).</t>
  </si>
  <si>
    <t xml:space="preserve">53AEE00</t>
  </si>
  <si>
    <t xml:space="preserve">Нарушение последовательности сообщений интерфейса RS485 платы контроллера RBU в ходе операции Конец Депозита (Deposit End).</t>
  </si>
  <si>
    <t xml:space="preserve">53AEF00</t>
  </si>
  <si>
    <t xml:space="preserve">Нарушение линии связи интерфейса RS485 платы контроллера RBU в ходе операции Конец Депозита (Deposit End).</t>
  </si>
  <si>
    <t xml:space="preserve">53AH500</t>
  </si>
  <si>
    <t xml:space="preserve">Ошибка Чтения/Записи памяти NVRAM (128 деноминаций) в ходе операции Конец Депозита (Deposit End).</t>
  </si>
  <si>
    <t xml:space="preserve">53AN100</t>
  </si>
  <si>
    <t xml:space="preserve">Отличие счетчиков набранных банкнот в Кассете Рециркуляции RC1 и нормальным счетчиком на основании прохождения через Модуль Валидатора банкнот BC в ходе операции Конец Депозита (Deposit End).</t>
  </si>
  <si>
    <t xml:space="preserve">53AN200</t>
  </si>
  <si>
    <t xml:space="preserve">Отличие счетчиков набранных банкнот в Кассете Рециркуляции RC2 и нормальным счетчиком на основании прохождения через Модуль Валидатора банкнот BC в ходе операции Конец Депозита (Deposit End).</t>
  </si>
  <si>
    <t xml:space="preserve">53AN300</t>
  </si>
  <si>
    <t xml:space="preserve">Отличие счетчиков набранных банкнот в Кассете Рециркуляции RC3 и нормальным счетчиком на основании прохождения через Модуль Валидатора банкнот BC в ходе операции Конец Депозита (Deposit End).</t>
  </si>
  <si>
    <t xml:space="preserve">53AN400</t>
  </si>
  <si>
    <t xml:space="preserve">Отличие счетчиков набранных банкнот в Кассете Рециркуляции RC4 и нормальным счетчиком на основании прохождения через Модуль Валидатора банкнот BC в ходе операции Конец Депозита (Deposit End).</t>
  </si>
  <si>
    <t xml:space="preserve">53AN500</t>
  </si>
  <si>
    <t xml:space="preserve">Отличие счетчиков набранных банкнот в Кассете Рециркуляции RC5 и нормальным счетчиком на основании прохождения через Модуль Валидатора банкнот BC в ходе операции Конец Депозита (Deposit End).</t>
  </si>
  <si>
    <t xml:space="preserve">53AN600</t>
  </si>
  <si>
    <t xml:space="preserve">Несоответствие счетчика банкнот операции Пересчет Депозита (Deposit Count) и счетчика полученных банкнот операции Конец Депозита (Deposit End) без отбракованных банкнот в ходе операции Конец Депозита (Deposit End).</t>
  </si>
  <si>
    <t xml:space="preserve">53AN700</t>
  </si>
  <si>
    <t xml:space="preserve">Отличие счетчиков набранных банкнот в Модуле временного хранения_TE и нормальным счетчиком на основании прохождения через Модуль Валидатора банкнот BC в ходе операции Пересчет Депозита (Deposit Count).</t>
  </si>
  <si>
    <t xml:space="preserve">53AN800</t>
  </si>
  <si>
    <t xml:space="preserve">Несоответствие полученных банкнот операции Пересчет Депозита (Deposit Count) без отбракованных банкнот в ходе операции Конец Депозита (Deposit End).</t>
  </si>
  <si>
    <t xml:space="preserve">53AN900</t>
  </si>
  <si>
    <t xml:space="preserve">Счетчик набранных деноминаций в ходе операции Конец Депозита (Deposit End) больше чем счетчик набранных деноминаций в ходе операции Конец Депозита (Deposit End).</t>
  </si>
  <si>
    <t xml:space="preserve">53ANF00</t>
  </si>
  <si>
    <t xml:space="preserve">Счётчик набранных банкнот во Вспомогательной Кассете UTC2 в ходе операции Конец Депозита (Deposit End) отличается от счётчика фальшивых банкнот в ходе операции Конец Депозита (Deposit End).</t>
  </si>
  <si>
    <t xml:space="preserve">53ANG00</t>
  </si>
  <si>
    <t xml:space="preserve">Счётчик фальшивых банкнот отличается от счётчика набранных банкнот во Вспомогательной Кассете UTC2 в ходе операции Пересчет Депозита (Deposit Count) при операции Конец Депозита (Deposit End).</t>
  </si>
  <si>
    <t xml:space="preserve">53ANH00</t>
  </si>
  <si>
    <t xml:space="preserve">Счётчик набранных банкнот во Вспомогательной Кассете UTC2 отличается от счётчика фальшивых банкнот в ходе операции Retracting TE UTC .</t>
  </si>
  <si>
    <t xml:space="preserve">53ANP00</t>
  </si>
  <si>
    <t xml:space="preserve">Счетчик в ходе операции Конец Депозита (Deposit End) меньше чем в ходе операции Пересчет Депозита (Deposit Count) после выравнивания счетчика в ходе операции Конец Депозита (Deposit End).</t>
  </si>
  <si>
    <t xml:space="preserve">53ANR00</t>
  </si>
  <si>
    <t xml:space="preserve">Несоответствие счетчика набранных банкнот Кассеты Отбраковки RJC и счетчика разделенных банкнот в ходе операции тестирования автовосстановления в ходе операции Конец Депозита (Deposit End).</t>
  </si>
  <si>
    <t xml:space="preserve">53AR100</t>
  </si>
  <si>
    <t xml:space="preserve">Возвращена ошибка таймаута сообщения в ходе готовности к операции Конец Депозита (Deposit End).</t>
  </si>
  <si>
    <t xml:space="preserve">53AR200</t>
  </si>
  <si>
    <t xml:space="preserve">Возвращена ошибка таймаута сообщения при проведении транзакции в ходе операции Конец Депозита (Deposit End).</t>
  </si>
  <si>
    <t xml:space="preserve">53AR300</t>
  </si>
  <si>
    <t xml:space="preserve">Возвращена ошибка таймаута сообщения в ходе операции postprocessing error of Конец Депозита (Deposit End).</t>
  </si>
  <si>
    <t xml:space="preserve">53AR700</t>
  </si>
  <si>
    <t xml:space="preserve">Возвращена ошибка таймаута сообщения от контроллера RBU в ходе операции Конец Депозита (Deposit End).</t>
  </si>
  <si>
    <t xml:space="preserve">53AR900</t>
  </si>
  <si>
    <t xml:space="preserve">Ошибка таймаута сообщения готовности к укладке в процессе автовосстановления в ходе операции Конец Депозита (Deposit End).</t>
  </si>
  <si>
    <t xml:space="preserve">53ARA00</t>
  </si>
  <si>
    <t xml:space="preserve">Ошибка таймаута сообщения возврата банкнот BM в процессе автовосстановления в ходе операции Конец Депозита (Deposit End).</t>
  </si>
  <si>
    <t xml:space="preserve">53ARB00</t>
  </si>
  <si>
    <t xml:space="preserve">Возвращена ошибка таймаута сообщения при обработке банкнот оставшихся при авто-восстановлении в ходе операции Конец Депозита (Deposit End).</t>
  </si>
  <si>
    <t xml:space="preserve">53ARC00</t>
  </si>
  <si>
    <t xml:space="preserve">53ARJ00</t>
  </si>
  <si>
    <t xml:space="preserve">Возвращена ошибка таймаута сообщения в ходе операции Начало Остановки (Stop Ready) в ходе операции Конец Депозита (Deposit End).</t>
  </si>
  <si>
    <t xml:space="preserve">53ASE00</t>
  </si>
  <si>
    <t xml:space="preserve">Кассета Отбраковки RJC не установлена на прием отбракованных банкнот, при настройках RJC (NOT EXIST или SET NOT TO BE USED) в ходе операции Конец Депозита (Deposit End).</t>
  </si>
  <si>
    <t xml:space="preserve">1. Проверьте настройки Кассеты Отбраковки. 2. Выполните инициализацию Модуля Рециркуляции Банкнот BRM (Восстановление)</t>
  </si>
  <si>
    <t xml:space="preserve">53ASJ00</t>
  </si>
  <si>
    <t xml:space="preserve">Депозитная Кассета установлена в режим Отбраковки Принимаемых банкнот (Reject Receipt) в случае отсутствия депозитной кассеты в ходе операции Конец Депозита (Deposit End).</t>
  </si>
  <si>
    <t xml:space="preserve">1. Проверьте состояние (ошиюки или переполнение) мульти-номинальной Депозитной Кассеты 2. Выполните инициализацию Модуля Рециркуляции Банкнот BRM (Восстановление)</t>
  </si>
  <si>
    <t xml:space="preserve">53BH100</t>
  </si>
  <si>
    <t xml:space="preserve">Ошибка чтения памяти EEPROM Кассеты Рециркуляции RC1 в ходе операции Конец Депозита (Deposit End).</t>
  </si>
  <si>
    <t xml:space="preserve">1. Проверьте разъем Кассеты Рециркуляции 2. Выньте и повторно вставьте Кассету Рециркуляции 3. Замените Кассету Рециркуляции в случае повторения ошибки в процессе выполнения инициализации</t>
  </si>
  <si>
    <t xml:space="preserve">53BH200</t>
  </si>
  <si>
    <t xml:space="preserve">Ошибка чтения памяти EEPROM Кассеты Рециркуляции RC2 в ходе операции Конец Депозита (Deposit End).</t>
  </si>
  <si>
    <t xml:space="preserve">53BH300</t>
  </si>
  <si>
    <t xml:space="preserve">Ошибка чтения памяти EEPROM Кассеты Рециркуляции RC3 в ходе операции Конец Депозита (Deposit End).</t>
  </si>
  <si>
    <t xml:space="preserve">53BH400</t>
  </si>
  <si>
    <t xml:space="preserve">Ошибка чтения памяти EEPROM Кассеты Рециркуляции RC4 в ходе операции Конец Депозита (Deposit End).</t>
  </si>
  <si>
    <t xml:space="preserve">53BH500</t>
  </si>
  <si>
    <t xml:space="preserve">Ошибка чтения памяти EEPROM Кассеты Рециркуляции RC5 в ходе операции Конец Депозита (Deposit End).</t>
  </si>
  <si>
    <t xml:space="preserve">53BH600</t>
  </si>
  <si>
    <t xml:space="preserve">Ошибка записи памяти EEPROM Кассеты Рециркуляции RC1 в ходе операции Конец Депозита (Deposit End).</t>
  </si>
  <si>
    <t xml:space="preserve">53BH700</t>
  </si>
  <si>
    <t xml:space="preserve">Ошибка записи памяти EEPROM Кассеты Рециркуляции RC2 в ходе операции Конец Депозита (Deposit End).</t>
  </si>
  <si>
    <t xml:space="preserve">53BH800</t>
  </si>
  <si>
    <t xml:space="preserve">Ошибка записи памяти EEPROM Кассеты Рециркуляции RC3 в ходе операции Конец Депозита (Deposit End).</t>
  </si>
  <si>
    <t xml:space="preserve">53BH900</t>
  </si>
  <si>
    <t xml:space="preserve">Ошибка записи памяти EEPROM Кассеты Рециркуляции RC4 в ходе операции Конец Депозита (Deposit End).</t>
  </si>
  <si>
    <t xml:space="preserve">53BHA00</t>
  </si>
  <si>
    <t xml:space="preserve">Ошибка записи памяти EEPROM Кассеты Рециркуляции RC5 в ходе операции Конец Депозита (Deposit End).</t>
  </si>
  <si>
    <t xml:space="preserve">53BHB00</t>
  </si>
  <si>
    <t xml:space="preserve">Ошибка проверки данных памяти EEPROM Кассеты Рециркуляции RC1 в ходе операции Конец Депозита (Deposit End).</t>
  </si>
  <si>
    <t xml:space="preserve">1. Выньте и повторно вставьте Кассету Рециркуляции 2. Замените Кассету Рециркуляции в случае повторения ошибки в процессе выполнения инициализации</t>
  </si>
  <si>
    <t xml:space="preserve">53BHC00</t>
  </si>
  <si>
    <t xml:space="preserve">Ошибка проверки данных памяти EEPROM Кассеты Рециркуляции RC2 в ходе операции Конец Депозита (Deposit End).</t>
  </si>
  <si>
    <t xml:space="preserve">53BHD00</t>
  </si>
  <si>
    <t xml:space="preserve">Ошибка проверки данных памяти EEPROM Кассеты Рециркуляции RC3 в ходе операции Конец Депозита (Deposit End).</t>
  </si>
  <si>
    <t xml:space="preserve">53BHE00</t>
  </si>
  <si>
    <t xml:space="preserve">Ошибка проверки данных памяти EEPROM Кассеты Рециркуляции RC4 в ходе операции Конец Депозита (Deposit End).</t>
  </si>
  <si>
    <t xml:space="preserve">53BHF00</t>
  </si>
  <si>
    <t xml:space="preserve">Ошибка проверки данных памяти EEPROM Кассеты Рециркуляции RC5 в ходе операции Конец Депозита (Deposit End).</t>
  </si>
  <si>
    <t xml:space="preserve">53BHG00</t>
  </si>
  <si>
    <t xml:space="preserve">Не обнаружен концевой переключатель (интерлок) при Чтении/Записи памяти EEPROM Кассеты Рециркуляции RC в ходе операции Конец Депозита (Deposit End).</t>
  </si>
  <si>
    <t xml:space="preserve">1. Проверьте состояние концевого переключателя (интерлок) Нижней части Модуля Рециркуляции Банкнот 2. Замените или очистите датчик концевого переключателя (интерлока) в случае повторения ошибки</t>
  </si>
  <si>
    <t xml:space="preserve">53BR000</t>
  </si>
  <si>
    <t xml:space="preserve">Превышено время ожидание ответа платы контроллера RBU в ходе операции Конец Депозита (Deposit End).</t>
  </si>
  <si>
    <t xml:space="preserve">53BR700</t>
  </si>
  <si>
    <t xml:space="preserve">Контроллер RBU вернул ошибку таймаута сообщения в ходе операции Конец Депозита (Deposit End).</t>
  </si>
  <si>
    <t xml:space="preserve">53BS000</t>
  </si>
  <si>
    <t xml:space="preserve">Ошибка таймаута связи контроллера RBU в ходе операции Конец Депозита (Deposit End).</t>
  </si>
  <si>
    <t xml:space="preserve">53BS100</t>
  </si>
  <si>
    <t xml:space="preserve">Ошибка последовательности сообщений платы контроллера RBU в ходе операции Конец Депозита (Deposit End).</t>
  </si>
  <si>
    <t xml:space="preserve">53BS200</t>
  </si>
  <si>
    <t xml:space="preserve">Ошибка Информации о памяти MI в ходе соединения контроллера RBU в ходе операции Конец Депозита (Deposit End).</t>
  </si>
  <si>
    <t xml:space="preserve">53US100</t>
  </si>
  <si>
    <t xml:space="preserve">Ошибка дублирования номера последовательности USB в ходе операции Конец Депозита (Deposit End).</t>
  </si>
  <si>
    <t xml:space="preserve">53US300</t>
  </si>
  <si>
    <t xml:space="preserve">Ошибка длины данных команды USB  в ходе операции Конец Депозита (Deposit End).</t>
  </si>
  <si>
    <t xml:space="preserve">1. Проверьте USB-подключение 2. Выполните инициализацию Модуля Рециркуляции Банкнот BRM (Восстановление)</t>
  </si>
  <si>
    <t xml:space="preserve">GS801 сообщил об ошибке замятия по Светлому типу в ходе операции Отмена Депозита (Deposit Cancel).</t>
  </si>
  <si>
    <t xml:space="preserve">GS002 сообщил об ошибке замятия по Светлому типу в ходе операции Отмена Депозита (Deposit Cancel).</t>
  </si>
  <si>
    <t xml:space="preserve">GS003 сообщил об ошибке замятия по Светлому типу в ходе операции Отмена Депозита (Deposit Cancel).</t>
  </si>
  <si>
    <t xml:space="preserve">GS004 сообщил об ошибке замятия по Светлому типу в ходе операции Отмена Депозита (Deposit Cancel).</t>
  </si>
  <si>
    <t xml:space="preserve">GS005 сообщил об ошибке замятия по Светлому типу в ходе операции Отмена Депозита (Deposit Cancel).</t>
  </si>
  <si>
    <t xml:space="preserve">GS006 сообщил об ошибке замятия по Светлому типу в ходе операции Отмена Депозита (Deposit Cancel).</t>
  </si>
  <si>
    <t xml:space="preserve">5400A00</t>
  </si>
  <si>
    <t xml:space="preserve">GS021 сообщил об ошибке замятия по Светлому типу в ходе операции Отмена Депозита (Deposit Cancel).</t>
  </si>
  <si>
    <t xml:space="preserve">5400B00</t>
  </si>
  <si>
    <t xml:space="preserve">GS022 сообщил об ошибке замятия по Светлому типу в ходе операции Отмена Депозита (Deposit Cancel).</t>
  </si>
  <si>
    <t xml:space="preserve">5400G00</t>
  </si>
  <si>
    <t xml:space="preserve">GS614 сообщил об ошибке замятия по Светлому типу в ходе операции Отмена Депозита (Deposit Cancel).</t>
  </si>
  <si>
    <t xml:space="preserve">1. Откройте верхнюю часть Модуля Рециркуляции Банкнот 2. Откройте Модуль обслуживания клиентов (CSM) 3. Удалите замятие между Модулем обслуживания клиентов CSM (3) и Задним Транспортным Трактом (11).</t>
  </si>
  <si>
    <t xml:space="preserve">5400H00</t>
  </si>
  <si>
    <t xml:space="preserve">GS618 сообщил об ошибке замятия по Светлому типу в ходе операции Отмена Депозита (Deposit Cancel).</t>
  </si>
  <si>
    <t xml:space="preserve">1. Откройте верхнюю часть Модуля Рециркуляции Банкнот 2. Откройте Модуль обслуживания клиентов (CSM) 3. Удалите замятие в Заднем Транспортном Тракте (11).</t>
  </si>
  <si>
    <t xml:space="preserve">5400J00</t>
  </si>
  <si>
    <t xml:space="preserve">GS619 сообщил об ошибке замятия по Светлому типу в ходе операции Отмена Депозита (Deposit Cancel).</t>
  </si>
  <si>
    <t xml:space="preserve">5400M00</t>
  </si>
  <si>
    <t xml:space="preserve">GS031 сообщил об ошибке замятия по Светлому типу в ходе операции Отмена Депозита (Deposit Cancel).</t>
  </si>
  <si>
    <t xml:space="preserve">5400N00</t>
  </si>
  <si>
    <t xml:space="preserve">GS032 сообщил об ошибке замятия по Светлому типу в ходе операции Отмена Депозита (Deposit Cancel).</t>
  </si>
  <si>
    <t xml:space="preserve">5400P00</t>
  </si>
  <si>
    <t xml:space="preserve">GS033 сообщил об ошибке замятия по Светлому типу в ходе операции Отмена Депозита (Deposit Cancel).</t>
  </si>
  <si>
    <t xml:space="preserve">5400Q00</t>
  </si>
  <si>
    <t xml:space="preserve">GS034 сообщил об ошибке замятия по Светлому типу в ходе операции Отмена Депозита (Deposit Cancel).</t>
  </si>
  <si>
    <t xml:space="preserve">5400W00</t>
  </si>
  <si>
    <t xml:space="preserve">GS802 сообщил об ошибке замятия по Светлому типу в ходе операции Отмена Депозита (Deposit Cancel).</t>
  </si>
  <si>
    <t xml:space="preserve">GS801 сообщил об ошибке замятия по Темному типу в ходе операции Отмена Депозита (Deposit Cancel).</t>
  </si>
  <si>
    <t xml:space="preserve">GS002 сообщил об ошибке замятия по Темному типу в ходе операции Отмена Депозита (Deposit Cancel).</t>
  </si>
  <si>
    <t xml:space="preserve">GS003 сообщил об ошибке замятия по Темному типу в ходе операции Отмена Депозита (Deposit Cancel).</t>
  </si>
  <si>
    <t xml:space="preserve">GS004 сообщил об ошибке замятия по Темному типу в ходе операции Отмена Депозита (Deposit Cancel).</t>
  </si>
  <si>
    <t xml:space="preserve">GS005 сообщил об ошибке замятия по Темному типу в ходе операции Отмена Депозита (Deposit Cancel).</t>
  </si>
  <si>
    <t xml:space="preserve">GS006 сообщил об ошибке замятия по Темному типу в ходе операции Отмена Депозита (Deposit Cancel).</t>
  </si>
  <si>
    <t xml:space="preserve">5401A00</t>
  </si>
  <si>
    <t xml:space="preserve">GS021 сообщил об ошибке замятия по Темному типу в ходе операции Отмена Депозита (Deposit Cancel).</t>
  </si>
  <si>
    <t xml:space="preserve">5401B00</t>
  </si>
  <si>
    <t xml:space="preserve">GS022 сообщил об ошибке замятия по Темному типу в ходе операции Отмена Депозита (Deposit Cancel).</t>
  </si>
  <si>
    <t xml:space="preserve">5401G00</t>
  </si>
  <si>
    <t xml:space="preserve">GS614 сообщил об ошибке замятия по Темному типу в ходе операции Отмена Депозита (Deposit Cancel).</t>
  </si>
  <si>
    <t xml:space="preserve">5401H00</t>
  </si>
  <si>
    <t xml:space="preserve">GS618 сообщил об ошибке замятия по Темному типу в ходе операции Отмена Депозита (Deposit Cancel).</t>
  </si>
  <si>
    <t xml:space="preserve">5401J00</t>
  </si>
  <si>
    <t xml:space="preserve">GS619 сообщил об ошибке замятия по Темному типу в ходе операции Отмена Депозита (Deposit Cancel).</t>
  </si>
  <si>
    <t xml:space="preserve">5401K00</t>
  </si>
  <si>
    <t xml:space="preserve">GS703 сообщил об ошибке замятия по Темному типу в ходе операции Отмена Депозита (Deposit Cancel).</t>
  </si>
  <si>
    <t xml:space="preserve">5401M00</t>
  </si>
  <si>
    <t xml:space="preserve">GS031 сообщил об ошибке замятия по Темному типу в ходе операции Отмена Депозита (Deposit Cancel).</t>
  </si>
  <si>
    <t xml:space="preserve">5401N00</t>
  </si>
  <si>
    <t xml:space="preserve">GS032 сообщил об ошибке замятия по Темному типу в ходе операции Отмена Депозита (Deposit Cancel).</t>
  </si>
  <si>
    <t xml:space="preserve">5401P00</t>
  </si>
  <si>
    <t xml:space="preserve">GS033 сообщил об ошибке замятия по Темному типу в ходе операции Отмена Депозита (Deposit Cancel).</t>
  </si>
  <si>
    <t xml:space="preserve">5401Q00</t>
  </si>
  <si>
    <t xml:space="preserve">GS034 сообщил об ошибке замятия по Темному типу в ходе операции Отмена Депозита (Deposit Cancel).</t>
  </si>
  <si>
    <t xml:space="preserve">5401W00</t>
  </si>
  <si>
    <t xml:space="preserve">GS802 сообщил об ошибке замятия по Темному типу в ходе операции Отмена Депозита (Deposit Cancel).</t>
  </si>
  <si>
    <t xml:space="preserve">Произошла ошибка оставшихся банкнот в области датчика GS801 в ходе операции Отмена Депозита (Deposit Cancel).</t>
  </si>
  <si>
    <t xml:space="preserve">Произошла ошибка оставшихся банкнот в области датчика GS002 в ходе операции Отмена Депозита (Deposit Cancel).</t>
  </si>
  <si>
    <t xml:space="preserve">Произошла ошибка оставшихся банкнот в области датчика GS003 в ходе операции Отмена Депозита (Deposit Cancel).</t>
  </si>
  <si>
    <t xml:space="preserve">Произошла ошибка оставшихся банкнот в области датчика GS004 в ходе операции Отмена Депозита (Deposit Cancel).</t>
  </si>
  <si>
    <t xml:space="preserve">Произошла ошибка оставшихся банкнот в области датчика GS005 в ходе операции Отмена Депозита (Deposit Cancel).</t>
  </si>
  <si>
    <t xml:space="preserve">Произошла ошибка оставшихся банкнот в области датчика GS006 в ходе операции Отмена Депозита (Deposit Cancel).</t>
  </si>
  <si>
    <t xml:space="preserve">5402A00</t>
  </si>
  <si>
    <t xml:space="preserve">Произошла ошибка оставшихся банкнот в области датчика GS021 в ходе операции Отмена Депозита (Deposit Cancel).</t>
  </si>
  <si>
    <t xml:space="preserve">5402B00</t>
  </si>
  <si>
    <t xml:space="preserve">Произошла ошибка оставшихся банкнот в области датчика GS022 в ходе операции Отмена Депозита (Deposit Cancel).</t>
  </si>
  <si>
    <t xml:space="preserve">5402G00</t>
  </si>
  <si>
    <t xml:space="preserve">Произошла ошибка оставшихся банкнот в области датчика GS614 в ходе операции Отмена Депозита (Deposit Cancel).</t>
  </si>
  <si>
    <t xml:space="preserve">5402H00</t>
  </si>
  <si>
    <t xml:space="preserve">Произошла ошибка оставшихся банкнот в области датчика GS618 в ходе операции Отмена Депозита (Deposit Cancel).</t>
  </si>
  <si>
    <t xml:space="preserve">5402J00</t>
  </si>
  <si>
    <t xml:space="preserve">Произошла ошибка оставшихся банкнот в области датчика GS619 в ходе операции Отмена Депозита (Deposit Cancel).</t>
  </si>
  <si>
    <t xml:space="preserve">5402K00</t>
  </si>
  <si>
    <t xml:space="preserve">Произошла ошибка оставшихся банкнот в области датчика GS703 в ходе операции Отмена Депозита (Deposit Cancel).</t>
  </si>
  <si>
    <t xml:space="preserve">5402M00</t>
  </si>
  <si>
    <t xml:space="preserve">Произошла ошибка оставшихся банкнот в области датчика GS031 в ходе операции Отмена Депозита (Deposit Cancel).</t>
  </si>
  <si>
    <t xml:space="preserve">5402N00</t>
  </si>
  <si>
    <t xml:space="preserve">Произошла ошибка оставшихся банкнот в области датчика GS032 в ходе операции Отмена Депозита (Deposit Cancel).</t>
  </si>
  <si>
    <t xml:space="preserve">5402P00</t>
  </si>
  <si>
    <t xml:space="preserve">Произошла ошибка оставшихся банкнот в области датчика GS033 в ходе операции Отмена Депозита (Deposit Cancel).</t>
  </si>
  <si>
    <t xml:space="preserve">5402Q00</t>
  </si>
  <si>
    <t xml:space="preserve">Произошла ошибка оставшихся банкнот в области датчика GS034 в ходе операции Отмена Депозита (Deposit Cancel).</t>
  </si>
  <si>
    <t xml:space="preserve">5402W00</t>
  </si>
  <si>
    <t xml:space="preserve">Произошла ошибка оставшихся банкнот в области датчика GS802 в ходе операции Отмена Депозита (Deposit Cancel).</t>
  </si>
  <si>
    <t xml:space="preserve">Произошла ошибка Транспортного Тракта по данным датчика GS801 в ходе операции Отмена Депозита (Deposit Cancel).</t>
  </si>
  <si>
    <t xml:space="preserve">Произошла ошибка Транспортного Тракта по данным датчика GS002 в ходе операции Отмена Депозита (Deposit Cancel).</t>
  </si>
  <si>
    <t xml:space="preserve">Произошла ошибка Транспортного Тракта по данным датчика GS003 в ходе операции Отмена Депозита (Deposit Cancel).</t>
  </si>
  <si>
    <t xml:space="preserve">Произошла ошибка Транспортного Тракта по данным датчика GS004 в ходе операции Отмена Депозита (Deposit Cancel).</t>
  </si>
  <si>
    <t xml:space="preserve">Произошла ошибка Транспортного Тракта по данным датчика GS005 в ходе операции Отмена Депозита (Deposit Cancel).</t>
  </si>
  <si>
    <t xml:space="preserve">Произошла ошибка Транспортного Тракта по данным датчика GS006 в ходе операции Отмена Депозита (Deposit Cancel).</t>
  </si>
  <si>
    <t xml:space="preserve">5405A00</t>
  </si>
  <si>
    <t xml:space="preserve">Произошла ошибка Транспортного Тракта по данным датчика GS021 в ходе операции Отмена Депозита (Deposit Cancel).</t>
  </si>
  <si>
    <t xml:space="preserve">5405B00</t>
  </si>
  <si>
    <t xml:space="preserve">Произошла ошибка Транспортного Тракта по данным датчика GS022 в ходе операции Отмена Депозита (Deposit Cancel).</t>
  </si>
  <si>
    <t xml:space="preserve">5405G00</t>
  </si>
  <si>
    <t xml:space="preserve">Произошла ошибка Транспортного Тракта по данным датчика GS614 в ходе операции Отмена Депозита (Deposit Cancel).</t>
  </si>
  <si>
    <t xml:space="preserve">5405H00</t>
  </si>
  <si>
    <t xml:space="preserve">Произошла ошибка Транспортного Тракта по данным датчика GS618 в ходе операции Отмена Депозита (Deposit Cancel).</t>
  </si>
  <si>
    <t xml:space="preserve">5405J00</t>
  </si>
  <si>
    <t xml:space="preserve">Произошла ошибка Транспортного Тракта по данным датчика GS619 в ходе операции Отмена Депозита (Deposit Cancel).</t>
  </si>
  <si>
    <t xml:space="preserve">5405M00</t>
  </si>
  <si>
    <t xml:space="preserve">Произошла ошибка Транспортного Тракта по данным датчика GS031 в ходе операции Отмена Депозита (Deposit Cancel).</t>
  </si>
  <si>
    <t xml:space="preserve">5405N00</t>
  </si>
  <si>
    <t xml:space="preserve">Произошла ошибка Транспортного Тракта по данным датчика GS032 в ходе операции Отмена Депозита (Deposit Cancel).</t>
  </si>
  <si>
    <t xml:space="preserve">5405P00</t>
  </si>
  <si>
    <t xml:space="preserve">Произошла ошибка Транспортного Тракта по данным датчика GS033 в ходе операции Отмена Депозита (Deposit Cancel).</t>
  </si>
  <si>
    <t xml:space="preserve">5405Q00</t>
  </si>
  <si>
    <t xml:space="preserve">Произошла ошибка Транспортного Тракта по данным датчика GS034 в ходе операции Отмена Депозита (Deposit Cancel).</t>
  </si>
  <si>
    <t xml:space="preserve">5405W00</t>
  </si>
  <si>
    <t xml:space="preserve">Произошла ошибка Транспортного Тракта по данным датчика GS802 в ходе операции Отмена Депозита (Deposit Cancel).</t>
  </si>
  <si>
    <t xml:space="preserve">5406G00</t>
  </si>
  <si>
    <t xml:space="preserve">Произошла ошибка Возвращающего Транспортного Тракта (датчик GS614) в ходе операции Отмена Депозита (Deposit Cancel).</t>
  </si>
  <si>
    <t xml:space="preserve">5406H00</t>
  </si>
  <si>
    <t xml:space="preserve">Произошла ошибка Возвращающего Транспортного Тракта (датчик GS618) в ходе операции Отмена Депозита (Deposit Cancel).</t>
  </si>
  <si>
    <t xml:space="preserve">5406J00</t>
  </si>
  <si>
    <t xml:space="preserve">Произошла ошибка Возвращающего Транспортного Тракта (датчик GS619) в ходе операции Отмена Депозита (Deposit Cancel).</t>
  </si>
  <si>
    <t xml:space="preserve">Произошла ошибка порядка следования банкнот в области датчика GS801 в ходе операции Отмена Депозита (Deposit Cancel).</t>
  </si>
  <si>
    <t xml:space="preserve">Произошла ошибка порядка следования банкнот в области датчика GS002 в ходе операции Отмена Депозита (Deposit Cancel).</t>
  </si>
  <si>
    <t xml:space="preserve">1. Откройте верхнюю часть Модуля Рециркуляции Банкнот 2. Откройте Передний Транспортный Тракт (4) 3. Удалите банкноты и посторонние предметы из Переднего Транспортного Тракта (4) 4.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</si>
  <si>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GS003 в ходе операции Отмена Депозита (Deposit Cancel).</t>
  </si>
  <si>
    <t xml:space="preserve">Произошла ошибка порядка следования банкнот в области датчика GS004 в ходе операции Отмена Депозита (Deposit Cancel).</t>
  </si>
  <si>
    <t xml:space="preserve">Произошла ошибка порядка следования банкнот в области датчика GS005 в ходе операции Отмена Депозита (Deposit Cancel).</t>
  </si>
  <si>
    <t xml:space="preserve">Произошла ошибка порядка следования банкнот в области датчика GS006 в ходе операции Отмена Депозита (Deposit Cancel).</t>
  </si>
  <si>
    <t xml:space="preserve">5407A00</t>
  </si>
  <si>
    <t xml:space="preserve">Произошла ошибка порядка следования банкнот в области датчика GS021 в ходе операции Отмена Депозита (Deposit Cancel).</t>
  </si>
  <si>
    <t xml:space="preserve">5407B00</t>
  </si>
  <si>
    <t xml:space="preserve">Произошла ошибка порядка следования банкнот в области датчика GS022 в ходе операции Отмена Депозита (Deposit Cancel).</t>
  </si>
  <si>
    <t xml:space="preserve">5407G00</t>
  </si>
  <si>
    <t xml:space="preserve">Произошла ошибка порядка следования банкнот в области датчика GS614 в ходе операции Отмена Депозита (Deposit Cancel).</t>
  </si>
  <si>
    <t xml:space="preserve">5407H00</t>
  </si>
  <si>
    <t xml:space="preserve">Произошла ошибка порядка следования банкнот в области датчика GS618 в ходе операции Отмена Депозита (Deposit Cancel).</t>
  </si>
  <si>
    <t xml:space="preserve">5407J00</t>
  </si>
  <si>
    <t xml:space="preserve">Произошла ошибка порядка следования банкнот в области датчика GS619 в ходе операции Отмена Депозита (Deposit Cancel).</t>
  </si>
  <si>
    <t xml:space="preserve">5407K00</t>
  </si>
  <si>
    <t xml:space="preserve">Произошла ошибка порядка следования банкнот в области датчика GS703 в ходе операции Отмена Депозита (Deposit Cancel).</t>
  </si>
  <si>
    <t xml:space="preserve">5407M00</t>
  </si>
  <si>
    <t xml:space="preserve">Произошла ошибка порядка следования банкнот в области датчика GS031 в ходе операции Отмена Депозита (Deposit Cancel).</t>
  </si>
  <si>
    <t xml:space="preserve">5407N00</t>
  </si>
  <si>
    <t xml:space="preserve">Произошла ошибка порядка следования банкнот в области датчика GS032 в ходе операции Отмена Депозита (Deposit Cancel).</t>
  </si>
  <si>
    <t xml:space="preserve">5407P00</t>
  </si>
  <si>
    <t xml:space="preserve">Произошла ошибка порядка следования банкнот в области датчика GS033 в ходе операции Отмена Депозита (Deposit Cancel).</t>
  </si>
  <si>
    <t xml:space="preserve">5407Q00</t>
  </si>
  <si>
    <t xml:space="preserve">Произошла ошибка порядка следования банкнот в области датчика GS034 в ходе операции Отмена Депозита (Deposit Cancel).</t>
  </si>
  <si>
    <t xml:space="preserve">5407W00</t>
  </si>
  <si>
    <t xml:space="preserve">Произошла ошибка порядка следования банкнот в области датчика GS802 в ходе операции Отмена Депозита (Deposit Cancel).</t>
  </si>
  <si>
    <t xml:space="preserve">540DR00</t>
  </si>
  <si>
    <t xml:space="preserve">Ошибка синхронизации распознавания в ходе операции Отмена Депозита (Deposit Cancel).</t>
  </si>
  <si>
    <t xml:space="preserve">540DS00</t>
  </si>
  <si>
    <t xml:space="preserve">540DT00</t>
  </si>
  <si>
    <t xml:space="preserve">540DU00</t>
  </si>
  <si>
    <t xml:space="preserve">540DV00</t>
  </si>
  <si>
    <t xml:space="preserve">540DW00</t>
  </si>
  <si>
    <t xml:space="preserve">540DX00</t>
  </si>
  <si>
    <t xml:space="preserve">540DY00</t>
  </si>
  <si>
    <t xml:space="preserve">540F100</t>
  </si>
  <si>
    <t xml:space="preserve">Ошибка motor removal error двигателя GM001 в ходе операции Отмена Депозита (Deposit Cancel).</t>
  </si>
  <si>
    <t xml:space="preserve">540F200</t>
  </si>
  <si>
    <t xml:space="preserve">Ошибка motor removal error двигателя GM002 в ходе операции Отмена Депозита (Deposit Cancel).</t>
  </si>
  <si>
    <t xml:space="preserve">540F400</t>
  </si>
  <si>
    <t xml:space="preserve">Ошибка motor removal error двигателя GM004 в ходе операции Отмена Депозита (Deposit Cancel).</t>
  </si>
  <si>
    <t xml:space="preserve">540F500</t>
  </si>
  <si>
    <t xml:space="preserve">Уменьшенное значение счетчика энкодера дсигателя GM001 по сравнению с предыдущим значением в ходе операции Отмена Депозита (Deposit Cancel).</t>
  </si>
  <si>
    <t xml:space="preserve">540F600</t>
  </si>
  <si>
    <t xml:space="preserve">Уменьшенное значение счетчика энкодера дсигателя GM002 по сравнению с предыдущим значением в ходе операции Отмена Депозита (Deposit Cancel).</t>
  </si>
  <si>
    <t xml:space="preserve">540F700</t>
  </si>
  <si>
    <t xml:space="preserve">Уменьшенное значение счетчика энкодера дсигателя GM004 по сравнению с предыдущим значением в ходе операции Отмена Депозита (Deposit Cancel).</t>
  </si>
  <si>
    <t xml:space="preserve">540G100</t>
  </si>
  <si>
    <t xml:space="preserve">Не удалось переключить 3-х направленный Затвор Тракта в режим 0-го градуса в ходе операции Отмена Депозита (Deposit Cancel).</t>
  </si>
  <si>
    <t xml:space="preserve">540G200</t>
  </si>
  <si>
    <t xml:space="preserve">Не удалось переключить 3-х направленный Затвор Тракта в 120 градусный режим в ходе операции Пересчет Депозита (Deposit Count) в ходе операции Отмена Депозита (Deposit Cancel).</t>
  </si>
  <si>
    <t xml:space="preserve">540K100</t>
  </si>
  <si>
    <t xml:space="preserve">Ошибка дублирования серийного номера в ходе операции Отмена Депозита (Deposit Cancel)..</t>
  </si>
  <si>
    <t xml:space="preserve">540N900</t>
  </si>
  <si>
    <t xml:space="preserve">Кол-во набранных банкнот не совпадает с кол-вом уложенных банкнот при завершении разделения в ходе операции Отмена Депозита (Deposit Cancel).</t>
  </si>
  <si>
    <t xml:space="preserve">540NA00</t>
  </si>
  <si>
    <t xml:space="preserve">No Result при предыдущем распознавании банкот при разделении банкнот в Модуле временного хранения_TE в ходе операции Отмена Депозита (Deposit Cancel).</t>
  </si>
  <si>
    <t xml:space="preserve">540NC00</t>
  </si>
  <si>
    <t xml:space="preserve">Не удалось проверить последнюю банкноту в окончании Среднего Транспортного Тракта в ходе операции Отмена Депозита (Deposit Cancel).</t>
  </si>
  <si>
    <t xml:space="preserve">540NK00</t>
  </si>
  <si>
    <t xml:space="preserve">Ошибка No gate for insertion в ходе операции Отмена Депозита (Deposit Cancel)</t>
  </si>
  <si>
    <t xml:space="preserve">540Q100</t>
  </si>
  <si>
    <t xml:space="preserve">Ошибка установки Вспомогательной Кассеты UTC в ходе операции Отмена Депозита (Deposit Cancel).</t>
  </si>
  <si>
    <t xml:space="preserve">540Q200</t>
  </si>
  <si>
    <t xml:space="preserve">Ошибка открытого Модуля временного хранения (TE) в ходе операции Отмена Депозита (Deposit Cancel).</t>
  </si>
  <si>
    <t xml:space="preserve">540Q300</t>
  </si>
  <si>
    <t xml:space="preserve">Ошибка концевого переключателя BMU в ходе операции Отмена Депозита (Deposit Cancel).</t>
  </si>
  <si>
    <t xml:space="preserve">540Q400</t>
  </si>
  <si>
    <t xml:space="preserve">Ошибка установки BMU в ходе операции Отмена Депозита (Deposit Cancel).</t>
  </si>
  <si>
    <t xml:space="preserve">540Q500</t>
  </si>
  <si>
    <t xml:space="preserve">Сейфовая дверь открыта в ходе операции Отмена Депозита (Deposit Cancel).</t>
  </si>
  <si>
    <t xml:space="preserve">540Q600</t>
  </si>
  <si>
    <t xml:space="preserve">Ошибка открытия CSM в ходе операции Отмена Депозита (Deposit Cancel).</t>
  </si>
  <si>
    <t xml:space="preserve">540Q700</t>
  </si>
  <si>
    <t xml:space="preserve">Ошибка вынутой Кассеты Отбраковки RJC в ходе операции Отмена Депозита (Deposit Cancel).</t>
  </si>
  <si>
    <t xml:space="preserve">540Q800</t>
  </si>
  <si>
    <t xml:space="preserve">Ошибка концевого переключателя BMD в ходе операции Отмена Депозита (Deposit Cancel).</t>
  </si>
  <si>
    <t xml:space="preserve">540Q900</t>
  </si>
  <si>
    <t xml:space="preserve">Ошибка установки BMD в ходе операции Отмена Депозита (Deposit Cancel).</t>
  </si>
  <si>
    <t xml:space="preserve">540QA00</t>
  </si>
  <si>
    <t xml:space="preserve">Ошибка открытия BC в ходе операции Отмена Депозита (Deposit Cancel).</t>
  </si>
  <si>
    <t xml:space="preserve">540R100</t>
  </si>
  <si>
    <t xml:space="preserve">BM вернул ошибку таймаута сообщения в ходе готовности к операции Отмена Депозита (Deposit Cancel).</t>
  </si>
  <si>
    <t xml:space="preserve">540R200</t>
  </si>
  <si>
    <t xml:space="preserve">BM вернул ошибку таймаута сообщения при проведении транзакции в ходе операции Отмена Депозита (Deposit Cancel).</t>
  </si>
  <si>
    <t xml:space="preserve">540R300</t>
  </si>
  <si>
    <t xml:space="preserve">BM вернул ошибку таймаута сообщения в ходе постпроцессинга ошибки операции  Отмена Депозита (Deposit Cancel Error).</t>
  </si>
  <si>
    <t xml:space="preserve">GS105 замятие в области датчика по Светлому типу в ходе операции Отмена Депозита (Deposit Cancel).</t>
  </si>
  <si>
    <t xml:space="preserve">GS101 замятие в области датчика в ходе операции Отмена Депозита (Deposit Cancel).</t>
  </si>
  <si>
    <t xml:space="preserve">GS102 замятие в области датчика в ходе операции Отмена Депозита (Deposit Cancel).</t>
  </si>
  <si>
    <t xml:space="preserve">GS105 замятие в области датчика в ходе операции Отмена Депозита (Deposit Cancel).</t>
  </si>
  <si>
    <t xml:space="preserve">Произошла ошибка оставшихся банкнот в области датчика GS101 в ходе операции Отмена Депозита (Deposit Cancel).</t>
  </si>
  <si>
    <t xml:space="preserve">Произошла ошибка оставшихся банкнот в области датчика GS102 в ходе операции Отмена Депозита (Deposit Cancel).</t>
  </si>
  <si>
    <t xml:space="preserve">Произошла ошибка оставшихся банкнот в области датчика GS105 в ходе операции Отмена Депозита (Deposit Cancel).</t>
  </si>
  <si>
    <t xml:space="preserve">Произошла ошибка Транспортного Тракта по данным датчика GS105 в ходе операции Отмена Депозита (Deposit Cancel).</t>
  </si>
  <si>
    <t xml:space="preserve">Произошла ошибка в Возвращающем Транспортном Тракте (датчик GS105) в ходе операции Отмена Депозита (Deposit Cancel).</t>
  </si>
  <si>
    <t xml:space="preserve">Произошла ошибка порядка следования банкнот в области датчика GS105 в ходе операции Отмена Депозита (Deposit Cancel).</t>
  </si>
  <si>
    <t xml:space="preserve">541G100</t>
  </si>
  <si>
    <t xml:space="preserve">Не удалось вернуть банкноты в Кассету Рециркуляции RC1 в ходе операции Отмена Депозита (Deposit Cancel).</t>
  </si>
  <si>
    <t xml:space="preserve">541G200</t>
  </si>
  <si>
    <t xml:space="preserve">Не удалось переместить Прижимную Пластину Кассеты Рециркуляции RC1 в укладывающее положение в ходе операции Отмена Депозита (Deposit Cancel).</t>
  </si>
  <si>
    <t xml:space="preserve">541G400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</si>
  <si>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Отмена Депозита (Deposit Cancel).</t>
  </si>
  <si>
    <t xml:space="preserve">541G500</t>
  </si>
  <si>
    <t xml:space="preserve">Сбой обратного хода укладывающего ролика Кассеты Рециркуляции RC1 в ходе операции Отмена Депозита (Deposit Cancel).(ошибка датчика)</t>
  </si>
  <si>
    <t xml:space="preserve">541G600</t>
  </si>
  <si>
    <t xml:space="preserve">Превышен предел количества попыток перемещений укладывающего ролика Кассеты Рециркуляции RC1 в ходе операции Отмена Депозита (Deposit Cancel).</t>
  </si>
  <si>
    <t xml:space="preserve">541G800</t>
  </si>
  <si>
    <t xml:space="preserve">Не удалось переместить Прижимную Пластину в прижимающее положение Кассеты Рециркуляции RC1 в ходе операции Отмена Депозита (Deposit Cancel).</t>
  </si>
  <si>
    <t xml:space="preserve">541GA00</t>
  </si>
  <si>
    <t xml:space="preserve">Ошибка сообщения соленоида Кассеты Рециркуляции RC1 в ходе операции Отмена Депозита (Deposit Cancel).</t>
  </si>
  <si>
    <t xml:space="preserve">541GB00</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</si>
  <si>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Отмена Депозита (Deposit Cancel).</t>
  </si>
  <si>
    <t xml:space="preserve">541GC00</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</si>
  <si>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Отмена Депозита (Deposit Cancel).</t>
  </si>
  <si>
    <t xml:space="preserve">541GJ00</t>
  </si>
  <si>
    <t xml:space="preserve">Сбой обратного хода укладывающего ролика Кассеты Рециркуляции RC1 в ходе операции Отмена Депозита (Deposit Cancel).(Перерасход)</t>
  </si>
  <si>
    <t xml:space="preserve">541GK00</t>
  </si>
  <si>
    <t xml:space="preserve">Сбой обратного хода укладывающего ролика Кассеты Рециркуляции RC1 в ходе операции Отмена Депозита (Deposit Cancel). (Ошибка состояния двигателя)</t>
  </si>
  <si>
    <t xml:space="preserve">541GL00</t>
  </si>
  <si>
    <t xml:space="preserve">Не удалось переместить подающий ролик Кассеты Рециркуляции RC1 в исходное положение в ходе операции Отмена Депозита (Deposit Cancel).(Ошибка состояния двигателя)</t>
  </si>
  <si>
    <t xml:space="preserve">541J300</t>
  </si>
  <si>
    <t xml:space="preserve">Не удалось выполнить полную проверку Кассеты Рециркуляции RC1 в ходе операции Отмена Депозита (Deposit Cancel).</t>
  </si>
  <si>
    <t xml:space="preserve">541R100</t>
  </si>
  <si>
    <t xml:space="preserve">Ошибка тайм-аута сообщения Кассеты Рециркуляции RC1 в ходе готовности к операции Отмена Депозита (Deposit Cancel).</t>
  </si>
  <si>
    <t xml:space="preserve">541R200</t>
  </si>
  <si>
    <t xml:space="preserve">Ошибка тайм-аута сообщения Кассеты Рециркуляции RC1 при проведении транзакции в ходе операции Отмена Депозита (Deposit Cancel).</t>
  </si>
  <si>
    <t xml:space="preserve">541R300</t>
  </si>
  <si>
    <t xml:space="preserve">Ошибка тайм-аута сообщения Кассеты Рециркуляции RC1 в ходе постпроцессинга ошибки операции Отмена Депозита (Deposit Cancel Error).</t>
  </si>
  <si>
    <t xml:space="preserve">541S100</t>
  </si>
  <si>
    <t xml:space="preserve">Возвращено неизвестное значение Кассеты Рециркуляции RC1 в ходе операции Отмена Депозита (Deposit Cancel).</t>
  </si>
  <si>
    <t xml:space="preserve">541S200</t>
  </si>
  <si>
    <t xml:space="preserve">Неизвестная команда RC1 в ходе операции Отмена Депозита (Deposit Cancel).</t>
  </si>
  <si>
    <t xml:space="preserve">GS205 замятие в области датчика по Светлому типу в ходе операции Отмена Депозита (Deposit Cancel).</t>
  </si>
  <si>
    <t xml:space="preserve">GS201 замятие в области датчика в ходе операции Отмена Депозита (Deposit Cancel).</t>
  </si>
  <si>
    <t xml:space="preserve">GS202 замятие в области датчика в ходе операции Отмена Депозита (Deposit Cancel).</t>
  </si>
  <si>
    <t xml:space="preserve">GS205 замятие в области датчика в ходе операции Отмена Депозита (Deposit Cancel).</t>
  </si>
  <si>
    <t xml:space="preserve">Произошла ошибка оставшихся банкнот в области датчика GS201 в ходе операции Отмена Депозита (Deposit Cancel).</t>
  </si>
  <si>
    <t xml:space="preserve">Произошла ошибка оставшихся банкнот в области датчика GS202 в ходе операции Отмена Депозита (Deposit Cancel).</t>
  </si>
  <si>
    <t xml:space="preserve">Произошла ошибка оставшихся банкнот в области датчика GS205 в ходе операции Отмена Депозита (Deposit Cancel).</t>
  </si>
  <si>
    <t xml:space="preserve">Произошла ошибка Транспортного Тракта по данным датчика GS205 в ходе операции Отмена Депозита (Deposit Cancel).</t>
  </si>
  <si>
    <t xml:space="preserve">Произошла ошибка в Возвращающем Транспортном Тракте (датчик GS205) в ходе операции Отмена Депозита (Deposit Cancel).</t>
  </si>
  <si>
    <t xml:space="preserve">Произошла ошибка порядка следования банкнот в области датчика GS205 в ходе операции Отмена Депозита (Deposit Cancel).</t>
  </si>
  <si>
    <t xml:space="preserve">542G100</t>
  </si>
  <si>
    <t xml:space="preserve">Не удалось вернуть банкноты в Кассету Рециркуляции RC2 в ходе операции Отмена Депозита (Deposit Cancel).</t>
  </si>
  <si>
    <t xml:space="preserve">542G200</t>
  </si>
  <si>
    <t xml:space="preserve">Не удалось переместить Прижимную Пластину Кассеты Рециркуляции RC2 в укладывающее положение в ходе операции Отмена Депозита (Deposit Cancel).</t>
  </si>
  <si>
    <t xml:space="preserve">542G400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</si>
  <si>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Отмена Депозита (Deposit Cancel).</t>
  </si>
  <si>
    <t xml:space="preserve">542G500</t>
  </si>
  <si>
    <t xml:space="preserve">Сбой обратного хода укладывающего ролика Кассеты Рециркуляции RC2 в ходе операции Отмена Депозита (Deposit Cancel).(ошибка датчика)</t>
  </si>
  <si>
    <t xml:space="preserve">542G600</t>
  </si>
  <si>
    <t xml:space="preserve">Превышен предел количества попыток перемещений укладывающего ролика Кассеты Рециркуляции RC2 в ходе операции Отмена Депозита (Deposit Cancel).</t>
  </si>
  <si>
    <t xml:space="preserve">542G800</t>
  </si>
  <si>
    <t xml:space="preserve">Не удалось переместить Прижимную Пластину в прижимающее положение Кассеты Рециркуляции RC2 в ходе операции Отмена Депозита (Deposit Cancel).</t>
  </si>
  <si>
    <t xml:space="preserve">542GA00</t>
  </si>
  <si>
    <t xml:space="preserve">Ошибка сообщения соленоида Кассеты Рециркуляции RC2 в ходе операции Отмена Депозита (Deposit Cancel).</t>
  </si>
  <si>
    <t xml:space="preserve">542GB00</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</si>
  <si>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Отмена Депозита (Deposit Cancel).</t>
  </si>
  <si>
    <t xml:space="preserve">542GC00</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</si>
  <si>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Отмена Депозита (Deposit Cancel).</t>
  </si>
  <si>
    <t xml:space="preserve">542GJ00</t>
  </si>
  <si>
    <t xml:space="preserve">Сбой обратного хода укладывающего ролика Кассеты Рециркуляции RC2 в ходе операции Отмена Депозита (Deposit Cancel).(Перерасход)</t>
  </si>
  <si>
    <t xml:space="preserve">542GK00</t>
  </si>
  <si>
    <t xml:space="preserve">Сбой обратного хода укладывающего ролика Кассеты Рециркуляции RC2 в ходе операции Отмена Депозита (Deposit Cancel). (Ошибка состояния двигателя)</t>
  </si>
  <si>
    <t xml:space="preserve">542GL00</t>
  </si>
  <si>
    <t xml:space="preserve">Не удалось переместить подающий ролик Кассеты Рециркуляции RC2 в исходное положение в ходе операции Отмена Депозита (Deposit Cancel). (Ошибка состояния двигателя)</t>
  </si>
  <si>
    <t xml:space="preserve">542J300</t>
  </si>
  <si>
    <t xml:space="preserve">Не удалось выполнить полную проверку Кассеты Рециркуляции RC2 в ходе операции Отмена Депозита (Deposit Cancel).</t>
  </si>
  <si>
    <t xml:space="preserve">542R100</t>
  </si>
  <si>
    <t xml:space="preserve">Ошибка тайм-аута сообщения Кассеты Рециркуляции RC2 в ходе готовности к операции Отмена Депозита (Deposit Cancel).</t>
  </si>
  <si>
    <t xml:space="preserve">542R200</t>
  </si>
  <si>
    <t xml:space="preserve">Ошибка тайм-аута сообщения Кассеты Рециркуляции RC2 при проведении транзакции в ходе операции Отмена Депозита (Deposit Cancel).</t>
  </si>
  <si>
    <t xml:space="preserve">542R300</t>
  </si>
  <si>
    <t xml:space="preserve">Ошибка тайм-аута сообщения Кассеты Рециркуляции RC2 в ходе постпроцессинга ошибки операции Отмена Депозита (Deposit Cancel Error).</t>
  </si>
  <si>
    <t xml:space="preserve">542S100</t>
  </si>
  <si>
    <t xml:space="preserve">Возвращено неизвестное значение Кассеты Рециркуляции RC2 в ходе операции Отмена Депозита (Deposit Cancel).</t>
  </si>
  <si>
    <t xml:space="preserve">542S200</t>
  </si>
  <si>
    <t xml:space="preserve">Неизвестная команда RC2 в ходе операции Отмена Депозита (Deposit Cancel).</t>
  </si>
  <si>
    <t xml:space="preserve">GS305 замятие в области датчика по Светлому типу в ходе операции Отмена Депозита (Deposit Cancel).</t>
  </si>
  <si>
    <t xml:space="preserve">GS301 замятие в области датчика в ходе операции Отмена Депозита (Deposit Cancel).</t>
  </si>
  <si>
    <t xml:space="preserve">GS302 замятие в области датчика в ходе операции Отмена Депозита (Deposit Cancel).</t>
  </si>
  <si>
    <t xml:space="preserve">GS305 замятие в области датчика в ходе операции Отмена Депозита (Deposit Cancel).</t>
  </si>
  <si>
    <t xml:space="preserve">Произошла ошибка оставшихся банкнот в области датчика GS301 в ходе операции Отмена Депозита (Deposit Cancel).</t>
  </si>
  <si>
    <t xml:space="preserve">Произошла ошибка оставшихся банкнот в области датчика GS302 в ходе операции Отмена Депозита (Deposit Cancel).</t>
  </si>
  <si>
    <t xml:space="preserve">Произошла ошибка оставшихся банкнот в области датчика GS305 в ходе операции Отмена Депозита (Deposit Cancel).</t>
  </si>
  <si>
    <t xml:space="preserve">Произошла ошибка Транспортного Тракта по данным датчика GS305 в ходе операции Отмена Депозита (Deposit Cancel).</t>
  </si>
  <si>
    <t xml:space="preserve">Произошла ошибка Возвращающего Транспортного Тракта (датчик GS305) в ходе операции Отмена Депозита (Deposit Cancel).</t>
  </si>
  <si>
    <t xml:space="preserve">Произошла ошибка порядка следования банкнот в области датчика GS305 в ходе операции Отмена Депозита (Deposit Cancel).</t>
  </si>
  <si>
    <t xml:space="preserve">543G100</t>
  </si>
  <si>
    <t xml:space="preserve">Не удалось вернуть банкноты в Кассету Рециркуляции RC3 в ходе операции Отмена Депозита (Deposit Cancel).</t>
  </si>
  <si>
    <t xml:space="preserve">543G200</t>
  </si>
  <si>
    <t xml:space="preserve">Не удалось переместить Прижимную Пластину Кассеты Рециркуляции RC3 в укладывающее положение в ходе операции Отмена Депозита (Deposit Cancel).</t>
  </si>
  <si>
    <t xml:space="preserve">543G400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</si>
  <si>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Отмена Депозита (Deposit Cancel).</t>
  </si>
  <si>
    <t xml:space="preserve">543G500</t>
  </si>
  <si>
    <t xml:space="preserve">Сбой обратного хода укладывающего ролика Кассеты Рециркуляции RC3 RC3 в ходе операции Отмена Депозита (Deposit Cancel).(ошибка датчика)</t>
  </si>
  <si>
    <t xml:space="preserve">543G600</t>
  </si>
  <si>
    <t xml:space="preserve">Превышен предел количества попыток перемещений укладывающего ролика Кассеты Рециркуляции RC3 в ходе операции Отмена Депозита (Deposit Cancel).</t>
  </si>
  <si>
    <t xml:space="preserve">543G800</t>
  </si>
  <si>
    <t xml:space="preserve">Не удалось переместить Прижимную Пластину в прижимающее положение Кассеты Рециркуляции RC3 of в ходе операции Отмена Депозита (Deposit Cancel).</t>
  </si>
  <si>
    <t xml:space="preserve">543GA00</t>
  </si>
  <si>
    <t xml:space="preserve">Ошибка сообщения соленоида Кассеты Рециркуляции RC3 в ходе операции Отмена Депозита (Deposit Cancel).</t>
  </si>
  <si>
    <t xml:space="preserve">543GB00</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</si>
  <si>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Отмена Депозита (Deposit Cancel).</t>
  </si>
  <si>
    <t xml:space="preserve">543GC00</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</si>
  <si>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Отмена Депозита (Deposit Cancel).</t>
  </si>
  <si>
    <t xml:space="preserve">543GJ00</t>
  </si>
  <si>
    <t xml:space="preserve">Сбой обратного хода укладывающего ролика Кассеты Рециркуляции RC3 RC3 в ходе операции Отмена Депозита (Deposit Cancel).(Перерасход)</t>
  </si>
  <si>
    <t xml:space="preserve">543GK00</t>
  </si>
  <si>
    <t xml:space="preserve">Сбой обратного хода укладывающего ролика Кассеты Рециркуляции RC3 в ходе операции Отмена Депозита (Deposit Cancel). (Ошибка состояния двигателя)</t>
  </si>
  <si>
    <t xml:space="preserve">543GL00</t>
  </si>
  <si>
    <t xml:space="preserve">Не удалось переместить подающий ролик Кассеты Рециркуляции RC3 в исходное положение в ходе операции Отмена Депозита (Deposit Cancel).(Ошибка состояния двигателя)</t>
  </si>
  <si>
    <t xml:space="preserve">543J300</t>
  </si>
  <si>
    <t xml:space="preserve">Не удалось выполнить полную проверку Кассеты Рециркуляции RC3 в ходе операции Отмена Депозита (Deposit Cancel).</t>
  </si>
  <si>
    <t xml:space="preserve">543R100</t>
  </si>
  <si>
    <t xml:space="preserve">Ошибка тайм-аута сообщения Кассеты Рециркуляции RC3 в ходе готовности к операции Отмена Депозита (Deposit Cancel).</t>
  </si>
  <si>
    <t xml:space="preserve">543R200</t>
  </si>
  <si>
    <t xml:space="preserve">Ошибка тайм-аута сообщения Кассеты Рециркуляции RC3 при проведении транзакции в ходе операции Отмена Депозита (Deposit Cancel).</t>
  </si>
  <si>
    <t xml:space="preserve">543R300</t>
  </si>
  <si>
    <t xml:space="preserve">Ошибка тайм-аута сообщения Кассеты Рециркуляции RC3 в ходе постпроцессинга ошибки операции Отмена Депозита (Deposit Cancel Error).</t>
  </si>
  <si>
    <t xml:space="preserve">543S100</t>
  </si>
  <si>
    <t xml:space="preserve">Возвращено неизвестное значение Кассеты Рециркуляции RC3 в ходе операции Отмена Депозита (Deposit Cancel).</t>
  </si>
  <si>
    <t xml:space="preserve">543S200</t>
  </si>
  <si>
    <t xml:space="preserve">Неизвестная команда RC3 в ходе операции Отмена Депозита (Deposit Cancel).</t>
  </si>
  <si>
    <t xml:space="preserve">GS405 замятие в области датчика по Светлому типу в ходе операции Отмена Депозита (Deposit Cancel).</t>
  </si>
  <si>
    <t xml:space="preserve">GS401 замятие в области датчика в ходе операции Отмена Депозита (Deposit Cancel).</t>
  </si>
  <si>
    <t xml:space="preserve">GS402 замятие в области датчика в ходе операции Отмена Депозита (Deposit Cancel).</t>
  </si>
  <si>
    <t xml:space="preserve">GS405 замятие в области датчика в ходе операции Отмена Депозита (Deposit Cancel).</t>
  </si>
  <si>
    <t xml:space="preserve">Произошла ошибка оставшихся банкнот в области датчика GS401 в ходе операции Отмена Депозита (Deposit Cancel).</t>
  </si>
  <si>
    <t xml:space="preserve">Произошла ошибка оставшихся банкнот в области датчика GS402 в ходе операции Отмена Депозита (Deposit Cancel).</t>
  </si>
  <si>
    <t xml:space="preserve">Произошла ошибка оставшихся банкнот в области датчика GS405 в ходе операции Отмена Депозита (Deposit Cancel).</t>
  </si>
  <si>
    <t xml:space="preserve">Произошла ошибка Транспортного Тракта по данным датчика GS405 в ходе операции Отмена Депозита (Deposit Cancel).</t>
  </si>
  <si>
    <t xml:space="preserve">Произошла ошибка Возвращающего Транспортного Тракта (датчик GS405) в ходе операции Отмена Депозита (Deposit Cancel).</t>
  </si>
  <si>
    <t xml:space="preserve">Произошла ошибка порядка следования банкнот в области датчика GS405 в ходе операции Отмена Депозита (Deposit Cancel).</t>
  </si>
  <si>
    <t xml:space="preserve">544G100</t>
  </si>
  <si>
    <t xml:space="preserve">Не удалось вернуть банкноты в Кассету Рециркуляции RC4 в ходе операции Отмена Депозита (Deposit Cancel).</t>
  </si>
  <si>
    <t xml:space="preserve">544G200</t>
  </si>
  <si>
    <t xml:space="preserve">Не удалось переместить Прижимную Пластину Кассеты Рециркуляции RC4 в укладывающее положение в ходе операции Отмена Депозита (Deposit Cancel).</t>
  </si>
  <si>
    <t xml:space="preserve">544G400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</si>
  <si>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Отмена Депозита (Deposit Cancel).</t>
  </si>
  <si>
    <t xml:space="preserve">544G500</t>
  </si>
  <si>
    <t xml:space="preserve">Сбой обратного хода укладывающего ролика Кассеты Рециркуляции RC4 в ходе операции Отмена Депозита (Deposit Cancel).(ошибка датчика)</t>
  </si>
  <si>
    <t xml:space="preserve">544G600</t>
  </si>
  <si>
    <t xml:space="preserve">Превышен предел количества попыток перемещений укладывающего ролика Кассеты Рециркуляции RC4 в ходе операции Отмена Депозита (Deposit Cancel).</t>
  </si>
  <si>
    <t xml:space="preserve">544G800</t>
  </si>
  <si>
    <t xml:space="preserve">Не удалось переместить Прижимную Пластину в прижимающее положение Кассеты Рециркуляции RC4 в ходе операции Отмена Депозита (Deposit Cancel).</t>
  </si>
  <si>
    <t xml:space="preserve">544GA00</t>
  </si>
  <si>
    <t xml:space="preserve">Ошибка сообщения соленоида Кассеты Рециркуляции RC4 в ходе операции Отмена Депозита (Deposit Cancel).</t>
  </si>
  <si>
    <t xml:space="preserve">544GB00</t>
  </si>
  <si>
    <t xml:space="preserve">Датчик энкодера (GS407) Подающего Двигателя не смог определить Светлое состояние в процессе вращения мотора в сторону укладывания банкнот..</t>
  </si>
  <si>
    <t xml:space="preserve">544GC00</t>
  </si>
  <si>
    <t xml:space="preserve">Датчик энкодера (GS407) Подающего Двигателя не смог определить Темное состояние в процессе вращения мотора в сторону укладывания банкнот..</t>
  </si>
  <si>
    <t xml:space="preserve">544GJ00</t>
  </si>
  <si>
    <t xml:space="preserve">Сбой обратного хода укладывающего ролика Кассеты Рециркуляции RC4 в ходе операции Отмена Депозита (Deposit Cancel).(Перерасход)</t>
  </si>
  <si>
    <t xml:space="preserve">544GK00</t>
  </si>
  <si>
    <t xml:space="preserve">Сбой обратного хода укладывающего ролика Кассеты Рециркуляции RC4 в ходе операции Отмена Депозита (Deposit Cancel). (Ошибка состояния двигателя)</t>
  </si>
  <si>
    <t xml:space="preserve">544GL00</t>
  </si>
  <si>
    <t xml:space="preserve">Не удалось переместить подающий ролик Кассеты Рециркуляции RC4 в исходное положение в ходе операции Отмена Депозита (Deposit Cancel).(Ошибка состояния двигателя)</t>
  </si>
  <si>
    <t xml:space="preserve">544J300</t>
  </si>
  <si>
    <t xml:space="preserve">Не удалось выполнить полную проверку Кассеты Рециркуляции RC4 в ходе операции Отмена Депозита (Deposit Cancel).</t>
  </si>
  <si>
    <t xml:space="preserve">544R100</t>
  </si>
  <si>
    <t xml:space="preserve">Ошибка тайм-аута сообщения Кассеты Рециркуляции RC4 в ходе готовности к операции Отмена Депозита (Deposit Cancel).</t>
  </si>
  <si>
    <t xml:space="preserve">544R200</t>
  </si>
  <si>
    <t xml:space="preserve">Ошибка тайм-аута сообщения Кассеты Рециркуляции RC4 при проведении транзакции в ходе операции Отмена Депозита (Deposit Cancel).</t>
  </si>
  <si>
    <t xml:space="preserve">544R300</t>
  </si>
  <si>
    <t xml:space="preserve">Ошибка тайм-аута сообщения Кассеты Рециркуляции RC4 в ходе постпроцессинга ошибки операции Отмена Депозита (Deposit Cancel Error).</t>
  </si>
  <si>
    <t xml:space="preserve">544S100</t>
  </si>
  <si>
    <t xml:space="preserve">Возвращено неизвестное значение Кассеты Рециркуляции RC4 в ходе операции Отмена Депозита (Deposit Cancel).</t>
  </si>
  <si>
    <t xml:space="preserve">544S200</t>
  </si>
  <si>
    <t xml:space="preserve">Неизвестная команда RC4 в ходе операции Отмена Депозита (Deposit Cancel).</t>
  </si>
  <si>
    <t xml:space="preserve">GS505 замятие в области датчика по Светлому типу в ходе операции Отмена Депозита (Deposit Cancel).</t>
  </si>
  <si>
    <t xml:space="preserve">GS501 замятие в области датчика в ходе операции Отмена Депозита (Deposit Cancel).</t>
  </si>
  <si>
    <t xml:space="preserve">GS502 замятие в области датчика в ходе операции Отмена Депозита (Deposit Cancel).</t>
  </si>
  <si>
    <t xml:space="preserve">GS505 замятие в области датчика в ходе операции Отмена Депозита (Deposit Cancel).</t>
  </si>
  <si>
    <t xml:space="preserve">Произошла ошибка оставшихся банкнот в области датчика GS501 в ходе операции Отмена Депозита (Deposit Cancel).</t>
  </si>
  <si>
    <t xml:space="preserve">Произошла ошибка оставшихся банкнот в области датчика GS502 в ходе операции Отмена Депозита (Deposit Cancel).</t>
  </si>
  <si>
    <t xml:space="preserve">Произошла ошибка оставшихся банкнот в области датчика GS505 в ходе операции Отмена Депозита (Deposit Cancel).</t>
  </si>
  <si>
    <t xml:space="preserve">Произошла ошибка Транспортного Тракта по данным датчика GS505 в ходе операции Отмена Депозита (Deposit Cancel).</t>
  </si>
  <si>
    <t xml:space="preserve">Произошла ошибка Возвращающего Транспортного Тракта (датчик GS505) в ходе операции Отмена Депозита (Deposit Cancel).</t>
  </si>
  <si>
    <t xml:space="preserve">Произошла ошибка порядка следования банкнот в области датчика GS505 в ходе операции Отмена Депозита (Deposit Cancel).</t>
  </si>
  <si>
    <t xml:space="preserve">545G100</t>
  </si>
  <si>
    <t xml:space="preserve">Не удалось вернуть банкноты в Кассету Рециркуляции RC5 в ходе операции Отмена Депозита (Deposit Cancel).</t>
  </si>
  <si>
    <t xml:space="preserve">545G200</t>
  </si>
  <si>
    <t xml:space="preserve">Не удалось переместить Прижимную Пластину Кассеты Рециркуляции RC5 в укладывающее положение в ходе операции Отмена Депозита (Deposit Cancel).</t>
  </si>
  <si>
    <t xml:space="preserve">545G400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</si>
  <si>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Отмена Депозита (Deposit Cancel).</t>
  </si>
  <si>
    <t xml:space="preserve">545G500</t>
  </si>
  <si>
    <t xml:space="preserve">Сбой обратного хода укладывающего ролика Кассеты Рециркуляции RC5 в ходе операции Отмена Депозита (Deposit Cancel).(ошибка датчика)</t>
  </si>
  <si>
    <t xml:space="preserve">545G600</t>
  </si>
  <si>
    <t xml:space="preserve">Превышен предел количества попыток перемещений укладывающего ролика Кассеты Рециркуляции RC5 в ходе операции Отмена Депозита (Deposit Cancel).</t>
  </si>
  <si>
    <t xml:space="preserve">545G800</t>
  </si>
  <si>
    <t xml:space="preserve">Не удалось переместить Прижимную Пластину в прижимающее положение Кассеты Рециркуляции RC5 в ходе операции Отмена Депозита (Deposit Cancel).</t>
  </si>
  <si>
    <t xml:space="preserve">545GA00</t>
  </si>
  <si>
    <t xml:space="preserve">Ошибка сообщения соленоида Кассеты Рециркуляции RC5 в ходе операции Отмена Депозита (Deposit Cancel).</t>
  </si>
  <si>
    <t xml:space="preserve">545GB00</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</si>
  <si>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Отмена Депозита (Deposit Cancel).</t>
  </si>
  <si>
    <t xml:space="preserve">545GC00</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</si>
  <si>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Отмена Депозита (Deposit Cancel).</t>
  </si>
  <si>
    <t xml:space="preserve">545GJ00</t>
  </si>
  <si>
    <t xml:space="preserve">Сбой обратного хода укладывающего ролика Кассеты Рециркуляции RC5 в ходе операции Отмена Депозита (Deposit Cancel).(Перерасход)</t>
  </si>
  <si>
    <t xml:space="preserve">545GK00</t>
  </si>
  <si>
    <t xml:space="preserve">Сбой обратного хода укладывающего ролика Кассеты Рециркуляции RC5 в ходе операции Отмена Депозита (Deposit Cancel). (Ошибка состояния двигателя)</t>
  </si>
  <si>
    <t xml:space="preserve">545GL00</t>
  </si>
  <si>
    <t xml:space="preserve">Не удалось переместить подающий ролик Кассеты Рециркуляции RC5 в исходное положение в ходе операции Отмена Депозита (Deposit Cancel).(Ошибка состояния двигателя)</t>
  </si>
  <si>
    <t xml:space="preserve">545J300</t>
  </si>
  <si>
    <t xml:space="preserve">Не удалось выполнить полную проверку Кассеты Рециркуляции RC5 в ходе операции Отмена Депозита (Deposit Cancel).</t>
  </si>
  <si>
    <t xml:space="preserve">545R100</t>
  </si>
  <si>
    <t xml:space="preserve">Ошибка тайм-аута сообщения Кассеты Рециркуляции RC5 в ходе готовности к операции Отмена Депозита (Deposit Cancel).</t>
  </si>
  <si>
    <t xml:space="preserve">545R200</t>
  </si>
  <si>
    <t xml:space="preserve">Ошибка тайм-аута сообщения Кассеты Рециркуляции RC5 при проведении транзакции в ходе операции Отмена Депозита (Deposit Cancel).</t>
  </si>
  <si>
    <t xml:space="preserve">545R300</t>
  </si>
  <si>
    <t xml:space="preserve">Ошибка тайм-аута сообщения Кассеты Рециркуляции RC5 в ходе постпроцессинга ошибки операции Отмена Депозита (Deposit Cancel Error).</t>
  </si>
  <si>
    <t xml:space="preserve">545S100</t>
  </si>
  <si>
    <t xml:space="preserve">Возвращено неизвестное значение Кассеты Рециркуляции RC5 в ходе операции Отмена Депозита (Deposit Cancel).</t>
  </si>
  <si>
    <t xml:space="preserve">545S200</t>
  </si>
  <si>
    <t xml:space="preserve">Неизвестная команда RC5 в ходе операции Отмена Депозита (Deposit Cancel).</t>
  </si>
  <si>
    <t xml:space="preserve">Ошибка оставшихся банкнот в Модуле обслуживания клиентов CSM в ходе операции Отмена Депозита (Deposit Cancel).</t>
  </si>
  <si>
    <t xml:space="preserve">Неизвестная ошибка команды Модуля обслуживания клиентов (CSM) в ходе операции Отмена Депозита (Deposit Cancel).</t>
  </si>
  <si>
    <t xml:space="preserve">Состояние остались банкноты сменилось на состояние банкноты отсутствуют в Модуле обслуживания клиентов CSM в ходе операции Отмена Депозита (Deposit Cancel).</t>
  </si>
  <si>
    <t xml:space="preserve">Состояние банкноты отсутствуют сменилось на состояние остались банкноты в Модуле обслуживания клиентов CSM в ходе операции Отмена Депозита (Deposit Cancel).</t>
  </si>
  <si>
    <t xml:space="preserve">546G100</t>
  </si>
  <si>
    <t xml:space="preserve">Ошибка перемещения Задней Прижимной Пластины BP в положение для укладки в ходе операции Отмена Депозита (Deposit Cancel).</t>
  </si>
  <si>
    <t xml:space="preserve">546G200</t>
  </si>
  <si>
    <t xml:space="preserve">Ошибка перемещения Задней Прижимной Пластины BP в положение для депозита в ходе операции Отмена Депозита (Deposit Cancel).</t>
  </si>
  <si>
    <t xml:space="preserve">546G300</t>
  </si>
  <si>
    <t xml:space="preserve">Ошибка перемещения Задней Прижимной Пластины BP в положение для разделения в ходе операции Отмена Депозита (Deposit Cancel).</t>
  </si>
  <si>
    <t xml:space="preserve">546G400</t>
  </si>
  <si>
    <t xml:space="preserve">Ошибка контроля разделения банкнот Задней прижимной пластины BP в ходе операции Отмена Депозита (Deposit Cancel).</t>
  </si>
  <si>
    <t xml:space="preserve">546G500</t>
  </si>
  <si>
    <t xml:space="preserve">Ошибка выдачи банкнот Задней прижимной пластины BP в ходе операции Отмена Депозита (Deposit Cancel).</t>
  </si>
  <si>
    <t xml:space="preserve">546G800</t>
  </si>
  <si>
    <t xml:space="preserve">Не удалось вернуть банкноты в ходе операции Отмена Депозита (Deposit Cancel) (Двигатель сепаратора работает с ошибками).</t>
  </si>
  <si>
    <t xml:space="preserve">546GA00</t>
  </si>
  <si>
    <t xml:space="preserve">Не удалось переместить укладывающий ролик в положение Выдача(укладка) в ходе операции Отмена Депозита (Deposit Cancel) (GM605 работает с ошибками).</t>
  </si>
  <si>
    <t xml:space="preserve">546GB00</t>
  </si>
  <si>
    <t xml:space="preserve">Не удалось переместить укладывающий ролик в положение для Депозита (укладка) в ходе операции Отмена Депозита (Deposit Cancel) (GM605 работает с ошибками).</t>
  </si>
  <si>
    <t xml:space="preserve">546GC00</t>
  </si>
  <si>
    <t xml:space="preserve">Сбой управления укладывающего ролика в ходе операции Отмена Депозита (Deposit Cancel) (GM605 работает с ошибками).</t>
  </si>
  <si>
    <t xml:space="preserve">546GD00</t>
  </si>
  <si>
    <t xml:space="preserve">Не удалось выполнить Поднимание (Lift-up) в ходе операции Отмена Депозита (Deposit Cancel).</t>
  </si>
  <si>
    <t xml:space="preserve">546GE00</t>
  </si>
  <si>
    <t xml:space="preserve">Не удалось выполнить Опускание (Lift-down) в ходе операции Отмена Депозита (Deposit Cancel).</t>
  </si>
  <si>
    <t xml:space="preserve">546GF00</t>
  </si>
  <si>
    <t xml:space="preserve">Не удалось переместить ролик затвора в исходное положение в ходе операции Отмена Депозита (Deposit Cancel).</t>
  </si>
  <si>
    <t xml:space="preserve">546M100</t>
  </si>
  <si>
    <t xml:space="preserve">Ошибка инициализации ограничителя в ходе операции Отмена Депозита (Deposit Cancel).</t>
  </si>
  <si>
    <t xml:space="preserve">546M300</t>
  </si>
  <si>
    <t xml:space="preserve">Ошибка закрытия Шаттера в ходе операции Отмена Депозита (Deposit Cancel).</t>
  </si>
  <si>
    <t xml:space="preserve">546M400</t>
  </si>
  <si>
    <t xml:space="preserve">Ошибка опускания ограничителя в ходе операции Отмена Депозита (Deposit Cancel).</t>
  </si>
  <si>
    <t xml:space="preserve">546M500</t>
  </si>
  <si>
    <t xml:space="preserve">Ошибка поднятия ограничителя в ходе операции Отмена Депозита (Deposit Cancel).</t>
  </si>
  <si>
    <t xml:space="preserve">546M600</t>
  </si>
  <si>
    <t xml:space="preserve">Ошибка закрытия шаттера при инициализации ограничителя в ходе операции Отмена Депозита (Deposit Cancel).</t>
  </si>
  <si>
    <t xml:space="preserve">546M700</t>
  </si>
  <si>
    <t xml:space="preserve">Шаттер принудительно открыт в ходе операции Отмена Депозита (Deposit Cancel).</t>
  </si>
  <si>
    <t xml:space="preserve">546P100</t>
  </si>
  <si>
    <t xml:space="preserve">Ошибка перемещения Прижимной Пластины PP в положение Выдача (укладка) в ходе операции Отмена Депозита (Deposit Cancel).</t>
  </si>
  <si>
    <t xml:space="preserve">546P200</t>
  </si>
  <si>
    <t xml:space="preserve">Ошибка перемещения Прижимной Пластины в положение депозита в ходе операции Отмена Депозита (Deposit Cancel).</t>
  </si>
  <si>
    <t xml:space="preserve">546P300</t>
  </si>
  <si>
    <t xml:space="preserve">Ошибка перемещения Прижимной Пластины PP в положение разделения в ходе операции Отмена Депозита (Deposit Cancel).</t>
  </si>
  <si>
    <t xml:space="preserve">546P400</t>
  </si>
  <si>
    <t xml:space="preserve">Ошибка перемещения Прижимной Пластины PP в положение lose return в ходе операции Отмена Депозита (Deposit Cancel).</t>
  </si>
  <si>
    <t xml:space="preserve">546P500</t>
  </si>
  <si>
    <t xml:space="preserve">Ошибка выдачи банкнот Прижимной Пластины PP в ходе операции Отмена Депозита (Deposit Cancel).</t>
  </si>
  <si>
    <t xml:space="preserve">546P600</t>
  </si>
  <si>
    <t xml:space="preserve">Ошибка выравнивания банкнот Прижимной Пластины PP в ходе операции Отмена Депозита (Deposit Cancel).</t>
  </si>
  <si>
    <t xml:space="preserve">546P700</t>
  </si>
  <si>
    <t xml:space="preserve">Ошибка контроля разделения (во время сепарации) Прижимной Пластины PP в ходе операции Отмена Депозита (Deposit Cancel).</t>
  </si>
  <si>
    <t xml:space="preserve">546P800</t>
  </si>
  <si>
    <t xml:space="preserve">Ошибка контроля укладки (во время укладывания) Прижимной Пластины PP в ходе операции Отмена Депозита (Deposit Cancel).</t>
  </si>
  <si>
    <t xml:space="preserve">546P900</t>
  </si>
  <si>
    <t xml:space="preserve">Ошибка возврата банкнот в ходе операции Отмена Депозита (Deposit Cancel).</t>
  </si>
  <si>
    <t xml:space="preserve">546PA00</t>
  </si>
  <si>
    <t xml:space="preserve">Ошибка ready stop Прижимной Пластины PP в ходе операции Отмена Депозита (Deposit Cancel).</t>
  </si>
  <si>
    <t xml:space="preserve">546R100</t>
  </si>
  <si>
    <t xml:space="preserve">Модуль обслуживания клиентов CSM вернул ошибку таймаута сообщения в ходе готовности к операции Отмена Депозита (Deposit Cancel).</t>
  </si>
  <si>
    <t xml:space="preserve">546R200</t>
  </si>
  <si>
    <t xml:space="preserve">Модуль обслуживания клиентов CSM вернул ошибку таймаута сообщения при проведении транзакции в ходе операции Отмена Депозита (Deposit Cancel).</t>
  </si>
  <si>
    <t xml:space="preserve">546R300</t>
  </si>
  <si>
    <t xml:space="preserve">Модуль обслуживания клиентов CSM вернул ошибку таймаута сообщения в ходе постпроцессинга ошибки операции Отмена Депозита (Deposit Cancel Error).</t>
  </si>
  <si>
    <t xml:space="preserve">GS703 замятие в области датчика по Темному типу в ходе операции Отмена Депозита (Deposit Cancel).</t>
  </si>
  <si>
    <t xml:space="preserve">547G100</t>
  </si>
  <si>
    <t xml:space="preserve">Нарушение движения двигателя в сторону укладки в ходе операции Отмена Депозита (Deposit Cancel).</t>
  </si>
  <si>
    <t xml:space="preserve">547G200</t>
  </si>
  <si>
    <t xml:space="preserve">547G300</t>
  </si>
  <si>
    <t xml:space="preserve">Нарушение остановки двигателя в ходе операции Отмена Депозита (Deposit Cancel).</t>
  </si>
  <si>
    <t xml:space="preserve">547G400</t>
  </si>
  <si>
    <t xml:space="preserve">Не обнаружен передний конец ленты в ходе операции Отмена Депозита (Deposit Cancel).</t>
  </si>
  <si>
    <t xml:space="preserve">547G500</t>
  </si>
  <si>
    <t xml:space="preserve">Обнаружен передний конец ленты в ходе операции Отмена Депозита (Deposit Cancel).</t>
  </si>
  <si>
    <t xml:space="preserve">547G700</t>
  </si>
  <si>
    <t xml:space="preserve">Обнаружен задний конец ленты в ходе операции Отмена Депозита (Deposit Cancel).</t>
  </si>
  <si>
    <t xml:space="preserve">547J100</t>
  </si>
  <si>
    <t xml:space="preserve">Полный барабан TE в ходе операции Отмена Депозита (Deposit Cancel).</t>
  </si>
  <si>
    <t xml:space="preserve">547J200</t>
  </si>
  <si>
    <t xml:space="preserve">Пустой барабан TE в ходе операции Отмена Депозита (Deposit Cancel).</t>
  </si>
  <si>
    <t xml:space="preserve">547J300</t>
  </si>
  <si>
    <t xml:space="preserve">Невозможно нормальное завершение в ходе операции Отмена Депозита (Deposit Cancel).</t>
  </si>
  <si>
    <t xml:space="preserve">547R100</t>
  </si>
  <si>
    <t xml:space="preserve">Модуль временного хранения_TE вернул ошибку таймаута сообщения в ходе операции Ready Operation в ходе операции Отмена Депозита (Deposit Cancel).</t>
  </si>
  <si>
    <t xml:space="preserve">547R200</t>
  </si>
  <si>
    <t xml:space="preserve">Модуль временного хранения_TE вернул ошибку таймаута сообщения в ходе операции transaction operation int the Отмена Депозита (Deposit Cancel).</t>
  </si>
  <si>
    <t xml:space="preserve">547R300</t>
  </si>
  <si>
    <t xml:space="preserve">Модуль временного хранения_TE вернул ошибку таймаута сообщения в ходе постпроцессинга ошибки операции Конец Отмены Депозита (Deposit Cancel End Error).</t>
  </si>
  <si>
    <t xml:space="preserve">548HA01</t>
  </si>
  <si>
    <t xml:space="preserve">Ошибка датчика GS801A в ходе операции Отмена Депозита (Deposit Cancel).</t>
  </si>
  <si>
    <t xml:space="preserve">548HA02</t>
  </si>
  <si>
    <t xml:space="preserve">Ошибка датчика GS801B в ходе операции Отмена Депозита (Deposit Cancel).</t>
  </si>
  <si>
    <t xml:space="preserve">548HA03</t>
  </si>
  <si>
    <t xml:space="preserve">Ошибка датчиков GS801A, GS801B в ходе операции Отмена Депозита (Deposit Cancel).</t>
  </si>
  <si>
    <t xml:space="preserve">548HA04</t>
  </si>
  <si>
    <t xml:space="preserve">Ошибка датчика GS802A в ходе операции Отмена Депозита (Deposit Cancel).</t>
  </si>
  <si>
    <t xml:space="preserve">548HA05</t>
  </si>
  <si>
    <t xml:space="preserve">Ошибка датчиков GS801A, GS802A в ходе операции Отмена Депозита (Deposit Cancel).</t>
  </si>
  <si>
    <t xml:space="preserve">548HA06</t>
  </si>
  <si>
    <t xml:space="preserve">Ошибка датчиков GS801B, GS802A в ходе операции Отмена Депозита (Deposit Cancel).</t>
  </si>
  <si>
    <t xml:space="preserve">548HA07</t>
  </si>
  <si>
    <t xml:space="preserve">Ошибка датчиков GS801A, GS801B, GS802A в ходе операции Отмена Депозита (Deposit Cancel).</t>
  </si>
  <si>
    <t xml:space="preserve">548HA08</t>
  </si>
  <si>
    <t xml:space="preserve">Ошибка датчика GS802B в ходе операции Отмена Депозита (Deposit Cancel).</t>
  </si>
  <si>
    <t xml:space="preserve">548HA09</t>
  </si>
  <si>
    <t xml:space="preserve">Ошибка датчиков GS801A, GS802B в ходе операции Отмена Депозита (Deposit Cancel).</t>
  </si>
  <si>
    <t xml:space="preserve">548HA10</t>
  </si>
  <si>
    <t xml:space="preserve">Ошибка датчиков GS801B, GS802B в ходе операции Отмена Депозита (Deposit Cancel).</t>
  </si>
  <si>
    <t xml:space="preserve">548HA11</t>
  </si>
  <si>
    <t xml:space="preserve">Ошибка датчиков GS801A, GS801B, GS802B в ходе операции Отмена Депозита (Deposit Cancel).</t>
  </si>
  <si>
    <t xml:space="preserve">548HA12</t>
  </si>
  <si>
    <t xml:space="preserve">Ошибка датчиков GS802A, GS802B в ходе операции Отмена Депозита (Deposit Cancel).</t>
  </si>
  <si>
    <t xml:space="preserve">548HA13</t>
  </si>
  <si>
    <t xml:space="preserve">Ошибка датчиков GS801A, GS802A, GS802B в ходе операции Отмена Депозита (Deposit Cancel).</t>
  </si>
  <si>
    <t xml:space="preserve">548HA14</t>
  </si>
  <si>
    <t xml:space="preserve">Ошибка датчиков GS801B, GS802A, GS802B в ходе операции Отмена Депозита (Deposit Cancel).</t>
  </si>
  <si>
    <t xml:space="preserve">548HA15</t>
  </si>
  <si>
    <t xml:space="preserve">Ошибка датчиков GS801A, GS801B, GS802A, GS802B в ходе операции Отмена Депозита (Deposit Cancel).</t>
  </si>
  <si>
    <t xml:space="preserve">548HF03</t>
  </si>
  <si>
    <t xml:space="preserve">Ошибка загрузки данных шейдинга Контактного датчика изображения CIS в ходе операции Отмена Депозита (Deposit Cancel).</t>
  </si>
  <si>
    <t xml:space="preserve">548HF04</t>
  </si>
  <si>
    <t xml:space="preserve">Ошибка загрузки таблицы БД распознавания в ходе операции Отмена Депозита (Deposit Cancel).</t>
  </si>
  <si>
    <t xml:space="preserve">548HF05</t>
  </si>
  <si>
    <t xml:space="preserve">Ошибка контрольной суммы данных ПЛИС Модуля Валидатора банкнот BC в ходе операции Отмена Депозита (Deposit Cancel).</t>
  </si>
  <si>
    <t xml:space="preserve">548HF06</t>
  </si>
  <si>
    <t xml:space="preserve">Ошибка конфигурации ПЛИС Модуля Валидатора банкнот BC в ходе операции Отмена Депозита (Deposit Cancel).</t>
  </si>
  <si>
    <t xml:space="preserve">548HF07</t>
  </si>
  <si>
    <t xml:space="preserve">Ошибка загрузки данных заголовка ПЛИС Модуля Валидатора банкнот BC header в ходе операции Отмена Депозита (Deposit Cancel).</t>
  </si>
  <si>
    <t xml:space="preserve">548HF08</t>
  </si>
  <si>
    <t xml:space="preserve">Ошибка инициализации ПЛИС в ходе операции Отмена Депозита (Deposit Cancel).</t>
  </si>
  <si>
    <t xml:space="preserve">548HF09</t>
  </si>
  <si>
    <t xml:space="preserve">Ошибка чтения ПЛИС в ходе операции Отмена Депозита (Deposit Cancel).</t>
  </si>
  <si>
    <t xml:space="preserve">548HF11</t>
  </si>
  <si>
    <t xml:space="preserve">Ошибка загрузки Базы Данных распознавания #01 в ходе операции Отмена Депозита (Deposit Cancel).</t>
  </si>
  <si>
    <t xml:space="preserve">548HF12</t>
  </si>
  <si>
    <t xml:space="preserve">Ошибка загрузки Базы Данных распознавания #02 в ходе операции Отмена Депозита (Deposit Cancel).</t>
  </si>
  <si>
    <t xml:space="preserve">548HF13</t>
  </si>
  <si>
    <t xml:space="preserve">Ошибка загрузки Базы Данных распознавания #03 в ходе операции Отмена Депозита (Deposit Cancel).</t>
  </si>
  <si>
    <t xml:space="preserve">548HF14</t>
  </si>
  <si>
    <t xml:space="preserve">Ошибка загрузки Базы Данных распознавания #04 в ходе операции Отмена Депозита (Deposit Cancel).</t>
  </si>
  <si>
    <t xml:space="preserve">548HF15</t>
  </si>
  <si>
    <t xml:space="preserve">Ошибка загрузки Базы Данных распознавания #05 в ходе операции Отмена Депозита (Deposit Cancel).</t>
  </si>
  <si>
    <t xml:space="preserve">548HF16</t>
  </si>
  <si>
    <t xml:space="preserve">Ошибка загрузки Базы Данных распознавания #06 в ходе операции Отмена Депозита (Deposit Cancel).</t>
  </si>
  <si>
    <t xml:space="preserve">548HF17</t>
  </si>
  <si>
    <t xml:space="preserve">Ошибка загрузки Базы Данных распознавания #07 в ходе операции Отмена Депозита (Deposit Cancel).</t>
  </si>
  <si>
    <t xml:space="preserve">548HF18</t>
  </si>
  <si>
    <t xml:space="preserve">Ошибка загрузки Базы Данных распознавания #08 в ходе операции Отмена Депозита (Deposit Cancel).</t>
  </si>
  <si>
    <t xml:space="preserve">548HF19</t>
  </si>
  <si>
    <t xml:space="preserve">Ошибка загрузки Базы Данных распознавания #09 в ходе операции Отмена Депозита (Deposit Cancel).</t>
  </si>
  <si>
    <t xml:space="preserve">548HF20</t>
  </si>
  <si>
    <t xml:space="preserve">Ошибка загрузки Базы Данных распознавания #10 в ходе операции Отмена Депозита (Deposit Cancel).</t>
  </si>
  <si>
    <t xml:space="preserve">548HG01</t>
  </si>
  <si>
    <t xml:space="preserve">Ошибка установки режима при выполнении команды BCU mode в ходе операции Отмена Депозита (Deposit Cancel).</t>
  </si>
  <si>
    <t xml:space="preserve">548HG02</t>
  </si>
  <si>
    <t xml:space="preserve">Ошибка установленного уровня распознавания при выполнении команды BCU mode в ходе операции Отмена Депозита (Deposit Cancel).</t>
  </si>
  <si>
    <t xml:space="preserve">548HG03</t>
  </si>
  <si>
    <t xml:space="preserve">Ошибка установки начала транзакции при выполнении команды BCU ready в ходе операции Отмена Депозита (Deposit Cancel).</t>
  </si>
  <si>
    <t xml:space="preserve">548HG04</t>
  </si>
  <si>
    <t xml:space="preserve">Ошибка установки режима при выполнении команды BCU ready в ходе операции Отмена Депозита (Deposit Cancel).</t>
  </si>
  <si>
    <t xml:space="preserve">548HG05</t>
  </si>
  <si>
    <t xml:space="preserve">Ошибка установленного уровня распознавания при выполнении команды BCU ready в ходе операции Отмена Депозита (Deposit Cancel).</t>
  </si>
  <si>
    <t xml:space="preserve">548HG06</t>
  </si>
  <si>
    <t xml:space="preserve">Ошибка направления внесения Модуля Валидатора банкнот BC при выполнении команды BCU ready в ходе операции Отмена Депозита (Deposit Cancel).</t>
  </si>
  <si>
    <t xml:space="preserve">548HG07</t>
  </si>
  <si>
    <t xml:space="preserve">Ошибка получения неопределенной команды Модуля Валидатора банкнот BCU в ходе операции Отмена Депозита (Deposit Cancel).</t>
  </si>
  <si>
    <t xml:space="preserve">548HG08</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</si>
  <si>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Отмена Депозита (Deposit Cancel).</t>
  </si>
  <si>
    <t xml:space="preserve">548HG09</t>
  </si>
  <si>
    <t xml:space="preserve">Ошибка настройки кода страны при выполнении команды записи данных в Модуль Валидатора банкнот BCUв ходе операции Отмена Депозита (Deposit Cancel).</t>
  </si>
  <si>
    <t xml:space="preserve">548HG10</t>
  </si>
  <si>
    <t xml:space="preserve">Ошибка отсутствия БД распознавания для страны в процессе получения команды BCU data write в ходе операции Отмена Депозита (Deposit Cancel).</t>
  </si>
  <si>
    <t xml:space="preserve">548HG11</t>
  </si>
  <si>
    <t xml:space="preserve">Не установлен код страны при получении команды BCU ready в ходе операции Отмена Депозита (Deposit Cancel).</t>
  </si>
  <si>
    <t xml:space="preserve">548HG12</t>
  </si>
  <si>
    <t xml:space="preserve">Спецификация Модуля Валидатора банкнот BC отличается от параметра команды записи данных в ходе операции Отмена Депозита (Deposit Cancel).</t>
  </si>
  <si>
    <t xml:space="preserve">548HG20</t>
  </si>
  <si>
    <t xml:space="preserve">Ошибка инициализации Контактного датчика изображения CIS при получении команды BCU ready в ходе операции Отмена Депозита (Deposit Cancel).</t>
  </si>
  <si>
    <t xml:space="preserve">548HG21</t>
  </si>
  <si>
    <t xml:space="preserve">Ошибка включения при получении команды BCU ready в ходе операции Отмена Депозита (Deposit Cancel).</t>
  </si>
  <si>
    <t xml:space="preserve">548HG22</t>
  </si>
  <si>
    <t xml:space="preserve">Ошибка инициализации датчика DD при получении команды BCU ready в ходе операции Отмена Депозита (Deposit Cancel).</t>
  </si>
  <si>
    <t xml:space="preserve">548HG23</t>
  </si>
  <si>
    <t xml:space="preserve">Ошибка настройки ЦАП Датчика определения сдвоенных банкнот DD при получении команды BCU ready в ходе операции Отмена Депозита (Deposit Cancel).</t>
  </si>
  <si>
    <t xml:space="preserve">548HG24</t>
  </si>
  <si>
    <t xml:space="preserve">Ошибка режима настройки энкодера при получении команды BCU ready в ходе операции Отмена Депозита (Deposit Cancel).</t>
  </si>
  <si>
    <t xml:space="preserve">548HG36</t>
  </si>
  <si>
    <t xml:space="preserve">Ошибка режима распознавания при выполнении команды receiving BCU mode в ходе операции Отмена Депозита (Deposit Cancel).</t>
  </si>
  <si>
    <t xml:space="preserve">548HG37</t>
  </si>
  <si>
    <t xml:space="preserve">Ошибка настроек транзакции при выполнении команды receiving BCU mode в ходе операции Отмена Депозита (Deposit Cancel).</t>
  </si>
  <si>
    <t xml:space="preserve">548HI01</t>
  </si>
  <si>
    <t xml:space="preserve">Ошибка тайм-аута RecogTask Message в ходе операции Отмена Депозита (Deposit Cancel).</t>
  </si>
  <si>
    <t xml:space="preserve">548HI02</t>
  </si>
  <si>
    <t xml:space="preserve">Ошибка тайм-аута ScanTask Message в ходе операции Отмена Депозита (Deposit Cancel).</t>
  </si>
  <si>
    <t xml:space="preserve">548HI03</t>
  </si>
  <si>
    <t xml:space="preserve">Ошибка тайм-аута UartTask Message в ходе операции Отмена Депозита (Deposit Cancel).</t>
  </si>
  <si>
    <t xml:space="preserve">548HI04</t>
  </si>
  <si>
    <t xml:space="preserve">Ошибка тайм-аута BcUsbTask Message в ходе операции Отмена Депозита (Deposit Cancel).</t>
  </si>
  <si>
    <t xml:space="preserve">548HJ01</t>
  </si>
  <si>
    <t xml:space="preserve">Ошибка инициализации алгоритма распознавания в ходе операции Отмена Депозита (Deposit Cancel).</t>
  </si>
  <si>
    <t xml:space="preserve">548HJ02</t>
  </si>
  <si>
    <t xml:space="preserve">Ошибка готовности Алгоритма Распознавания в ходе операции Отмена Депозита (Deposit Cancel).</t>
  </si>
  <si>
    <t xml:space="preserve">548HJ03</t>
  </si>
  <si>
    <t xml:space="preserve">Ошибка алгоритма распознавания набора валют в ходе операции Отмена Депозита (Deposit Cancel).</t>
  </si>
  <si>
    <t xml:space="preserve">548HS01</t>
  </si>
  <si>
    <t xml:space="preserve">Ошибка ПЛИС Write Scan Driver Init в ходе операции Отмена Депозита (Deposit Cancel).</t>
  </si>
  <si>
    <t xml:space="preserve">548HS02</t>
  </si>
  <si>
    <t xml:space="preserve">Ошибка Sensor (MR/UV/DD/Gate) Power Off Scan Driver Init в ходе операции Отмена Депозита (Deposit Cancel).</t>
  </si>
  <si>
    <t xml:space="preserve">548HS03</t>
  </si>
  <si>
    <t xml:space="preserve">Ошибка Контактного датчика изображения CIS Led On Value Set Fail Scan Driver Init в ходе операции Отмена Депозита (Deposit Cancel).</t>
  </si>
  <si>
    <t xml:space="preserve">548HS04</t>
  </si>
  <si>
    <t xml:space="preserve">Ошибка Источника Света Set Fail Scan Driver Init в ходе операции Отмена Депозита (Deposit Cancel).</t>
  </si>
  <si>
    <t xml:space="preserve">548HS05</t>
  </si>
  <si>
    <t xml:space="preserve">Ошибка Контактного датчика изображения CIS Shading Scan Driver Init в ходе операции Отмена Депозита (Deposit Cancel).</t>
  </si>
  <si>
    <t xml:space="preserve">548HS08</t>
  </si>
  <si>
    <t xml:space="preserve">Ошибка ЦАП Set Fail Scan Driver Init в ходе операции Отмена Депозита (Deposit Cancel).</t>
  </si>
  <si>
    <t xml:space="preserve">548HS11</t>
  </si>
  <si>
    <t xml:space="preserve">Ошибка ПЛИС Write BCU Ready в ходе операции Отмена Депозита (Deposit Cancel).</t>
  </si>
  <si>
    <t xml:space="preserve">548HS12</t>
  </si>
  <si>
    <t xml:space="preserve">Ошибка Sensor (MR/UV/DD/Gate) Power Off BCU Ready в ходе операции Отмена Депозита (Deposit Cancel).</t>
  </si>
  <si>
    <t xml:space="preserve">548HS13</t>
  </si>
  <si>
    <t xml:space="preserve">Ошибка Контактного датчика изображения CIS Led On Value Set Fail BCU Ready в ходе операции Отмена Депозита (Deposit Cancel).</t>
  </si>
  <si>
    <t xml:space="preserve">548HS14</t>
  </si>
  <si>
    <t xml:space="preserve">Ошибка Источника Света Set Fail BCU Ready в ходе операции Отмена Депозита (Deposit Cancel).</t>
  </si>
  <si>
    <t xml:space="preserve">548HS15</t>
  </si>
  <si>
    <t xml:space="preserve">Ошибка Контактного датчика изображения CIS Shading BCU Ready в ходе операции Отмена Депозита (Deposit Cancel).</t>
  </si>
  <si>
    <t xml:space="preserve">548HS17</t>
  </si>
  <si>
    <t xml:space="preserve">Ошибка AFE Chip Set BCU Ready в ходе операции Отмена Депозита (Deposit Cancel).</t>
  </si>
  <si>
    <t xml:space="preserve">548HS18</t>
  </si>
  <si>
    <t xml:space="preserve">Ошибка ЦАП Set Fail BCU Ready в ходе операции Отмена Депозита (Deposit Cancel).</t>
  </si>
  <si>
    <t xml:space="preserve">548HS19</t>
  </si>
  <si>
    <t xml:space="preserve">Ошибка MR/UV/DD Sampling BCU Ready в ходе операции Отмена Депозита (Deposit Cancel).</t>
  </si>
  <si>
    <t xml:space="preserve">548HS1A</t>
  </si>
  <si>
    <t xml:space="preserve">Ошибка ЦАП Датчика Холла Set Fail BCU Ready в ходе операции Отмена Депозита (Deposit Cancel).</t>
  </si>
  <si>
    <t xml:space="preserve">548HS1B</t>
  </si>
  <si>
    <t xml:space="preserve">Ошибка Датчика Холла Shading Fail BCU Ready в ходе операции Отмена Депозита (Deposit Cancel).</t>
  </si>
  <si>
    <t xml:space="preserve">548HS22</t>
  </si>
  <si>
    <t xml:space="preserve">Ошибка Модуля Валидатора BC Stop Sensor (MR/UV/DD/Gate) Power Off Scan Driver Init в ходе операции Отмена Депозита (Deposit Cancel).</t>
  </si>
  <si>
    <t xml:space="preserve">548HS28</t>
  </si>
  <si>
    <t xml:space="preserve">Ошибка Модуля Валидатора BC Stop DAC Set Fail Scan Driver Init в ходе операции Отмена Депозита (Deposit Cancel).</t>
  </si>
  <si>
    <t xml:space="preserve">548HS29</t>
  </si>
  <si>
    <t xml:space="preserve">Ошибка Модуля Валидатора BC Stop MR/UV/DD Sampling BCU Ready в ходе операции Отмена Депозита (Deposit Cancel).</t>
  </si>
  <si>
    <t xml:space="preserve">548R100</t>
  </si>
  <si>
    <t xml:space="preserve">Модуль Валидатора BC вернул ошибку таймаута сообщения в ходе готовности к операции Отмена Депозита (Deposit Cancel).</t>
  </si>
  <si>
    <t xml:space="preserve">548R200</t>
  </si>
  <si>
    <t xml:space="preserve">Модуль Валидатора BC вернул ошибку таймаута сообщения при проведении транзакции в ходе операции Отмена Депозита (Deposit Cancel).</t>
  </si>
  <si>
    <t xml:space="preserve">548R300</t>
  </si>
  <si>
    <t xml:space="preserve">Модуль Валидатора BC вернул ошибку таймаута сообщения в ходе постпроцессинга ошибки операции Отмена Депозита (Deposit Cancel Error).</t>
  </si>
  <si>
    <t xml:space="preserve">548R900</t>
  </si>
  <si>
    <t xml:space="preserve">Модуль Валидатора BC вернул ошибку таймаута сообщения в ходе операции Отмена Депозита (Deposit Cancel).</t>
  </si>
  <si>
    <t xml:space="preserve">548S100</t>
  </si>
  <si>
    <t xml:space="preserve">Получена неправильная Информация о памяти MI от Модуля Валидатора банкнот BC в ходе операции Отмена Депозита (Deposit Cancel).</t>
  </si>
  <si>
    <t xml:space="preserve">548S200</t>
  </si>
  <si>
    <t xml:space="preserve">Получен ненормальный BCC от Модуля Валидатора банкнот в ходе операции Отмена Депозита (Deposit Cancel).</t>
  </si>
  <si>
    <t xml:space="preserve">548S400</t>
  </si>
  <si>
    <t xml:space="preserve">Получена ошибка ETC. от Модуля Валидатора банкнот BC в ходе операции Отмена Депозита (Deposit Cancel).</t>
  </si>
  <si>
    <t xml:space="preserve">548S900</t>
  </si>
  <si>
    <t xml:space="preserve">Датчик Кассеты Отбраковки RJC GSA03 сообщил об ошибке замятия по Темному типу в ходе операции Отмена Депозита (Deposit Cancel).</t>
  </si>
  <si>
    <t xml:space="preserve">Датчик Кассеты Отбраковки RJC GSA05 сообщил об ошибке замятия по Темному типу druing Отмена Депозита (Deposit Cancel).</t>
  </si>
  <si>
    <t xml:space="preserve">549J100</t>
  </si>
  <si>
    <t xml:space="preserve">Переполненная Кассета Отбраковки RJC в ходе операции Отмена Депозита (Deposit Cancel).</t>
  </si>
  <si>
    <t xml:space="preserve">549P100</t>
  </si>
  <si>
    <t xml:space="preserve">Ошибка мотора Кассеты Отбраковки RJC в ходе операции Отмена Депозита (Deposit Cancel).</t>
  </si>
  <si>
    <t xml:space="preserve">549R100</t>
  </si>
  <si>
    <t xml:space="preserve">Ошибка тайм-аута сообщения Кассеты Отбраковки RJC в ходе готовности к операции Отмена Депозита (Deposit Cancel).</t>
  </si>
  <si>
    <t xml:space="preserve">549R200</t>
  </si>
  <si>
    <t xml:space="preserve">Ошибка тайм-аута сообщения Кассеты Отбраковки RJC при проведении транзакции в ходе операции Отмена Депозита (Deposit Cancel).</t>
  </si>
  <si>
    <t xml:space="preserve">549R300</t>
  </si>
  <si>
    <t xml:space="preserve">Ошибка тайм-аута сообщения Кассеты Отбраковки RJC в ходе постпроцессинга ошибки операции Отмена Депозита (Deposit Cancel Error).</t>
  </si>
  <si>
    <t xml:space="preserve">54A2100</t>
  </si>
  <si>
    <t xml:space="preserve">Оставшиеся банкноты в Возвращающем Транспортном Тракте (GS801) перед выполнением операции Отмена Депозита (Deposit Cancel).</t>
  </si>
  <si>
    <t xml:space="preserve">54A2200</t>
  </si>
  <si>
    <t xml:space="preserve">Оставшиеся банкноты в Возвращающем Транспортном Тракте (GS002) перед выполнением операции Отмена Депозита (Deposit Cancel).</t>
  </si>
  <si>
    <t xml:space="preserve">54A2300</t>
  </si>
  <si>
    <t xml:space="preserve">Оставшиеся банкноты в Возвращающем Транспортном Тракте (GS003) перед выполнением операции Отмена Депозита (Deposit Cancel).</t>
  </si>
  <si>
    <t xml:space="preserve">54A2400</t>
  </si>
  <si>
    <t xml:space="preserve">Оставшиеся банкноты в Возвращающем Транспортном Тракте (GS004) перед выполнением операции Отмена Депозита (Deposit Cancel).</t>
  </si>
  <si>
    <t xml:space="preserve">54A2500</t>
  </si>
  <si>
    <t xml:space="preserve">Оставшиеся банкноты в Возвращающем Транспортном Тракте (GS005) перед выполнением операции Отмена Депозита (Deposit Cancel).</t>
  </si>
  <si>
    <t xml:space="preserve">54A2600</t>
  </si>
  <si>
    <t xml:space="preserve">Оставшиеся банкноты в Возвращающем Транспортном Тракте (GS006) перед выполнением операции Отмена Депозита (Deposit Cancel).</t>
  </si>
  <si>
    <t xml:space="preserve">54A2A00</t>
  </si>
  <si>
    <t xml:space="preserve">Оставшиеся банкноты в Возвращающем Транспортном Тракте (GS021) перед выполнением операции Отмена Депозита (Deposit Cancel).</t>
  </si>
  <si>
    <t xml:space="preserve">54A2B00</t>
  </si>
  <si>
    <t xml:space="preserve">Оставшиеся банкноты в Возвращающем Транспортном Тракте (GS022) перед выполнением операции Отмена Депозита (Deposit Cancel).</t>
  </si>
  <si>
    <t xml:space="preserve">54A2C00</t>
  </si>
  <si>
    <t xml:space="preserve">Произошла ошибка оставшихся банкнот в Модуле Валидатора банкнот BCU (Контактный датчик изображения CIS) в ходе операции Отмена Депозита (Deposit Cancel).</t>
  </si>
  <si>
    <t xml:space="preserve">54A2G00</t>
  </si>
  <si>
    <t xml:space="preserve">Оставшиеся банкноты в Возвращающем Транспортном Тракте (GS614) перед выполнением операции Отмена Депозита (Deposit Cancel).</t>
  </si>
  <si>
    <t xml:space="preserve">54A2H00</t>
  </si>
  <si>
    <t xml:space="preserve">Оставшиеся банкноты в Возвращающем Транспортном Тракте (GS618) перед выполнением операции Отмена Депозита (Deposit Cancel).</t>
  </si>
  <si>
    <t xml:space="preserve">54A2J00</t>
  </si>
  <si>
    <t xml:space="preserve">Оставшиеся банкноты в Возвращающем Транспортном Тракте (GS619) перед выполнением операции Отмена Депозита (Deposit Cancel).</t>
  </si>
  <si>
    <t xml:space="preserve">54A2K00</t>
  </si>
  <si>
    <t xml:space="preserve">Оставшиеся банкноты в Транспортном Тракте (GS703) перед выполнением операции Отмена Депозита (Deposit Cancel).</t>
  </si>
  <si>
    <t xml:space="preserve">54A2M00</t>
  </si>
  <si>
    <t xml:space="preserve">Оставшиеся банкноты в Транспортном Тракте (GS031) перед выполнением операции Отмена Депозита (Deposit Cancel).</t>
  </si>
  <si>
    <t xml:space="preserve">54A2N00</t>
  </si>
  <si>
    <t xml:space="preserve">Оставшиеся банкноты в Возвращающем Транспортном Тракте (GS032) перед выполнением операции Отмена Депозита (Deposit Cancel).</t>
  </si>
  <si>
    <t xml:space="preserve">54A2P00</t>
  </si>
  <si>
    <t xml:space="preserve">Оставшиеся банкноты в Возвращающем Транспортном Тракте (GS033) перед выполнением операции Отмена Депозита (Deposit Cancel).</t>
  </si>
  <si>
    <t xml:space="preserve">54A2Q00</t>
  </si>
  <si>
    <t xml:space="preserve">Оставшиеся банкноты в Возвращающем Транспортном Тракте (GS034) перед выполнением операции Отмена Депозита (Deposit Cancel).</t>
  </si>
  <si>
    <t xml:space="preserve">54A2W00</t>
  </si>
  <si>
    <t xml:space="preserve">Оставшиеся банкноты в Возвращающем Транспортном Тракте (GS802) перед выполнением операции Отмена Депозита (Deposit Cancel).</t>
  </si>
  <si>
    <t xml:space="preserve">54AA100</t>
  </si>
  <si>
    <t xml:space="preserve">Вынутое состояние Вспомогательной (невостребованных/фальшивых банкнот) Кассеты UTC перед выполнением операции Отмена Депозита (Deposit Cancel).</t>
  </si>
  <si>
    <t xml:space="preserve">54AA200</t>
  </si>
  <si>
    <t xml:space="preserve">Модуль временного хранения открыт перед выполнением операции Отмена Депозита (Deposit Cancel).</t>
  </si>
  <si>
    <t xml:space="preserve">54AA300</t>
  </si>
  <si>
    <t xml:space="preserve">Отстыкованное состояние концевого переключателя (inter lock) Верхней части Модуля Рециркуляции Банкнот BMU перед выполнением операции Отмена Депозита (Deposit Cancel).</t>
  </si>
  <si>
    <t xml:space="preserve">54AA400</t>
  </si>
  <si>
    <t xml:space="preserve">Выдвинутое состояние Верхней части Модуля Рециркуляции Банкнот BMU перед выполнением операции Отмена Депозита (Deposit Cancel).</t>
  </si>
  <si>
    <t xml:space="preserve">54AA600</t>
  </si>
  <si>
    <t xml:space="preserve">Открыт Модуль обслуживания клиентов CSM перед выполнением операции Отмена Депозита (Deposit Cancel).</t>
  </si>
  <si>
    <t xml:space="preserve">54AA700</t>
  </si>
  <si>
    <t xml:space="preserve">Вынутое состояние Кассеты Отбраковки RJC перед выполнением операции Отмена Депозита (Deposit Cancel).</t>
  </si>
  <si>
    <t xml:space="preserve">54AA800</t>
  </si>
  <si>
    <t xml:space="preserve">Отстыкованное состояние концевого переключателя (inter lock) Нижней части Модуля Рециркуляции Банкнот BMD перед выполнением операции Отмена Депозита (Deposit Cancel).</t>
  </si>
  <si>
    <t xml:space="preserve">54AA900</t>
  </si>
  <si>
    <t xml:space="preserve">Выдвинутое состояние Нижней части Модуля Рециркуляции Банкнот BMD перед выполнением операции Отмена Депозита (Deposit Cancel).</t>
  </si>
  <si>
    <t xml:space="preserve">54AAA00</t>
  </si>
  <si>
    <t xml:space="preserve">Ошибка открытия Модуля Валидатора банкнот BC в ходе операции Отмена Депозита (Deposit Cancel).</t>
  </si>
  <si>
    <t xml:space="preserve">54AAB00</t>
  </si>
  <si>
    <t xml:space="preserve">Переполненная Кассета Рециркуляции RC перед выполнением операции Отмена Депозита (Deposit Cancel).</t>
  </si>
  <si>
    <t xml:space="preserve">54AAC00</t>
  </si>
  <si>
    <t xml:space="preserve">Переполненная Кассета Отбраковки RJC перед выполнением операции Отмена Депозита (Deposit Cancel).</t>
  </si>
  <si>
    <t xml:space="preserve">54AAD00</t>
  </si>
  <si>
    <t xml:space="preserve">Переполненная Вспомогательная кассета UTC1 перед выполнением операции Отмена Депозита (Deposit Cancel).</t>
  </si>
  <si>
    <t xml:space="preserve">54AAE00</t>
  </si>
  <si>
    <t xml:space="preserve">Переполненная Вспомогательная кассета UTC2 перед выполнением операции Отмена Депозита (Deposit Cancel).</t>
  </si>
  <si>
    <t xml:space="preserve">54AAF00</t>
  </si>
  <si>
    <t xml:space="preserve">Пустая Кассета Рециркуляции RC перед выполнением операции Отмена Депозита (Deposit Cancel).</t>
  </si>
  <si>
    <t xml:space="preserve">54AAG00</t>
  </si>
  <si>
    <t xml:space="preserve">Вынутое состояние Кассеты Рециркуляции RC при сохранении подозрительных банкнот перед выполнением операции Отмена Депозита (Deposit Cancel).</t>
  </si>
  <si>
    <t xml:space="preserve">1. Откройте нижнюю часть Модуля Рециркуляции Банкнот 2. Откройте Средний Транспортный Тракт 3. Проверьте вставлена ли Кассета Рециркуляции</t>
  </si>
  <si>
    <t xml:space="preserve">54AAJ00</t>
  </si>
  <si>
    <t xml:space="preserve">Вынутое состояние Кассеты Рециркуляции RC при сохранении нетипичных серийных номеров перед выполнением операции Отмена Депозита (Deposit Cancel).</t>
  </si>
  <si>
    <t xml:space="preserve">54AE100</t>
  </si>
  <si>
    <t xml:space="preserve">Получена операция без выполнения команды установки начальных данных (Initail Info Set) в ходе операции Отмена Депозита (Deposit Cancel).</t>
  </si>
  <si>
    <t xml:space="preserve">54AE200</t>
  </si>
  <si>
    <t xml:space="preserve">Состояние not operation при получении команды в ходе операции Отмена Депозита (Deposit Cancel).</t>
  </si>
  <si>
    <t xml:space="preserve">54AE300</t>
  </si>
  <si>
    <t xml:space="preserve">Получена команда выполнения без выполнения операции Чтение Системных Данных (Read System Info) в ходе операции Отмена Депозита (Deposit Cancel).</t>
  </si>
  <si>
    <t xml:space="preserve">54AE400</t>
  </si>
  <si>
    <t xml:space="preserve">Транзакция Отмена Депозита (Deposit Cancel) была выполнена без Инициализации после включения питания.</t>
  </si>
  <si>
    <t xml:space="preserve">54AE600</t>
  </si>
  <si>
    <t xml:space="preserve">Ошибка обработки операции Отмена Депозита (Deposit Cancel) в ходе операции Работа кнопки TE (TE Button Operating).</t>
  </si>
  <si>
    <t xml:space="preserve">54AEE00</t>
  </si>
  <si>
    <t xml:space="preserve">Нарушение последовательности сообщений интерфейса RS485 платы контроллера RBU в ходе операции Отмена Депозита (Deposit Cancel).</t>
  </si>
  <si>
    <t xml:space="preserve">54AEF00</t>
  </si>
  <si>
    <t xml:space="preserve">Нарушение линии связи интерфейса RS485 платы контроллера RBU в ходе операции Отмена Депозита (Deposit Cancel).</t>
  </si>
  <si>
    <t xml:space="preserve">54AH500</t>
  </si>
  <si>
    <t xml:space="preserve">Ошибка Чтения/Записи памяти NVRAM (128 деноминаций) в ходе операции Отмена Депозита (Deposit Cancel).</t>
  </si>
  <si>
    <t xml:space="preserve">54AL100</t>
  </si>
  <si>
    <t xml:space="preserve">Банкноты отсутствуют в Модуле временного хранения CSM при повторной попытке операции Отмена Депозита (Deposit Cancel) с авто-восстановлением из-за ошибки в ходе операции Отмена Депозита (Deposit Cancel).</t>
  </si>
  <si>
    <t xml:space="preserve">54ANC00</t>
  </si>
  <si>
    <t xml:space="preserve">Несоответствие счетчика банкнот, разделенных из Модуля временного хранения_TE после операции Отмена Депозита (Deposit Cancel) и укладки банкнот в Модуль обслуживания клиентов CSM + Отсек UTC2 Вспомогательной кассеты + Кассеты подозрительных банкот после операции Отмена Депозита (Deposit Cancel).</t>
  </si>
  <si>
    <t xml:space="preserve">54AND00</t>
  </si>
  <si>
    <t xml:space="preserve">Несоответствие счетчика банкнот, разделенных из Модуля временного хранения_TE после операции Отмена Депозита (Deposit Cancel) aи укладки банкнот в TE после операции Отмена Депозита (Deposit Cancel).</t>
  </si>
  <si>
    <t xml:space="preserve">54AR100</t>
  </si>
  <si>
    <t xml:space="preserve">Возвращена ошибка таймаута сообщения в ходе готовности к операции Отмена Депозита (Deposit Cancel).</t>
  </si>
  <si>
    <t xml:space="preserve">54AR200</t>
  </si>
  <si>
    <t xml:space="preserve">Возвращена ошибка таймаута сообщения при проведении транзакции в ходе операции Отмена Депозита (Deposit Cancel).</t>
  </si>
  <si>
    <t xml:space="preserve">54AR300</t>
  </si>
  <si>
    <t xml:space="preserve">Возвращена ошибка таймаута сообщения в ходе постпроцессинга ошибки операции Отмена Депозита (Deposit Cancel Error).</t>
  </si>
  <si>
    <t xml:space="preserve">54AR700</t>
  </si>
  <si>
    <t xml:space="preserve">Возвращена ошибка таймаута сообщения от контроллера RBU в ходе операции Отмена Депозита (Deposit Cancel).</t>
  </si>
  <si>
    <t xml:space="preserve">54AR900</t>
  </si>
  <si>
    <t xml:space="preserve">Ошибка таймаута сообщения готовности к укладке в процессе автовосстановления в ходе операции Отмена Депозита (Deposit Cancel).</t>
  </si>
  <si>
    <t xml:space="preserve">54ARA00</t>
  </si>
  <si>
    <t xml:space="preserve">Ошибка таймаута сообщения возврата банкнот BM в процессе автовосстановления в ходе операции Отмена Депозита (Deposit Cancel).</t>
  </si>
  <si>
    <t xml:space="preserve">54ARB00</t>
  </si>
  <si>
    <t xml:space="preserve">Возвращена ошибка таймаута сообщения при обработке банкнот оставшихся при авто-восстановлении в ходе операции Отмена Депозита (Deposit Cancel).</t>
  </si>
  <si>
    <t xml:space="preserve">54ARC00</t>
  </si>
  <si>
    <t xml:space="preserve">54ARJ00</t>
  </si>
  <si>
    <t xml:space="preserve">Возвращена ошибка таймаута сообщения в ходе операции Начало Остановки (Stop Ready) в ходе операции Отмена Депозита (Deposit Cancel).</t>
  </si>
  <si>
    <t xml:space="preserve">54BH100</t>
  </si>
  <si>
    <t xml:space="preserve">Ошибка чтения памяти EEPROM Кассеты Рециркуляции RC1 в ходе операции Отмена Депозита (Deposit Cancel).</t>
  </si>
  <si>
    <t xml:space="preserve">54BH200</t>
  </si>
  <si>
    <t xml:space="preserve">Ошибка чтения памяти EEPROM Кассеты Рециркуляции RC2 в ходе операции Отмена Депозита (Deposit Cancel).</t>
  </si>
  <si>
    <t xml:space="preserve">54BH300</t>
  </si>
  <si>
    <t xml:space="preserve">Ошибка чтения памяти EEPROM Кассеты Рециркуляции RC3 в ходе операции Отмена Депозита (Deposit Cancel).</t>
  </si>
  <si>
    <t xml:space="preserve">54BH400</t>
  </si>
  <si>
    <t xml:space="preserve">Ошибка чтения памяти EEPROM Кассеты Рециркуляции RC4 в ходе операции Отмена Депозита (Deposit Cancel).</t>
  </si>
  <si>
    <t xml:space="preserve">54BH500</t>
  </si>
  <si>
    <t xml:space="preserve">Ошибка чтения памяти EEPROM Кассеты Рециркуляции RC5 в ходе операции Отмена Депозита (Deposit Cancel).</t>
  </si>
  <si>
    <t xml:space="preserve">54BH600</t>
  </si>
  <si>
    <t xml:space="preserve">Ошибка записи памяти EEPROM Кассеты Рециркуляции RC1 в ходе операции Отмена Депозита (Deposit Cancel).</t>
  </si>
  <si>
    <t xml:space="preserve">54BH700</t>
  </si>
  <si>
    <t xml:space="preserve">Ошибка записи памяти EEPROM Кассеты Рециркуляции RC2 в ходе операции Отмена Депозита (Deposit Cancel).</t>
  </si>
  <si>
    <t xml:space="preserve">54BH800</t>
  </si>
  <si>
    <t xml:space="preserve">Ошибка записи памяти EEPROM Кассеты Рециркуляции RC3 в ходе операции Отмена Депозита (Deposit Cancel).</t>
  </si>
  <si>
    <t xml:space="preserve">54BH900</t>
  </si>
  <si>
    <t xml:space="preserve">Ошибка записи памяти EEPROM Кассеты Рециркуляции RC4 в ходе операции Отмена Депозита (Deposit Cancel).</t>
  </si>
  <si>
    <t xml:space="preserve">54BHA00</t>
  </si>
  <si>
    <t xml:space="preserve">Ошибка записи памяти EEPROM Кассеты Рециркуляции RC5 в ходе операции Отмена Депозита (Deposit Cancel).</t>
  </si>
  <si>
    <t xml:space="preserve">54BHB00</t>
  </si>
  <si>
    <t xml:space="preserve">Ошибка проверки данных памяти EEPROM Кассеты Рециркуляции RC1 в ходе операции Отмена Депозита (Deposit Cancel).</t>
  </si>
  <si>
    <t xml:space="preserve">54BHC00</t>
  </si>
  <si>
    <t xml:space="preserve">Ошибка проверки данных памяти EEPROM Кассеты Рециркуляции RC2 в ходе операции Отмена Депозита (Deposit Cancel).</t>
  </si>
  <si>
    <t xml:space="preserve">54BHD00</t>
  </si>
  <si>
    <t xml:space="preserve">Ошибка проверки данных памяти EEPROM Кассеты Рециркуляции RC3 в ходе операции Отмена Депозита (Deposit Cancel).</t>
  </si>
  <si>
    <t xml:space="preserve">54BHE00</t>
  </si>
  <si>
    <t xml:space="preserve">Ошибка проверки данных памяти EEPROM Кассеты Рециркуляции RC4 в ходе операции Отмена Депозита (Deposit Cancel).</t>
  </si>
  <si>
    <t xml:space="preserve">54BHF00</t>
  </si>
  <si>
    <t xml:space="preserve">Ошибка проверки данных памяти EEPROM Кассеты Рециркуляции RC5 в ходе операции Отмена Депозита (Deposit Cancel).</t>
  </si>
  <si>
    <t xml:space="preserve">54BHG00</t>
  </si>
  <si>
    <t xml:space="preserve">Не обнаружен концевой переключатель (интерлок) при Чтении/Записи памяти EEPROM Кассеты Рециркуляции RC в ходе операции Отмена Депозита (Deposit Cancel).</t>
  </si>
  <si>
    <t xml:space="preserve">54BR000</t>
  </si>
  <si>
    <t xml:space="preserve">Превышено время ожидание ответа платы контроллера RBU в ходе операции Отмена Депозита (Deposit Cancel).</t>
  </si>
  <si>
    <t xml:space="preserve">54BR700</t>
  </si>
  <si>
    <t xml:space="preserve">Контроллер RBU вернул ошибку таймаута сообщения в ходе операции Отмена Депозита (Deposit Cancel).</t>
  </si>
  <si>
    <t xml:space="preserve">54BS000</t>
  </si>
  <si>
    <t xml:space="preserve">Ошибка таймаута связи контроллера RBU в ходе операции Отмена Депозита (Deposit Cancel).</t>
  </si>
  <si>
    <t xml:space="preserve">54BS100</t>
  </si>
  <si>
    <t xml:space="preserve">Ошибка последовательности сообщений платы контроллера RBU в ходе операции Отмена Депозита (Deposit Cancel).</t>
  </si>
  <si>
    <t xml:space="preserve">54BS200</t>
  </si>
  <si>
    <t xml:space="preserve">Ошибка Информации о памяти MI в ходе соединения контроллера RBU в ходе операции Отмена Депозита (Deposit Cancel).</t>
  </si>
  <si>
    <t xml:space="preserve">54US100</t>
  </si>
  <si>
    <t xml:space="preserve">Ошибка дублирования номера последовательности USB в ходе операции Отмена Депозита (Deposit Cancel).</t>
  </si>
  <si>
    <t xml:space="preserve">54US300</t>
  </si>
  <si>
    <t xml:space="preserve">Ошибка длины данных команды USB  в ходе операции Отмена Депозита (Deposit Cancel).</t>
  </si>
  <si>
    <t xml:space="preserve">Произошла ошибка оставшихся банкнот в области датчика GS801 в ходе операции Начало Выдачи (Withdrawal Ready).</t>
  </si>
  <si>
    <t xml:space="preserve">Произошла ошибка оставшихся банкнот в области датчика GS002 в ходе операции Начало Выдачи (Withdrawal Ready).</t>
  </si>
  <si>
    <t xml:space="preserve">Произошла ошибка оставшихся банкнот в области датчика GS003 в ходе операции Начало Выдачи (Withdrawal Ready).</t>
  </si>
  <si>
    <t xml:space="preserve">Произошла ошибка оставшихся банкнот в области датчика GS004 в ходе операции Начало Выдачи (Withdrawal Ready).</t>
  </si>
  <si>
    <t xml:space="preserve">Произошла ошибка оставшихся банкнот в области датчика GS005 в ходе операции Начало Выдачи (Withdrawal Ready).</t>
  </si>
  <si>
    <t xml:space="preserve">Произошла ошибка оставшихся банкнот в области датчика GS006 в ходе операции Начало Выдачи (Withdrawal Ready).</t>
  </si>
  <si>
    <t xml:space="preserve">5602A00</t>
  </si>
  <si>
    <t xml:space="preserve">Произошла ошибка оставшихся банкнот в области датчика GS021 в ходе операции Начало Выдачи (Withdrawal Ready).</t>
  </si>
  <si>
    <t xml:space="preserve">5602B00</t>
  </si>
  <si>
    <t xml:space="preserve">Произошла ошибка оставшихся банкнот в области датчика GS022 в ходе операции Начало Выдачи (Withdrawal Ready).</t>
  </si>
  <si>
    <t xml:space="preserve">5602G00</t>
  </si>
  <si>
    <t xml:space="preserve">Произошла ошибка оставшихся банкнот в области датчика GS614 в ходе операции Начало Выдачи (Withdrawal Ready).</t>
  </si>
  <si>
    <t xml:space="preserve">5602H00</t>
  </si>
  <si>
    <t xml:space="preserve">Произошла ошибка оставшихся банкнот в области датчика GS618 в ходе операции Начало Выдачи (Withdrawal Ready).</t>
  </si>
  <si>
    <t xml:space="preserve">5602J00</t>
  </si>
  <si>
    <t xml:space="preserve">Произошла ошибка оставшихся банкнот в области датчика GS619 в ходе операции Начало Выдачи (Withdrawal Ready).</t>
  </si>
  <si>
    <t xml:space="preserve">5602K00</t>
  </si>
  <si>
    <t xml:space="preserve">Произошла ошибка оставшихся банкнот в области датчика GS703 в ходе операции Начало Выдачи (Withdrawal Ready).</t>
  </si>
  <si>
    <t xml:space="preserve">5602M00</t>
  </si>
  <si>
    <t xml:space="preserve">Произошла ошибка оставшихся банкнот в области датчика GS031 в ходе операции Начало Выдачи (Withdrawal Ready).</t>
  </si>
  <si>
    <t xml:space="preserve">5602N00</t>
  </si>
  <si>
    <t xml:space="preserve">Произошла ошибка оставшихся банкнот в области датчика GS032 в ходе операции Начало Выдачи (Withdrawal Ready).</t>
  </si>
  <si>
    <t xml:space="preserve">5602P00</t>
  </si>
  <si>
    <t xml:space="preserve">Произошла ошибка оставшихся банкнот в области датчика GS033 в ходе операции Начало Выдачи (Withdrawal Ready).</t>
  </si>
  <si>
    <t xml:space="preserve">5602Q00</t>
  </si>
  <si>
    <t xml:space="preserve">Произошла ошибка оставшихся банкнот в области датчика GS034 в ходе операции Начало Выдачи (Withdrawal Ready).</t>
  </si>
  <si>
    <t xml:space="preserve">5602W00</t>
  </si>
  <si>
    <t xml:space="preserve">Произошла ошибка оставшихся банкнот в области датчика GS802 в ходе операции Начало Выдачи (Withdrawal Ready).</t>
  </si>
  <si>
    <t xml:space="preserve">560F100</t>
  </si>
  <si>
    <t xml:space="preserve">Ошибка motor removal error двигателя GM001 в ходе операции Начало Выдачи (Withdrawal Ready).</t>
  </si>
  <si>
    <t xml:space="preserve">560F200</t>
  </si>
  <si>
    <t xml:space="preserve">Ошибка motor removal error двигателя GM002 в ходе операции Начало Выдачи (Withdrawal Ready).</t>
  </si>
  <si>
    <t xml:space="preserve">560F400</t>
  </si>
  <si>
    <t xml:space="preserve">Ошибка motor removal error двигателя GM004 в ходе операции Начало Выдачи (Withdrawal Ready).</t>
  </si>
  <si>
    <t xml:space="preserve">560F500</t>
  </si>
  <si>
    <t xml:space="preserve">Снижено кол-во счетов энкодера двигателя GM001 относительно предыдущих значений в ходе операции Начало Выдачи (Withdrawal Ready).</t>
  </si>
  <si>
    <t xml:space="preserve">560F600</t>
  </si>
  <si>
    <t xml:space="preserve">Снижено кол-во счетов энкодера двигателя GM002 относительно предыдущих значений в ходе операции Начало Выдачи (Withdrawal Ready).</t>
  </si>
  <si>
    <t xml:space="preserve">560F700</t>
  </si>
  <si>
    <t xml:space="preserve">Уменьшенное значение счетчика энкодера дсигателя GM004 по сравнению с предыдущим значением в ходе операции Начало Выдачи (Withdrawal Ready).</t>
  </si>
  <si>
    <t xml:space="preserve">560G100</t>
  </si>
  <si>
    <t xml:space="preserve">Не удалось переключить 3-х направленный Затвор Тракта в режим 0-го градуса в ходе операции Начало Выдачи (Withdrawal Ready).</t>
  </si>
  <si>
    <t xml:space="preserve">560G200</t>
  </si>
  <si>
    <t xml:space="preserve">Не удалось переключить 3-х направленный Затвор Тракта в 120 градусный режим в ходе операции Пересчет Депозита (Deposit Count) в ходе операции Начало Выдачи (Withdrawal Ready).</t>
  </si>
  <si>
    <t xml:space="preserve">560NC00</t>
  </si>
  <si>
    <t xml:space="preserve">Не удалось проверить последнюю банкноту в окончании Среднего Транспортного Тракта в ходе операции Начало Выдачи (Withdrawal Ready).</t>
  </si>
  <si>
    <t xml:space="preserve">560NK00</t>
  </si>
  <si>
    <t xml:space="preserve">Ошибка No gate for insertion в ходе операции Начало Выдачи (Withdrawal Ready).</t>
  </si>
  <si>
    <t xml:space="preserve">560R100</t>
  </si>
  <si>
    <t xml:space="preserve">BM вернул ошибку таймаута сообщения в ходе готовности к операции Начало Выдачи (Withdrawal Ready).</t>
  </si>
  <si>
    <t xml:space="preserve">560R200</t>
  </si>
  <si>
    <t xml:space="preserve">BM вернул ошибку таймаута сообщения при проведении транзакции в ходе операции Начало Выдачи (Withdrawal Ready).</t>
  </si>
  <si>
    <t xml:space="preserve">560R300</t>
  </si>
  <si>
    <t xml:space="preserve">BM вернул ошибку таймаута сообщения в ходе постпроцессинга ошибки операции Начало Выдачи (Withdrawal Ready Error).</t>
  </si>
  <si>
    <t xml:space="preserve">560RJ00</t>
  </si>
  <si>
    <t xml:space="preserve">BM вернул ошибку таймаута сообщенияв ходе операции Начало Остановки (Stop Ready) в ходе операции Начало Выдачи (Withdrawal Ready).</t>
  </si>
  <si>
    <t xml:space="preserve">GS101 замятие в области датчика в ходе операции Начало Выдачи (Withdrawal Ready).</t>
  </si>
  <si>
    <t xml:space="preserve">GS102 замятие в области датчика в ходе операции Начало Выдачи (Withdrawal Ready).</t>
  </si>
  <si>
    <t xml:space="preserve">GS105 замятие в области датчика в ходе операции Начало Выдачи (Withdrawal Ready).</t>
  </si>
  <si>
    <t xml:space="preserve">Произошла ошибка оставшихся банкнот в области датчика GS101 в ходе операции Начало Выдачи (Withdrawal Ready).</t>
  </si>
  <si>
    <t xml:space="preserve">Произошла ошибка оставшихся банкнот в области датчика GS102 в ходе операции Начало Выдачи (Withdrawal Ready).</t>
  </si>
  <si>
    <t xml:space="preserve">Произошла ошибка оставшихся банкнот в области датчика GS105 в ходе операции Начало Выдачи (Withdrawal Ready).</t>
  </si>
  <si>
    <t xml:space="preserve">Произошла ошибка Транспортного Тракта по данным датчика GS105 в ходе операции Начало Выдачи (Withdrawal Ready).</t>
  </si>
  <si>
    <t xml:space="preserve">Произошла ошибка в Возвращающем Транспортном Тракте (датчик GS105) в ходе операции Начало Выдачи (Withdrawal Ready).</t>
  </si>
  <si>
    <t xml:space="preserve">Произошла ошибка порядка следования банкнот в области датчика GS105 в ходе операции Начало Выдачи (Withdrawal Ready).</t>
  </si>
  <si>
    <t xml:space="preserve">561G100</t>
  </si>
  <si>
    <t xml:space="preserve">Не удалось вернуть банкноты в Кассету Рециркуляции RC1 в ходе операции Начало Выдачи (Withdrawal Ready).</t>
  </si>
  <si>
    <t xml:space="preserve">561G200</t>
  </si>
  <si>
    <t xml:space="preserve">Не удалось переместить Прижимную Пластину Кассеты Рециркуляции RC1 в укладывающее положение в ходе операции Начало Выдачи (Withdrawal Ready).</t>
  </si>
  <si>
    <t xml:space="preserve">561G400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</si>
  <si>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Начало Выдачи (Withdrawal Ready).</t>
  </si>
  <si>
    <t xml:space="preserve">561G500</t>
  </si>
  <si>
    <t xml:space="preserve">Сбой обратного хода укладывающего ролика Кассеты Рециркуляции RC1 в ходе операции Начало Выдачи (Withdrawal Ready).(ошибка датчика)</t>
  </si>
  <si>
    <t xml:space="preserve">561G600</t>
  </si>
  <si>
    <t xml:space="preserve">Превышен предел количества попыток перемещений укладывающего ролика Кассеты Рециркуляции RC1 в ходе операции Начало Выдачи (Withdrawal Ready).</t>
  </si>
  <si>
    <t xml:space="preserve">561G700</t>
  </si>
  <si>
    <t xml:space="preserve">Не удалось переместить подающий ролик Кассеты Рециркуляции RC1 в исходное положение в ходе операции Начало Выдачи (Withdrawal Ready).</t>
  </si>
  <si>
    <t xml:space="preserve">561G800</t>
  </si>
  <si>
    <t xml:space="preserve">Не удалось переместить Прижимную Пластину в прижимающее положение Кассеты Рециркуляции RC1 в ходе операции Начало Выдачи (Withdrawal Ready).</t>
  </si>
  <si>
    <t xml:space="preserve">561GA00</t>
  </si>
  <si>
    <t xml:space="preserve">Ошибка сообщения соленоида Кассеты Рециркуляции RC1 в ходе операции Начало Выдачи (Withdrawal Ready).</t>
  </si>
  <si>
    <t xml:space="preserve">561GB00</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</si>
  <si>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Начало Выдачи (Withdrawal Ready).</t>
  </si>
  <si>
    <t xml:space="preserve">561GC00</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</si>
  <si>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Начало Выдачи (Withdrawal Ready).</t>
  </si>
  <si>
    <t xml:space="preserve">561GD00</t>
  </si>
  <si>
    <t xml:space="preserve">Датчики GS101, GS102 обнаружили лишние банкноты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</si>
  <si>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Удалите банкноты.</t>
  </si>
  <si>
    <t xml:space="preserve">561GE00</t>
  </si>
  <si>
    <t xml:space="preserve">Обнаружено превышение кол-ва банкнот при перемещении FM в исходное положение по данным датчика GS108 (нажим при разделении) в ходе операции Начало Выдачи (Withdrawal Ready).</t>
  </si>
  <si>
    <t xml:space="preserve">561GJ00</t>
  </si>
  <si>
    <t xml:space="preserve">Сбой обратного хода укладывающего ролика Кассеты Рециркуляции RC1 в ходе операции Начало Выдачи (Withdrawal Ready).(Перерасход)</t>
  </si>
  <si>
    <t xml:space="preserve">561GK00</t>
  </si>
  <si>
    <t xml:space="preserve">Сбой обратного хода укладывающего ролика Кассеты Рециркуляции RC1 в ходе операции Начало Выдачи (Withdrawal Ready). (Ошибка состояния двигателя)</t>
  </si>
  <si>
    <t xml:space="preserve">561GL00</t>
  </si>
  <si>
    <t xml:space="preserve">Не удалось переместить подающий ролик Кассеты Рециркуляции RC1 в исходное положение в ходе операции Начало Выдачи (Withdrawal Ready).(Ошибка состояния двигателя)</t>
  </si>
  <si>
    <t xml:space="preserve">561J200</t>
  </si>
  <si>
    <t xml:space="preserve">Пустая Кассета Рециркуляции RC1 в ходе готовности к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</si>
  <si>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(A) 4. Проверьте оставшиеся банкноты после открытия дверцы Кассеты Рециркуляции (A) 5. Пополните кассету банкнотами в случае их отсутствия. В случае присутствия банкнот проверьте не загрязнен ли датчик.</t>
  </si>
  <si>
    <t xml:space="preserve">561R100</t>
  </si>
  <si>
    <t xml:space="preserve">RC1 вернул ошибку таймаута сообщения в ходе готовности к операции Начало Выдачи (Withdrawal Ready).</t>
  </si>
  <si>
    <t xml:space="preserve">561R200</t>
  </si>
  <si>
    <t xml:space="preserve">Ошибка тайм-аута сообщения Кассеты Рециркуляции RC1 при проведении транзакции в ходе операции Начало Выдачи (Withdrawal Ready).</t>
  </si>
  <si>
    <t xml:space="preserve">561R300</t>
  </si>
  <si>
    <t xml:space="preserve">Ошибка тайм-аута сообщения Кассеты Рециркуляции RC1 в ходе постпроцессинга ошибки операции Начало Выдачи (Withdrawal Ready Error).</t>
  </si>
  <si>
    <t xml:space="preserve">561RJ00</t>
  </si>
  <si>
    <t xml:space="preserve">Ошибка тайм-аута сообщения Кассеты Рециркуляции RC1 в ходе операции Начало Выдачи (Withdrawal Ready).</t>
  </si>
  <si>
    <t xml:space="preserve">561S100</t>
  </si>
  <si>
    <t xml:space="preserve">Возвращено неизвестное значение Кассеты Рециркуляции RC1 в ходе операции Начало Выдачи (Withdrawal Ready).</t>
  </si>
  <si>
    <t xml:space="preserve">561S200</t>
  </si>
  <si>
    <t xml:space="preserve">Неизвестная команда RC1 в ходе операции Начало Выдачи (Withdrawal Ready).</t>
  </si>
  <si>
    <t xml:space="preserve">561S300</t>
  </si>
  <si>
    <t xml:space="preserve">Невыполнимая команда отправлена Кассете Рециркуляции RC1 в ходе операции Начало Выдачи (Withdrawal Ready).</t>
  </si>
  <si>
    <t xml:space="preserve">GS201 замятие в области датчика в ходе операции Начало Выдачи (Withdrawal Ready).</t>
  </si>
  <si>
    <t xml:space="preserve">GS202 замятие в области датчика в ходе операции Начало Выдачи (Withdrawal Ready).</t>
  </si>
  <si>
    <t xml:space="preserve">GS205 замятие в области датчика в ходе операции Начало Выдачи (Withdrawal Ready).</t>
  </si>
  <si>
    <t xml:space="preserve">Произошла ошибка оставшихся банкнот в области датчика GS201 в ходе операции Начало Выдачи (Withdrawal Ready).</t>
  </si>
  <si>
    <t xml:space="preserve">Произошла ошибка оставшихся банкнот в области датчика GS202 в ходе операции Начало Выдачи (Withdrawal Ready).</t>
  </si>
  <si>
    <t xml:space="preserve">Произошла ошибка оставшихся банкнот в области датчика GS205 в ходе операции Начало Выдачи (Withdrawal Ready).</t>
  </si>
  <si>
    <t xml:space="preserve">Произошла ошибка Транспортного Тракта по данным датчика GS205 в ходе операции Начало Выдачи (Withdrawal Ready).</t>
  </si>
  <si>
    <t xml:space="preserve">Произошла ошибка в Возвращающем Транспортном Тракте (датчик GS205) в ходе операции Начало Выдачи (Withdrawal Ready).</t>
  </si>
  <si>
    <t xml:space="preserve">Произошла ошибка порядка следования банкнот в области датчика GS205 в ходе операции Начало Выдачи (Withdrawal Ready).</t>
  </si>
  <si>
    <t xml:space="preserve">562G100</t>
  </si>
  <si>
    <t xml:space="preserve">Не удалось вернуть банкноты в Кассету Рециркуляции RC2 в ходе операции Начало Выдачи (Withdrawal Ready).</t>
  </si>
  <si>
    <t xml:space="preserve">562G200</t>
  </si>
  <si>
    <t xml:space="preserve">Не удалось переместить Прижимную Пластину Кассеты Рециркуляции RC2 в укладывающее положение в ходе операции Начало Выдачи (Withdrawal Ready).</t>
  </si>
  <si>
    <t xml:space="preserve">562G400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</si>
  <si>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Начало Выдачи (Withdrawal Ready).</t>
  </si>
  <si>
    <t xml:space="preserve">562G500</t>
  </si>
  <si>
    <t xml:space="preserve">Сбой обратного хода укладывающего ролика Кассеты Рециркуляции RC2 в ходе операции Начало Выдачи (Withdrawal Ready).(ошибка датчика)</t>
  </si>
  <si>
    <t xml:space="preserve">562G600</t>
  </si>
  <si>
    <t xml:space="preserve">Превышен предел количества попыток перемещений укладывающего ролика Кассеты Рециркуляции RC2 в ходе операции Начало Выдачи (Withdrawal Ready).</t>
  </si>
  <si>
    <t xml:space="preserve">562G700</t>
  </si>
  <si>
    <t xml:space="preserve">Не удалось переместить Прижимную Пластину в прижимающее положение Кассеты Рециркуляции RC2 в ходе операции Начало Выдачи (Withdrawal Ready).</t>
  </si>
  <si>
    <t xml:space="preserve">562G800</t>
  </si>
  <si>
    <t xml:space="preserve">562GA00</t>
  </si>
  <si>
    <t xml:space="preserve">Ошибка сообщения соленоида Кассеты Рециркуляции RC2 в ходе операции Начало Выдачи (Withdrawal Ready).</t>
  </si>
  <si>
    <t xml:space="preserve">562GB00</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</si>
  <si>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Начало Выдачи (Withdrawal Ready).</t>
  </si>
  <si>
    <t xml:space="preserve">562GC00</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</si>
  <si>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Начало Выдачи (Withdrawal Ready).</t>
  </si>
  <si>
    <t xml:space="preserve">562GD00</t>
  </si>
  <si>
    <t xml:space="preserve">Датчики GS201, GS202 обнаружили лишние банкноты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</si>
  <si>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Удалите банкноты.</t>
  </si>
  <si>
    <t xml:space="preserve">562GE00</t>
  </si>
  <si>
    <t xml:space="preserve">Обнаружено превышение кол-ва банкнот при перемещении FM в исходное положение по данным датчика GS208 (нажим при разделении) в ходе операции Начало Выдачи (Withdrawal Ready).</t>
  </si>
  <si>
    <t xml:space="preserve">562GJ00</t>
  </si>
  <si>
    <t xml:space="preserve">Сбой обратного хода укладывающего ролика Кассеты Рециркуляции RC2 в ходе операции Начало Выдачи (Withdrawal Ready).(Перерасход)</t>
  </si>
  <si>
    <t xml:space="preserve">562GK00</t>
  </si>
  <si>
    <t xml:space="preserve">Сбой обратного хода укладывающего ролика Кассеты Рециркуляции RC2 в ходе операции Начало Выдачи (Withdrawal Ready). (Ошибка состояния двигателя)</t>
  </si>
  <si>
    <t xml:space="preserve">562GL00</t>
  </si>
  <si>
    <t xml:space="preserve">Не удалось переместить подающий ролик Кассеты Рециркуляции RC2 в исходное положение в ходе операции Начало Выдачи (Withdrawal Ready).(Ошибка состояния двигателя)</t>
  </si>
  <si>
    <t xml:space="preserve">562J200</t>
  </si>
  <si>
    <t xml:space="preserve">Пустая Кассета Рециркуляции RC2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</si>
  <si>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(B) 4. Проверьте оставшиеся банкноты после открытия дверцы Кассеты Рециркуляции (B) 5. Пополните кассету банкнотами в случае их отсутствия. В случае присутствия банкнот проверьте не загрязнен ли датчик.</t>
  </si>
  <si>
    <t xml:space="preserve">562R100</t>
  </si>
  <si>
    <t xml:space="preserve">Ошибка тайм-аута сообщения Кассеты Рециркуляции RC2 в ходе готовности к операции Начало Выдачи (Withdrawal Ready).</t>
  </si>
  <si>
    <t xml:space="preserve">562R200</t>
  </si>
  <si>
    <t xml:space="preserve">Ошибка тайм-аута сообщения Кассеты Рециркуляции RC2 при проведении транзакции в ходе операции Начало Выдачи (Withdrawal Ready).</t>
  </si>
  <si>
    <t xml:space="preserve">562R300</t>
  </si>
  <si>
    <t xml:space="preserve">Ошибка тайм-аута сообщения Кассеты Рециркуляции RC2 в ходе постпроцессинга ошибки операции Начало Выдачи (Withdrawal Ready Error).</t>
  </si>
  <si>
    <t xml:space="preserve">562RJ00</t>
  </si>
  <si>
    <t xml:space="preserve">Ошибка тайм-аута сообщения Кассеты Рециркуляции RC2 в ходе операции Начало Остановки (Stop Ready) в ходе операции Начало Депозита (Deposit Ready).</t>
  </si>
  <si>
    <t xml:space="preserve">562S100</t>
  </si>
  <si>
    <t xml:space="preserve">Возвращено неизвестное значение Кассеты Рециркуляции RC2 в ходе операции Начало Выдачи (Withdrawal Ready).</t>
  </si>
  <si>
    <t xml:space="preserve">562S200</t>
  </si>
  <si>
    <t xml:space="preserve">Неизвестная команда RC2 в ходе операции Начало Выдачи (Withdrawal Ready).</t>
  </si>
  <si>
    <t xml:space="preserve">562S300</t>
  </si>
  <si>
    <t xml:space="preserve">Невыполнимая команда отправлена Кассете Рециркуляции RC2 в ходе операции Начало Выдачи (Withdrawal Ready).</t>
  </si>
  <si>
    <t xml:space="preserve">GS301 замятие в области датчика в ходе операции Начало Выдачи (Withdrawal Ready).</t>
  </si>
  <si>
    <t xml:space="preserve">GS302 замятие в области датчика в ходе операции Начало Выдачи (Withdrawal Ready).</t>
  </si>
  <si>
    <t xml:space="preserve">GS305 замятие в области датчика в ходе операции Начало Выдачи (Withdrawal Ready).</t>
  </si>
  <si>
    <t xml:space="preserve">Произошла ошибка оставшихся банкнот в области датчика GS305 в ходе операции Начало Выдачи (Withdrawal Ready).</t>
  </si>
  <si>
    <t xml:space="preserve">Произошла ошибка оставшихся банкнот в области датчика GS302 в ходе операции Начало Выдачи (Withdrawal Ready).</t>
  </si>
  <si>
    <t xml:space="preserve">Произошла ошибка Транспортного Тракта по данным датчика GS305 в ходе операции Начало Выдачи (Withdrawal Ready).</t>
  </si>
  <si>
    <t xml:space="preserve">Произошла ошибка в Возвращающем Транспортном Тракте (датчик GS305) в ходе операции Начало Выдачи (Withdrawal Ready).</t>
  </si>
  <si>
    <t xml:space="preserve">Произошла ошибка порядка следования банкнот в области датчика GS305 в ходе операции Начало Выдачи (Withdrawal Ready).</t>
  </si>
  <si>
    <t xml:space="preserve">563G100</t>
  </si>
  <si>
    <t xml:space="preserve">Не удалось вернуть банкноты в Кассету Рециркуляции RC3 в ходе операции Начало Выдачи (Withdrawal Ready).</t>
  </si>
  <si>
    <t xml:space="preserve">563G200</t>
  </si>
  <si>
    <t xml:space="preserve">Не удалось переместить Прижимную Пластину Кассеты Рециркуляции RC3 в укладывающее положение в ходе операции Начало Выдачи (Withdrawal Ready).</t>
  </si>
  <si>
    <t xml:space="preserve">563G400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</si>
  <si>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Начало Выдачи (Withdrawal Ready).</t>
  </si>
  <si>
    <t xml:space="preserve">563G500</t>
  </si>
  <si>
    <t xml:space="preserve">Сбой обратного хода укладывающего ролика Кассеты Рециркуляции RC3 в ходе операции Начало Выдачи (Withdrawal Ready).(ошибка датчика)</t>
  </si>
  <si>
    <t xml:space="preserve">563G600</t>
  </si>
  <si>
    <t xml:space="preserve">Превышен предел количества попыток перемещений укладывающего ролика Кассеты Рециркуляции RC3 в ходе операции Начало Выдачи (Withdrawal Ready).</t>
  </si>
  <si>
    <t xml:space="preserve">563G700</t>
  </si>
  <si>
    <t xml:space="preserve">Не удалось переместить подающий ролик Кассеты Рециркуляции RC3 в исходное положение в ходе операции Начало Выдачи (Withdrawal Ready).</t>
  </si>
  <si>
    <t xml:space="preserve">563G800</t>
  </si>
  <si>
    <t xml:space="preserve">Не удалось переместить Прижимную Пластину в прижимающее положение Кассеты Рециркуляции RC3 в ходе операции Начало Выдачи (Withdrawal Ready).</t>
  </si>
  <si>
    <t xml:space="preserve">563GA00</t>
  </si>
  <si>
    <t xml:space="preserve">Ошибка сообщения соленоида Кассеты Рециркуляции RC3 в ходе операции Начало Выдачи (Withdrawal Ready).</t>
  </si>
  <si>
    <t xml:space="preserve">563GB00</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</si>
  <si>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Начало Выдачи (Withdrawal Ready).</t>
  </si>
  <si>
    <t xml:space="preserve">563GC00</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</si>
  <si>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Начало Выдачи (Withdrawal Ready).</t>
  </si>
  <si>
    <t xml:space="preserve">563GD00</t>
  </si>
  <si>
    <t xml:space="preserve">Датчики GS301, GS302 обнаружили лишние банкноты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</si>
  <si>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Удалите банкноты.</t>
  </si>
  <si>
    <t xml:space="preserve">563GE00</t>
  </si>
  <si>
    <t xml:space="preserve">Обнаружено превышение кол-ва банкнот при перемещении FM в исходное положение по данным датчика GS308 (нажим при разделении) в ходе операции Начало Выдачи (Withdrawal Ready).</t>
  </si>
  <si>
    <t xml:space="preserve">563GJ00</t>
  </si>
  <si>
    <t xml:space="preserve">563GK00</t>
  </si>
  <si>
    <t xml:space="preserve">Сбой обратного хода укладывающего ролика Кассеты Рециркуляции RC3 в ходе операции Начало Выдачи (Withdrawal Ready). (Ошибка состояния двигателя)</t>
  </si>
  <si>
    <t xml:space="preserve">563GL00</t>
  </si>
  <si>
    <t xml:space="preserve">Не удалось переместить подающий ролик Кассеты Рециркуляции RC3 в исходное положение в ходе операции Начало Выдачи (Withdrawal Ready).(Ошибка состояния двигателя)</t>
  </si>
  <si>
    <t xml:space="preserve">563J200</t>
  </si>
  <si>
    <t xml:space="preserve">Пустая Кассета Рециркуляции RC3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</si>
  <si>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(C) 4. Проверьте оставшиеся банкноты после открытия дверцы Кассеты Рециркуляции (C) 5. Пополните кассету банкнотами в случае их отсутствия. В случае присутствия банкнот проверьте не загрязнен ли датчик.</t>
  </si>
  <si>
    <t xml:space="preserve">563R100</t>
  </si>
  <si>
    <t xml:space="preserve">Ошибка тайм-аута сообщения Кассеты Рециркуляции RC3 в ходе готовности к операции Начало Выдачи (Withdrawal Ready).</t>
  </si>
  <si>
    <t xml:space="preserve">563R200</t>
  </si>
  <si>
    <t xml:space="preserve">Ошибка тайм-аута сообщения Кассеты Рециркуляции RC3 при проведении транзакции в ходе операции Начало Выдачи (Withdrawal Ready).</t>
  </si>
  <si>
    <t xml:space="preserve">563R300</t>
  </si>
  <si>
    <t xml:space="preserve">Ошибка тайм-аута сообщения Кассеты Рециркуляции RC3 в ходе постпроцессинга ошибки операции Начало Выдачи (Withdrawal Ready Error).</t>
  </si>
  <si>
    <t xml:space="preserve">563RJ00</t>
  </si>
  <si>
    <t xml:space="preserve">Ошибка тайм-аута сообщения Кассеты Рециркуляции RC3 в ходе операции Начало Остановки (Stop Ready) в ходе операции Начало Выдачи (Withdrawal Ready).</t>
  </si>
  <si>
    <t xml:space="preserve">563S100</t>
  </si>
  <si>
    <t xml:space="preserve">Возвращено неизвестное значение Кассеты Рециркуляции RC3 в ходе операции Начало Выдачи (Withdrawal Ready).</t>
  </si>
  <si>
    <t xml:space="preserve">563S200</t>
  </si>
  <si>
    <t xml:space="preserve">Неизвестная команда RC3 в ходе операции Начало Выдачи (Withdrawal Ready).</t>
  </si>
  <si>
    <t xml:space="preserve">563S300</t>
  </si>
  <si>
    <t xml:space="preserve">Невыполнимая команда отправлена Кассете Рециркуляции RC3 в ходе операции Начало Выдачи (Withdrawal Ready).</t>
  </si>
  <si>
    <t xml:space="preserve">GS401 замятие в области датчика в ходе операции Начало Выдачи (Withdrawal Ready).</t>
  </si>
  <si>
    <t xml:space="preserve">GS402 замятие в области датчика в ходе операции Начало Выдачи (Withdrawal Ready).</t>
  </si>
  <si>
    <t xml:space="preserve">GS405 замятие в области датчика в ходе операции Начало Выдачи (Withdrawal Ready).</t>
  </si>
  <si>
    <t xml:space="preserve">Произошла ошибка оставшихся банкнот в области датчика GS401 в ходе операции Начало Выдачи (Withdrawal Ready).</t>
  </si>
  <si>
    <t xml:space="preserve">Произошла ошибка оставшихся банкнот в области датчика GS402 в ходе операции Начало Выдачи (Withdrawal Ready).</t>
  </si>
  <si>
    <t xml:space="preserve">Произошла ошибка оставшихся банкнот в области датчика GS405 в ходе операции Начало Выдачи (Withdrawal Ready).</t>
  </si>
  <si>
    <t xml:space="preserve">Произошла ошибка Транспортного Тракта по данным датчика GS405 в ходе операции Начало Выдачи (Withdrawal Ready).</t>
  </si>
  <si>
    <t xml:space="preserve">Произошла ошибка Возвращающего Транспортного Тракта (датчик GS405) в ходе операции Начало Выдачи (Withdrawal Ready).</t>
  </si>
  <si>
    <t xml:space="preserve">Произошла ошибка порядка следования банкнот в области датчика GS405 в ходе операции Начало Выдачи (Withdrawal Ready).</t>
  </si>
  <si>
    <t xml:space="preserve">564G100</t>
  </si>
  <si>
    <t xml:space="preserve">Не удалось вернуть банкноты в Кассету Рециркуляции RC4 в ходе операции Начало Выдачи (Withdrawal Ready).</t>
  </si>
  <si>
    <t xml:space="preserve">564G200</t>
  </si>
  <si>
    <t xml:space="preserve">Не удалось переместить Прижимную Пластину Кассеты Рециркуляции RC4 в укладывающее положение в ходе операции Начало Выдачи (Withdrawal Ready).</t>
  </si>
  <si>
    <t xml:space="preserve">564G400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</si>
  <si>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Начало Выдачи (Withdrawal Ready).</t>
  </si>
  <si>
    <t xml:space="preserve">564G500</t>
  </si>
  <si>
    <t xml:space="preserve">Сбой обратного хода укладывающего ролика Кассеты Рециркуляции RC4 в ходе операции Начало Выдачи (Withdrawal Ready).(ошибка датчика)</t>
  </si>
  <si>
    <t xml:space="preserve">564G600</t>
  </si>
  <si>
    <t xml:space="preserve">Превышен предел количества попыток перемещений укладывающего ролика Кассеты Рециркуляции RC4 в ходе операции Начало Выдачи (Withdrawal Ready).</t>
  </si>
  <si>
    <t xml:space="preserve">564G700</t>
  </si>
  <si>
    <t xml:space="preserve">Не удалось переместить подающий ролик Кассеты Рециркуляции RC4 в исходное положение в ходе операции Начало Выдачи (Withdrawal Ready).</t>
  </si>
  <si>
    <t xml:space="preserve">564G800</t>
  </si>
  <si>
    <t xml:space="preserve">Не удалось переместить Прижимную Пластину в прижимающее положение Кассеты Рециркуляции RC4 в ходе операции Начало Выдачи (Withdrawal Ready).</t>
  </si>
  <si>
    <t xml:space="preserve">564GA00</t>
  </si>
  <si>
    <t xml:space="preserve">Ошибка сообщения соленоида Кассеты Рециркуляции RC4 в ходе операции Начало Выдачи (Withdrawal Ready).</t>
  </si>
  <si>
    <t xml:space="preserve">564GB00</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</si>
  <si>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Начало Выдачи (Withdrawal Ready).</t>
  </si>
  <si>
    <t xml:space="preserve">564GC00</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</si>
  <si>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Начало Выдачи (Withdrawal Ready).</t>
  </si>
  <si>
    <t xml:space="preserve">564GD00</t>
  </si>
  <si>
    <t xml:space="preserve">Датчики GS401, GS402 обнаружили лишние банкноты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</si>
  <si>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Удалите банкноты.</t>
  </si>
  <si>
    <t xml:space="preserve">564GE00</t>
  </si>
  <si>
    <t xml:space="preserve">Обнаружено превышение кол-ва банкнот при перемещении FM в исходное положение по данным датчика GS408 (нажим при разделении) в ходе операции Начало Выдачи (Withdrawal Ready).</t>
  </si>
  <si>
    <t xml:space="preserve">564GJ00</t>
  </si>
  <si>
    <t xml:space="preserve">Сбой обратного хода укладывающего ролика Кассеты Рециркуляции RC4 в ходе операции Начало Выдачи (Withdrawal Ready).(Перерасход)</t>
  </si>
  <si>
    <t xml:space="preserve">564GK00</t>
  </si>
  <si>
    <t xml:space="preserve">Сбой обратного хода укладывающего ролика Кассеты Рециркуляции RC4 в ходе операции Начало Выдачи (Withdrawal Ready). (Ошибка состояния двигателя)</t>
  </si>
  <si>
    <t xml:space="preserve">564GL00</t>
  </si>
  <si>
    <t xml:space="preserve">Не удалось переместить подающий ролик Кассеты Рециркуляции RC4 в исходное положение в ходе операции Начало Выдачи (Withdrawal Ready).(Ошибка состояния двигателя)</t>
  </si>
  <si>
    <t xml:space="preserve">564J200</t>
  </si>
  <si>
    <t xml:space="preserve">Пустая Кассета Рециркуляции RC4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</si>
  <si>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(D) 4. Проверьте оставшиеся банкноты после открытия дверцы Кассеты Рециркуляции (D) 5. Пополните кассету банкнотами в случае их отсутствия. В случае присутствия банкнот проверьте не загрязнен ли датчик.</t>
  </si>
  <si>
    <t xml:space="preserve">564R100</t>
  </si>
  <si>
    <t xml:space="preserve">Ошибка тайм-аута сообщения Кассеты Рециркуляции RC4 в ходе готовности к операции Начало Выдачи (Withdrawal Ready).</t>
  </si>
  <si>
    <t xml:space="preserve">564R200</t>
  </si>
  <si>
    <t xml:space="preserve">Ошибка тайм-аута сообщения Кассеты Рециркуляции RC4 при проведении транзакции в ходе операции Начало Выдачи (Withdrawal Ready).</t>
  </si>
  <si>
    <t xml:space="preserve">564R300</t>
  </si>
  <si>
    <t xml:space="preserve">Ошибка тайм-аута сообщения Кассеты Рециркуляции RC4 в ходе постпроцессинга ошибки операции Начало Выдачи (Withdrawal Ready Error).</t>
  </si>
  <si>
    <t xml:space="preserve">564RJ00</t>
  </si>
  <si>
    <t xml:space="preserve">Ошибка тайм-аута сообщения Кассеты Рециркуляции RC4 в ходе операции Ready Stio в ходе операции Начало Выдачи (Withdrawal Ready).</t>
  </si>
  <si>
    <t xml:space="preserve">564S100</t>
  </si>
  <si>
    <t xml:space="preserve">Возвращено неизвестное значение Кассеты Рециркуляции RC4 в ходе операции Начало Выдачи (Withdrawal Ready).</t>
  </si>
  <si>
    <t xml:space="preserve">564S200</t>
  </si>
  <si>
    <t xml:space="preserve">Неизвестная команда RC4 в ходе операции Начало Выдачи (Withdrawal Ready).</t>
  </si>
  <si>
    <t xml:space="preserve">564S300</t>
  </si>
  <si>
    <t xml:space="preserve">Невыполнимая команда отправлена Кассете Рециркуляции RC4 в ходе операции Начало Выдачи (Withdrawal Ready).</t>
  </si>
  <si>
    <t xml:space="preserve">GS501 замятие в области датчика в ходе операции Начало Выдачи (Withdrawal Ready).</t>
  </si>
  <si>
    <t xml:space="preserve">GS502 замятие в области датчика в ходе операции Начало Выдачи (Withdrawal Ready).</t>
  </si>
  <si>
    <t xml:space="preserve">GS505 замятие в области датчика в ходе операции Начало Выдачи (Withdrawal Ready).</t>
  </si>
  <si>
    <t xml:space="preserve">Произошла ошибка оставшихся банкнот в области датчика GS501 в ходе операции Начало Выдачи (Withdrawal Ready).</t>
  </si>
  <si>
    <t xml:space="preserve">Произошла ошибка оставшихся банкнот в области датчика GS502 в ходе операции Начало Выдачи (Withdrawal Ready).</t>
  </si>
  <si>
    <t xml:space="preserve">Произошла ошибка оставшихся банкнот в области датчика GS505 в ходе операции Начало Выдачи (Withdrawal Ready).</t>
  </si>
  <si>
    <t xml:space="preserve">Произошла ошибка Транспортного Тракта по данным датчика GS505 в ходе операции Начало Выдачи (Withdrawal Ready).</t>
  </si>
  <si>
    <t xml:space="preserve">Произошла ошибка Возвращающего Транспортного Тракта (датчик GS505) в ходе операции Начало Выдачи (Withdrawal Ready).</t>
  </si>
  <si>
    <t xml:space="preserve">Произошла ошибка порядка следования банкнот в области датчика GS505 в ходе операции Начало Выдачи (Withdrawal Ready).</t>
  </si>
  <si>
    <t xml:space="preserve">565G100</t>
  </si>
  <si>
    <t xml:space="preserve">Не удалось вернуть банкноты в Кассету Рециркуляции RC5 в ходе операции Начало Выдачи (Withdrawal Ready).</t>
  </si>
  <si>
    <t xml:space="preserve">565G200</t>
  </si>
  <si>
    <t xml:space="preserve">Не удалось переместить Прижимную Пластину Кассеты Рециркуляции RC5 в укладывающее положение в ходе операции Начало Выдачи (Withdrawal Ready).</t>
  </si>
  <si>
    <t xml:space="preserve">565G400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</si>
  <si>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Начало Выдачи (Withdrawal Ready).</t>
  </si>
  <si>
    <t xml:space="preserve">565G500</t>
  </si>
  <si>
    <t xml:space="preserve">Сбой обратного хода укладывающего ролика Кассеты Рециркуляции RC5 в ходе операции Начало Выдачи (Withdrawal Ready).(ошибка датчика)</t>
  </si>
  <si>
    <t xml:space="preserve">565G600</t>
  </si>
  <si>
    <t xml:space="preserve">Превышен предел количества попыток перемещений укладывающего ролика Кассеты Рециркуляции RC5 в ходе операции Начало Выдачи (Withdrawal Ready).</t>
  </si>
  <si>
    <t xml:space="preserve">565G700</t>
  </si>
  <si>
    <t xml:space="preserve">Не удалось переместить подающий ролик Кассеты Рециркуляции RC5 в исходное положение в ходе операции Начало Выдачи (Withdrawal Ready).</t>
  </si>
  <si>
    <t xml:space="preserve">565G800</t>
  </si>
  <si>
    <t xml:space="preserve">Не удалось переместить Прижимную Пластину в прижимающее положение Кассеты Рециркуляции RC5 of в ходе операции Начало Выдачи (Withdrawal Ready).</t>
  </si>
  <si>
    <t xml:space="preserve">565GA00</t>
  </si>
  <si>
    <t xml:space="preserve">Ошибка сообщения соленоида Кассеты Рециркуляции RC5 в ходе операции Начало Выдачи (Withdrawal Ready).</t>
  </si>
  <si>
    <t xml:space="preserve">565GB00</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</si>
  <si>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Начало Выдачи (Withdrawal Ready).</t>
  </si>
  <si>
    <t xml:space="preserve">565GC00</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</si>
  <si>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Начало Выдачи (Withdrawal Ready).</t>
  </si>
  <si>
    <t xml:space="preserve">565GD00</t>
  </si>
  <si>
    <t xml:space="preserve">Датчики GS501, GS502 обнаружили лишние банкноты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</si>
  <si>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Удалите банкноты.</t>
  </si>
  <si>
    <t xml:space="preserve">565GE00</t>
  </si>
  <si>
    <t xml:space="preserve">Обнаружено превышение кол-ва банкнот при перемещении FM в исходное положение по данным датчика GS508 (нажим при разделении) в ходе операции Начало Выдачи (Withdrawal Ready).</t>
  </si>
  <si>
    <t xml:space="preserve">565GJ00</t>
  </si>
  <si>
    <t xml:space="preserve">Сбой обратного хода укладывающего ролика Кассеты Рециркуляции RC5 в ходе операции Начало Выдачи (Withdrawal Ready).(Перерасход)</t>
  </si>
  <si>
    <t xml:space="preserve">565GK00</t>
  </si>
  <si>
    <t xml:space="preserve">Сбой обратного хода укладывающего ролика Кассеты Рециркуляции RC5 в ходе операции Начало Выдачи (Withdrawal Ready).(Ошибка состояния двигателя)</t>
  </si>
  <si>
    <t xml:space="preserve">565GL00</t>
  </si>
  <si>
    <t xml:space="preserve">Не удалось переместить подающий ролик Кассеты Рециркуляции RC5 в исходное положение в ходе операции Начало Выдачи (Withdrawal Ready).(Ошибка состояния двигателя)</t>
  </si>
  <si>
    <t xml:space="preserve">565J200</t>
  </si>
  <si>
    <t xml:space="preserve">Пустая Кассета Рециркуляции RC5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</si>
  <si>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(E) 4. Проверьте оставшиеся банкноты после открытия дверцы Кассеты Рециркуляции (E) 5. Пополните кассету банкнотами в случае их отсутствия. В случае присутствия банкнот проверьте не загрязнен ли датчик.</t>
  </si>
  <si>
    <t xml:space="preserve">565R100</t>
  </si>
  <si>
    <t xml:space="preserve">Ошибка тайм-аута сообщения Кассеты Рециркуляции RC5 в ходе готовности к операции Начало Выдачи (Withdrawal Ready).</t>
  </si>
  <si>
    <t xml:space="preserve">565R200</t>
  </si>
  <si>
    <t xml:space="preserve">Ошибка тайм-аута сообщения Кассеты Рециркуляции RC5 при проведении транзакции в ходе операции Начало Выдачи (Withdrawal Ready).</t>
  </si>
  <si>
    <t xml:space="preserve">565R300</t>
  </si>
  <si>
    <t xml:space="preserve">Ошибка тайм-аута сообщения Кассеты Рециркуляции RC5 в ходе постпроцессинга ошибки операции Начало Выдачи (Withdrawal Ready Error).</t>
  </si>
  <si>
    <t xml:space="preserve">565RJ00</t>
  </si>
  <si>
    <t xml:space="preserve">Ошибка тайм-аута сообщения Кассеты Рециркуляции RC5 в ходе операции Начало Остановки (Stop Ready) в ходе операции Начало Выдачи (Withdrawal Ready).</t>
  </si>
  <si>
    <t xml:space="preserve">565S100</t>
  </si>
  <si>
    <t xml:space="preserve">Возвращено неизвестное значение Кассеты Рециркуляции RC5 в ходе операции Начало Выдачи (Withdrawal Ready).</t>
  </si>
  <si>
    <t xml:space="preserve">565S200</t>
  </si>
  <si>
    <t xml:space="preserve">Неизвестная команда RC5 в ходе операции Начало Выдачи (Withdrawal Ready).</t>
  </si>
  <si>
    <t xml:space="preserve">565S300</t>
  </si>
  <si>
    <t xml:space="preserve">Невыполнимая команда отправлена Кассете Рециркуляции RC5 в ходе операции Начало Выдачи (Withdrawal Ready).</t>
  </si>
  <si>
    <t xml:space="preserve">Ошибка оставшихся банкнот в Модуле обслуживания клиентов CSM в ходе операции Начало Выдачи (Withdrawal Ready).</t>
  </si>
  <si>
    <t xml:space="preserve">Неизвестная ошибка команды Модуля обслуживания клиентов (CSM) в ходе операции Начало Выдачи (Withdrawal Ready).</t>
  </si>
  <si>
    <t xml:space="preserve">566G100</t>
  </si>
  <si>
    <t xml:space="preserve">Ошибка перемещения Задней Прижимной Пластины BP в положение для укладки в ходе операции Начало Выдачи (Withdrawal Ready).</t>
  </si>
  <si>
    <t xml:space="preserve">566G200</t>
  </si>
  <si>
    <t xml:space="preserve">Ошибка перемещения Задней Прижимной Пластины BP в положение для депозита в ходе операции Начало Выдачи (Withdrawal Ready).</t>
  </si>
  <si>
    <t xml:space="preserve">566G300</t>
  </si>
  <si>
    <t xml:space="preserve">Ошибка перемещения Задней Прижимной Пластины BP в положение для разделения в ходе операции Начало Выдачи (Withdrawal Ready).</t>
  </si>
  <si>
    <t xml:space="preserve">566G400</t>
  </si>
  <si>
    <t xml:space="preserve">Ошибка контроля разделения банкнот Задней прижимной пластины BP в ходе операции Начало Выдачи (Withdrawal Ready).</t>
  </si>
  <si>
    <t xml:space="preserve">566G500</t>
  </si>
  <si>
    <t xml:space="preserve">Ошибка выдачи банкнот Задней прижимной пластины BP в ходе операции Начало Выдачи (Withdrawal Ready).</t>
  </si>
  <si>
    <t xml:space="preserve">566G800</t>
  </si>
  <si>
    <t xml:space="preserve">Не удалось вернуть банкноты в ходе операции Начало Выдачи (Withdrawal Ready) (Двигатель сепаратора работает с ошибками).</t>
  </si>
  <si>
    <t xml:space="preserve">566GA00</t>
  </si>
  <si>
    <t xml:space="preserve">Не удалось переместить укладывающий ролик в положение Выдача(укладка) в ходе операции Начало Выдачи (Withdrawal Ready) Stack roller (GM605 работает с ошибками).</t>
  </si>
  <si>
    <t xml:space="preserve">566GB00</t>
  </si>
  <si>
    <t xml:space="preserve">Не удалось переместить укладывающий ролик в положение для Депозита (укладка) в ходе операции Начало Выдачи (Withdrawal Ready) (GM605 работает с ошибками).</t>
  </si>
  <si>
    <t xml:space="preserve">566GC00</t>
  </si>
  <si>
    <t xml:space="preserve">Сбой управления укладывающего ролика в ходе операции Начало Выдачи (Withdrawal Ready) (GM605 работает с ошибками).</t>
  </si>
  <si>
    <t xml:space="preserve">566GD00</t>
  </si>
  <si>
    <t xml:space="preserve">Не удалось выполнить Поднимание (Lift-up) в ходе операции Начало Выдачи (Withdrawal Ready).</t>
  </si>
  <si>
    <t xml:space="preserve">566GE00</t>
  </si>
  <si>
    <t xml:space="preserve">Не удалось выполнить Опускание (Lift-down) в ходе операции Начало Выдачи (Withdrawal Ready).</t>
  </si>
  <si>
    <t xml:space="preserve">566GF00</t>
  </si>
  <si>
    <t xml:space="preserve">Не удалось переместить ролик затвора в исходное положение в ходе операции Начало Выдачи (Withdrawal Ready).</t>
  </si>
  <si>
    <t xml:space="preserve">566M100</t>
  </si>
  <si>
    <t xml:space="preserve">Ошибка инициализации ограничителя в ходе операции Начало Выдачи (Withdrawal Ready).</t>
  </si>
  <si>
    <t xml:space="preserve">566M300</t>
  </si>
  <si>
    <t xml:space="preserve">Ошибка закрытия Шаттера в ходе операции Начало Выдачи (Withdrawal Ready).</t>
  </si>
  <si>
    <t xml:space="preserve">566M400</t>
  </si>
  <si>
    <t xml:space="preserve">Ошибка опускания ограничителя в ходе операции Начало Выдачи (Withdrawal Ready).</t>
  </si>
  <si>
    <t xml:space="preserve">566M600</t>
  </si>
  <si>
    <t xml:space="preserve">Ошибка закрытия шаттера при инициализации ограничителя в ходе операции Начало Выдачи (Withdrawal Ready).</t>
  </si>
  <si>
    <t xml:space="preserve">566P100</t>
  </si>
  <si>
    <t xml:space="preserve">Ошибка перемещения Прижимной Пластины PP в положение Выдача (укладка) в ходе операции Начало Выдачи (Withdrawal Ready).</t>
  </si>
  <si>
    <t xml:space="preserve">566P200</t>
  </si>
  <si>
    <t xml:space="preserve">Ошибка перемещения Прижимной Пластины в положение депозита в ходе операции Начало Выдачи (Withdrawal Ready).</t>
  </si>
  <si>
    <t xml:space="preserve">566P300</t>
  </si>
  <si>
    <t xml:space="preserve">Ошибка перемещения Прижимной Пластины PP в положение разделения в ходе операции Начало Выдачи (Withdrawal Ready).</t>
  </si>
  <si>
    <t xml:space="preserve">566P400</t>
  </si>
  <si>
    <t xml:space="preserve">Ошибка перемещения Прижимной Пластины PP в положение lose return в ходе операции Начало Выдачи (Withdrawal Ready).</t>
  </si>
  <si>
    <t xml:space="preserve">566P500</t>
  </si>
  <si>
    <t xml:space="preserve">Ошибка выдачи банкнот Прижимной Пластины PP в ходе операции Начало Выдачи (Withdrawal Ready).</t>
  </si>
  <si>
    <t xml:space="preserve">566P600</t>
  </si>
  <si>
    <t xml:space="preserve">Ошибка выравнивания банкнот Прижимной Пластины PP в ходе операции Начало Выдачи (Withdrawal Ready).</t>
  </si>
  <si>
    <t xml:space="preserve">566P700</t>
  </si>
  <si>
    <t xml:space="preserve">Ошибка контроля разделения (во время сепарации) Прижимной Пластины PP в ходе операции Начало Выдачи (Withdrawal Ready).</t>
  </si>
  <si>
    <t xml:space="preserve">566P800</t>
  </si>
  <si>
    <t xml:space="preserve">Ошибка контроля укладки (во время укладывания) Прижимной Пластины PP в ходе операции Начало Выдачи (Withdrawal Ready).</t>
  </si>
  <si>
    <t xml:space="preserve">566P900</t>
  </si>
  <si>
    <t xml:space="preserve">Ошибка возврата банкнот в ходе операции Начало Выдачи (Withdrawal Ready).</t>
  </si>
  <si>
    <t xml:space="preserve">566PA00</t>
  </si>
  <si>
    <t xml:space="preserve">Ошибка ready stop Прижимной Пластины PP в ходе операции Начало Выдачи (Withdrawal Ready).</t>
  </si>
  <si>
    <t xml:space="preserve">566R100</t>
  </si>
  <si>
    <t xml:space="preserve">Модуль обслуживания клиентов CSM вернул ошибку таймаута сообщения в ходе готовности к операции Начало Выдачи (Withdrawal Ready).</t>
  </si>
  <si>
    <t xml:space="preserve">566R200</t>
  </si>
  <si>
    <t xml:space="preserve">Модуль обслуживания клиентов CSM вернул ошибку таймаута сообщения при проведении транзакции в ходе операции Начало Выдачи (Withdrawal Ready).</t>
  </si>
  <si>
    <t xml:space="preserve">566R300</t>
  </si>
  <si>
    <t xml:space="preserve">Модуль обслуживания клиентов CSM вернул ошибку таймаута сообщения в ходе постпроцессинга ошибки операции Начало Выдачи (Withdrawal Ready Error).</t>
  </si>
  <si>
    <t xml:space="preserve">566RJ00</t>
  </si>
  <si>
    <t xml:space="preserve">Модуль обслуживания клиентов CSM вернул ошибку таймаута сообщения в ходе операции Начало Остановки (Stop Ready) в ходе операции Начало Выдачи (Withdrawal Ready).</t>
  </si>
  <si>
    <t xml:space="preserve">GS703 замятие в области датчика по Темному типу в ходе операции Начало Выдачи (Withdrawal Ready).</t>
  </si>
  <si>
    <t xml:space="preserve">Произошла ошибка оставшихся банкнот в области датчика GS701 Начало Выдачи (Withdrawal Ready).</t>
  </si>
  <si>
    <t xml:space="preserve">Произошла ошибка оставшихся банкнот в области датчика GS702 в ходе выполнения операции Начало Выдачи (Withdrawal Ready).</t>
  </si>
  <si>
    <t xml:space="preserve">Произошла ошибка оставшихся банкнот в области датчика GS703 в ходе выполнения операции Начало Выдачи (Withdrawal Ready).</t>
  </si>
  <si>
    <t xml:space="preserve">Произошла ошибка оставшихся банкнот в области датчика GS709 в ходе выполнения операции Начало Выдачи (Withdrawal Ready).</t>
  </si>
  <si>
    <t xml:space="preserve">567G100</t>
  </si>
  <si>
    <t xml:space="preserve">Нарушение движения двигателя в сторону укладки в ходе операции Начало Выдачи (Withdrawal Ready).</t>
  </si>
  <si>
    <t xml:space="preserve">567G200</t>
  </si>
  <si>
    <t xml:space="preserve">Нарушение движения двигателя в сторону разделения в ходе операции Начало Выдачи (Withdrawal Ready).</t>
  </si>
  <si>
    <t xml:space="preserve">567G300</t>
  </si>
  <si>
    <t xml:space="preserve">Нарушение остановки двигателя в ходе операции Начало Выдачи (Withdrawal Ready).</t>
  </si>
  <si>
    <t xml:space="preserve">567G400</t>
  </si>
  <si>
    <t xml:space="preserve">Не обнаружен передний конец ленты в ходе операции Начало Выдачи (Withdrawal Ready).</t>
  </si>
  <si>
    <t xml:space="preserve">567G500</t>
  </si>
  <si>
    <t xml:space="preserve">Обнаружен передний конец ленты в ходе операции Начало Выдачи (Withdrawal Ready).</t>
  </si>
  <si>
    <t xml:space="preserve">567G700</t>
  </si>
  <si>
    <t xml:space="preserve">Обнаружен задний конец ленты в ходе операции Начало Выдачи (Withdrawal Ready).</t>
  </si>
  <si>
    <t xml:space="preserve">567J100</t>
  </si>
  <si>
    <t xml:space="preserve">Полный барабан TE в ходе операции Начало Выдачи (Withdrawal Ready).</t>
  </si>
  <si>
    <t xml:space="preserve">567R100</t>
  </si>
  <si>
    <t xml:space="preserve">Модуль временного хранения_TE вернул ошибку таймаута сообщения в ходе готовности к операции Начало Выдачи (Withdrawal Ready).</t>
  </si>
  <si>
    <t xml:space="preserve">567R200</t>
  </si>
  <si>
    <t xml:space="preserve">Модуль временного хранения_TE вернул ошибку таймаута сообщения в ходе операции transaction operation int the Начало Выдачи (Withdrawal Ready).</t>
  </si>
  <si>
    <t xml:space="preserve">567R300</t>
  </si>
  <si>
    <t xml:space="preserve">Модуль временного хранения_TE вернул ошибку таймаута сообщения в ходе постпроцессинга ошибки операции Начало Выдачи (Withdrawal Ready Error).</t>
  </si>
  <si>
    <t xml:space="preserve">567RJ00</t>
  </si>
  <si>
    <t xml:space="preserve">Модуль временного хранения_TE вернул ошибку таймаута сообщения в ходе операции Начало Остановки (Stop Ready) Начало Выдачи (Withdrawal Ready).</t>
  </si>
  <si>
    <t xml:space="preserve">568HA01</t>
  </si>
  <si>
    <t xml:space="preserve">Ошибка датчика GS801A в ходе операции Начало Выдачи (Withdrawal Ready).</t>
  </si>
  <si>
    <t xml:space="preserve">568HA02</t>
  </si>
  <si>
    <t xml:space="preserve">Ошибка датчика GS801B в ходе операции Начало Выдачи (Withdrawal Ready).</t>
  </si>
  <si>
    <t xml:space="preserve">568HA03</t>
  </si>
  <si>
    <t xml:space="preserve">Ошибка датчиков GS801A, GS801B в ходе операции Начало Выдачи (Withdrawal Ready).</t>
  </si>
  <si>
    <t xml:space="preserve">568HA04</t>
  </si>
  <si>
    <t xml:space="preserve">Ошибка датчика GS802A в ходе операции Начало Выдачи (Withdrawal Ready).</t>
  </si>
  <si>
    <t xml:space="preserve">568HA05</t>
  </si>
  <si>
    <t xml:space="preserve">Ошибка датчиков GS801A, GS802A в ходе операции Начало Выдачи (Withdrawal Ready).</t>
  </si>
  <si>
    <t xml:space="preserve">568HA06</t>
  </si>
  <si>
    <t xml:space="preserve">Ошибка датчиков GS801B, GS802A в ходе операции Начало Выдачи (Withdrawal Ready).</t>
  </si>
  <si>
    <t xml:space="preserve">568HA07</t>
  </si>
  <si>
    <t xml:space="preserve">Ошибка датчиков GS801A, GS801B, GS802A в ходе операции Начало Выдачи (Withdrawal Ready).</t>
  </si>
  <si>
    <t xml:space="preserve">568HA08</t>
  </si>
  <si>
    <t xml:space="preserve">Ошибка датчика GS802B в ходе операции Начало Выдачи (Withdrawal Ready).</t>
  </si>
  <si>
    <t xml:space="preserve">568HA09</t>
  </si>
  <si>
    <t xml:space="preserve">Ошибка датчиков GS801A, GS802B в ходе операции Начало Выдачи (Withdrawal Ready).</t>
  </si>
  <si>
    <t xml:space="preserve">568HA10</t>
  </si>
  <si>
    <t xml:space="preserve">Ошибка датчиков GS801B, GS802B в ходе операции Начало Выдачи (Withdrawal Ready).</t>
  </si>
  <si>
    <t xml:space="preserve">568HA11</t>
  </si>
  <si>
    <t xml:space="preserve">Ошибка датчиков GS801A, GS801B, GS802B в ходе операции Начало Выдачи (Withdrawal Ready).</t>
  </si>
  <si>
    <t xml:space="preserve">568HA12</t>
  </si>
  <si>
    <t xml:space="preserve">Ошибка датчиков GS802A, GS802B в ходе операции Начало Выдачи (Withdrawal Ready).</t>
  </si>
  <si>
    <t xml:space="preserve">568HA13</t>
  </si>
  <si>
    <t xml:space="preserve">Ошибка датчиков GS801A, GS802A, GS802B в ходе операции Начало Выдачи (Withdrawal Ready).</t>
  </si>
  <si>
    <t xml:space="preserve">568HA14</t>
  </si>
  <si>
    <t xml:space="preserve">Ошибка датчиков GS801B, GS802A, GS802B в ходе операции Начало Выдачи (Withdrawal Ready).</t>
  </si>
  <si>
    <t xml:space="preserve">568HA15</t>
  </si>
  <si>
    <t xml:space="preserve">Ошибка датчиков GS801A, GS801B, GS802A, GS802B в ходе операции Начало Выдачи (Withdrawal Ready).</t>
  </si>
  <si>
    <t xml:space="preserve">568HF03</t>
  </si>
  <si>
    <t xml:space="preserve">Ошибка загрузки данных шейдинга Контактного датчика изображения CIS в ходе операции Начало Выдачи (Withdrawal Ready).</t>
  </si>
  <si>
    <t xml:space="preserve">568HF04</t>
  </si>
  <si>
    <t xml:space="preserve">Ошибка загрузки таблицы БД распознавания в ходе операции Начало Выдачи (Withdrawal Ready).</t>
  </si>
  <si>
    <t xml:space="preserve">568HF05</t>
  </si>
  <si>
    <t xml:space="preserve">Ошибка контрольной суммы данных ПЛИС Модуля Валидатора банкнот BC в ходе операции Начало Выдачи (Withdrawal Ready).</t>
  </si>
  <si>
    <t xml:space="preserve">568HF06</t>
  </si>
  <si>
    <t xml:space="preserve">Ошибка конфигурации ПЛИС Модуля Валидатора банкнот BC в ходе операции Начало Выдачи (Withdrawal Ready).</t>
  </si>
  <si>
    <t xml:space="preserve">568HF07</t>
  </si>
  <si>
    <t xml:space="preserve">Ошибка загрузки данных заголовка ПЛИС Модуля Валидатора банкнот BC header в ходе операции Начало Выдачи (Withdrawal Ready).</t>
  </si>
  <si>
    <t xml:space="preserve">568HF08</t>
  </si>
  <si>
    <t xml:space="preserve">Ошибка инициализации ПЛИС в ходе операции Начало Выдачи (Withdrawal Ready).</t>
  </si>
  <si>
    <t xml:space="preserve">568HF09</t>
  </si>
  <si>
    <t xml:space="preserve">Ошибка чтения ПЛИС в ходе операции Начало Выдачи (Withdrawal Ready).</t>
  </si>
  <si>
    <t xml:space="preserve">568HF11</t>
  </si>
  <si>
    <t xml:space="preserve">Ошибка загрузки Базы Данных распознавания #01 в ходе операции Начало Выдачи (Withdrawal Ready).</t>
  </si>
  <si>
    <t xml:space="preserve">568HF12</t>
  </si>
  <si>
    <t xml:space="preserve">Ошибка загрузки Базы Данных распознавания #02 в ходе операции Начало Выдачи (Withdrawal Ready).</t>
  </si>
  <si>
    <t xml:space="preserve">568HF13</t>
  </si>
  <si>
    <t xml:space="preserve">Ошибка загрузки Базы Данных распознавания #03 в ходе операции Начало Выдачи (Withdrawal Ready).</t>
  </si>
  <si>
    <t xml:space="preserve">568HF14</t>
  </si>
  <si>
    <t xml:space="preserve">Ошибка загрузки Базы Данных распознавания #04 в ходе операции Начало Выдачи (Withdrawal Ready).</t>
  </si>
  <si>
    <t xml:space="preserve">568HF15</t>
  </si>
  <si>
    <t xml:space="preserve">Ошибка загрузки Базы Данных распознавания #05 в ходе операции Начало Выдачи (Withdrawal Ready).</t>
  </si>
  <si>
    <t xml:space="preserve">568HF16</t>
  </si>
  <si>
    <t xml:space="preserve">Ошибка загрузки Базы Данных распознавания #06 в ходе операции Начало Выдачи (Withdrawal Ready).</t>
  </si>
  <si>
    <t xml:space="preserve">568HF17</t>
  </si>
  <si>
    <t xml:space="preserve">Ошибка загрузки Базы Данных распознавания #07 в ходе операции Начало Выдачи (Withdrawal Ready).</t>
  </si>
  <si>
    <t xml:space="preserve">568HF18</t>
  </si>
  <si>
    <t xml:space="preserve">Ошибка загрузки Базы Данных распознавания #08 в ходе операции Начало Выдачи (Withdrawal Ready).</t>
  </si>
  <si>
    <t xml:space="preserve">568HF19</t>
  </si>
  <si>
    <t xml:space="preserve">Ошибка загрузки Базы Данных распознавания #09 в ходе операции Начало Выдачи (Withdrawal Ready).</t>
  </si>
  <si>
    <t xml:space="preserve">568HF20</t>
  </si>
  <si>
    <t xml:space="preserve">Ошибка загрузки Базы Данных распознавания #10 в ходе операции Начало Выдачи (Withdrawal Ready).</t>
  </si>
  <si>
    <t xml:space="preserve">568HG01</t>
  </si>
  <si>
    <t xml:space="preserve">Ошибка установки режима при выполнении команды BCU mode в ходе операции Начало Выдачи (Withdrawal Ready).</t>
  </si>
  <si>
    <t xml:space="preserve">568HG02</t>
  </si>
  <si>
    <t xml:space="preserve">Ошибка установленного уровня распознавания при выполнении команды BCU mode в ходе операции Начало Выдачи (Withdrawal Ready).</t>
  </si>
  <si>
    <t xml:space="preserve">568HG03</t>
  </si>
  <si>
    <t xml:space="preserve">Ошибка установки начала транзакции при выполнении команды BCU ready в ходе операции Начало Выдачи (Withdrawal Ready).</t>
  </si>
  <si>
    <t xml:space="preserve">568HG04</t>
  </si>
  <si>
    <t xml:space="preserve">Ошибка установки режима при выполнении команды BCU ready в ходе операции Начало Выдачи (Withdrawal Ready).</t>
  </si>
  <si>
    <t xml:space="preserve">568HG05</t>
  </si>
  <si>
    <t xml:space="preserve">Ошибка установленного уровня распознавания при выполнении команды BCU ready в ходе операции Начало Выдачи (Withdrawal Ready).</t>
  </si>
  <si>
    <t xml:space="preserve">568HG06</t>
  </si>
  <si>
    <t xml:space="preserve">Ошибка направления внесения Модуля Валидатора банкнот BC при выполнении команды BCU ready в ходе операции Начало Выдачи (Withdrawal Ready).</t>
  </si>
  <si>
    <t xml:space="preserve">568HG07</t>
  </si>
  <si>
    <t xml:space="preserve">Ошибка получения неопределенной команды Модуля Валидатора банкнот BCU в ходе операции Начало Выдачи (Withdrawal Ready).</t>
  </si>
  <si>
    <t xml:space="preserve">568HG08</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</si>
  <si>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Начало Выдачи (Withdrawal Ready).</t>
  </si>
  <si>
    <t xml:space="preserve">568HG09</t>
  </si>
  <si>
    <t xml:space="preserve">Ошибка настройки кода страны при выполнении команды записи данных в Модуль Валидатора банкнот BCUв ходе операции Начало Выдачи (Withdrawal Ready).</t>
  </si>
  <si>
    <t xml:space="preserve">568HG10</t>
  </si>
  <si>
    <t xml:space="preserve">Ошибка отсутствия БД распознавания для страны в процессе получения команды BCU data write в ходе операции Начало Выдачи (Withdrawal Ready).</t>
  </si>
  <si>
    <t xml:space="preserve">568HG11</t>
  </si>
  <si>
    <t xml:space="preserve">Не установлен код страны при получении команды BCU ready в ходе операции Начало Выдачи (Withdrawal Ready).</t>
  </si>
  <si>
    <t xml:space="preserve">568HG12</t>
  </si>
  <si>
    <t xml:space="preserve">Спецификация Модуля Валидатора банкнот BC отличается от параметра команды записи данных в ходе операции Начало Выдачи (Withdrawal Ready).</t>
  </si>
  <si>
    <t xml:space="preserve">568HG20</t>
  </si>
  <si>
    <t xml:space="preserve">Ошибка инициализации Контактного датчика изображения CIS при получении команды BCU ready в ходе операции Начало Выдачи (Withdrawal Ready).</t>
  </si>
  <si>
    <t xml:space="preserve">568HG21</t>
  </si>
  <si>
    <t xml:space="preserve">Ошибка включения при получении команды BCU ready в ходе операции Начало Выдачи (Withdrawal Ready).</t>
  </si>
  <si>
    <t xml:space="preserve">568HG22</t>
  </si>
  <si>
    <t xml:space="preserve">Ошибка инициализации датчика определения сдвоенных банкнот DD при получении команды BCU ready в ходе операции Начало Выдачи (Withdrawal Ready).</t>
  </si>
  <si>
    <t xml:space="preserve">568HG23</t>
  </si>
  <si>
    <t xml:space="preserve">Ошибка настройки ЦАП Датчика определения сдвоенных банкнот DD при получении команды BCU ready в ходе операции Начало Выдачи (Withdrawal Ready).</t>
  </si>
  <si>
    <t xml:space="preserve">568HG24</t>
  </si>
  <si>
    <t xml:space="preserve">Ошибка режима настройки энкодера при получении команды BCU ready в ходе операции Начало Выдачи (Withdrawal Ready).</t>
  </si>
  <si>
    <t xml:space="preserve">568HG36</t>
  </si>
  <si>
    <t xml:space="preserve">Ошибка режима распознавания при выполнении команды receiving BCU mode в ходе операции Начало Выдачи (Withdrawal Ready).</t>
  </si>
  <si>
    <t xml:space="preserve">568HG37</t>
  </si>
  <si>
    <t xml:space="preserve">Ошибка настроек транзакции при выполнении команды receiving BCU mode в ходе операции Начало Выдачи (Withdrawal Ready).</t>
  </si>
  <si>
    <t xml:space="preserve">568HI01</t>
  </si>
  <si>
    <t xml:space="preserve">Ошибка тайм-аута RecogTask Message в ходе операции Начало Выдачи (Withdrawal Ready).</t>
  </si>
  <si>
    <t xml:space="preserve">568HI02</t>
  </si>
  <si>
    <t xml:space="preserve">Ошибка тайм-аута ScanTask Message в ходе операции Начало Выдачи (Withdrawal Ready).</t>
  </si>
  <si>
    <t xml:space="preserve">568HI03</t>
  </si>
  <si>
    <t xml:space="preserve">Ошибка тайм-аута UartTask Message в ходе операции Начало Выдачи (Withdrawal Ready).</t>
  </si>
  <si>
    <t xml:space="preserve">568HI04</t>
  </si>
  <si>
    <t xml:space="preserve">Ошибка тайм-аута BcUsbTask Message в ходе операции Начало Выдачи (Withdrawal Ready).</t>
  </si>
  <si>
    <t xml:space="preserve">568HJ01</t>
  </si>
  <si>
    <t xml:space="preserve">Ошибка инициализации алгоритма распознавания в ходе операции Начало Выдачи (Withdrawal Ready).</t>
  </si>
  <si>
    <t xml:space="preserve">568HJ02</t>
  </si>
  <si>
    <t xml:space="preserve">Ошибка готовности Алгоритма Распознавания в ходе операции Начало Выдачи (Withdrawal Ready).</t>
  </si>
  <si>
    <t xml:space="preserve">568HJ03</t>
  </si>
  <si>
    <t xml:space="preserve">Ошибка алгоритма распознавания набора валют в ходе операции Начало Выдачи (Withdrawal Ready).</t>
  </si>
  <si>
    <t xml:space="preserve">568HS01</t>
  </si>
  <si>
    <t xml:space="preserve">Ошибка ПЛИС Write Scan Driver Init в ходе операции Начало Выдачи (Withdrawal Ready).</t>
  </si>
  <si>
    <t xml:space="preserve">568HS02</t>
  </si>
  <si>
    <t xml:space="preserve">Ошибка Sensor (MR/UV/DD/Gate) Power Off Scan Driver Init в ходе операции Начало Выдачи (Withdrawal Ready).</t>
  </si>
  <si>
    <t xml:space="preserve">568HS03</t>
  </si>
  <si>
    <t xml:space="preserve">Ошибка Контактного датчика изображения CIS Led On Value Set Fail Scan Driver Init в ходе операции Начало Выдачи (Withdrawal Ready).</t>
  </si>
  <si>
    <t xml:space="preserve">568HS04</t>
  </si>
  <si>
    <t xml:space="preserve">Ошибка Источника Света Set Fail Scan Driver Init в ходе операции Начало Выдачи (Withdrawal Ready).</t>
  </si>
  <si>
    <t xml:space="preserve">568HS05</t>
  </si>
  <si>
    <t xml:space="preserve">Ошибка Контактного датчика изображения CIS Shading Scan Driver Init в ходе операции Начало Выдачи (Withdrawal Ready).</t>
  </si>
  <si>
    <t xml:space="preserve">568HS08</t>
  </si>
  <si>
    <t xml:space="preserve">Ошибка ЦАП Set Fail Scan Driver Init в ходе операции Начало Выдачи (Withdrawal Ready).</t>
  </si>
  <si>
    <t xml:space="preserve">568HS11</t>
  </si>
  <si>
    <t xml:space="preserve">Ошибка ПЛИС Write BCU Ready в ходе операции Начало Выдачи (Withdrawal Ready).</t>
  </si>
  <si>
    <t xml:space="preserve">568HS12</t>
  </si>
  <si>
    <t xml:space="preserve">Ошибка Sensor (MR/UV/DD/Gate) Power Off BCU Ready в ходе операции Начало Выдачи (Withdrawal Ready).</t>
  </si>
  <si>
    <t xml:space="preserve">568HS13</t>
  </si>
  <si>
    <t xml:space="preserve">Ошибка Контактного датчика изображения CIS Led On Value Set Fail BCU Ready в ходе операции Начало Выдачи (Withdrawal Ready).</t>
  </si>
  <si>
    <t xml:space="preserve">568HS14</t>
  </si>
  <si>
    <t xml:space="preserve">Ошибка Источника Света Set Fail BCU Ready в ходе операции Начало Выдачи (Withdrawal Ready).</t>
  </si>
  <si>
    <t xml:space="preserve">568HS15</t>
  </si>
  <si>
    <t xml:space="preserve">Ошибка Контактного датчика изображения CIS Shading BCU Ready в ходе операции Начало Выдачи (Withdrawal Ready).</t>
  </si>
  <si>
    <t xml:space="preserve">568HS17</t>
  </si>
  <si>
    <t xml:space="preserve">Ошибка AFE Chip Set BCU Ready в ходе операции Начало Выдачи (Withdrawal Ready).</t>
  </si>
  <si>
    <t xml:space="preserve">568HS18</t>
  </si>
  <si>
    <t xml:space="preserve">Ошибка ЦАП Set Fail BCU Ready в ходе операции Начало Выдачи (Withdrawal Ready).</t>
  </si>
  <si>
    <t xml:space="preserve">568HS19</t>
  </si>
  <si>
    <t xml:space="preserve">Ошибка MR/UV/DD Sampling BCU Ready в ходе операции Начало Выдачи (Withdrawal Ready).</t>
  </si>
  <si>
    <t xml:space="preserve">568HS1A</t>
  </si>
  <si>
    <t xml:space="preserve">Ошибка ЦАП Датчика Холла Set Fail BCU Ready в ходе операции Начало Выдачи (Withdrawal Ready).</t>
  </si>
  <si>
    <t xml:space="preserve">568HS1B</t>
  </si>
  <si>
    <t xml:space="preserve">Ошибка Датчика Холла Shading Fail BCU Ready в ходе операции Начало Выдачи (Withdrawal Ready).</t>
  </si>
  <si>
    <t xml:space="preserve">568HS22</t>
  </si>
  <si>
    <t xml:space="preserve">Ошибка Модуля Валидатора BC Stop Sensor (MR/UV/DD/Gate) Power Off Scan Driver Init в ходе операции Начало Выдачи (Withdrawal Ready).</t>
  </si>
  <si>
    <t xml:space="preserve">568HS28</t>
  </si>
  <si>
    <t xml:space="preserve">Ошибка Модуля Валидатора BC Stop DAC Set Fail Scan Driver Init в ходе операции Начало Выдачи (Withdrawal Ready).</t>
  </si>
  <si>
    <t xml:space="preserve">568HS29</t>
  </si>
  <si>
    <t xml:space="preserve">Ошибка Модуля Валидатора BC Stop MR/UV/DD Sampling BCU Ready в ходе операции Начало Выдачи (Withdrawal Ready).</t>
  </si>
  <si>
    <t xml:space="preserve">568R100</t>
  </si>
  <si>
    <t xml:space="preserve">Модуль Валидатора BC вернул ошибку таймаута сообщения в ходе готовности к операции Начало Выдачи (Withdrawal Ready).</t>
  </si>
  <si>
    <t xml:space="preserve">568R200</t>
  </si>
  <si>
    <t xml:space="preserve">Модуль Валидатора BC вернул ошибку таймаута сообщения при проведении транзакции в ходе операции Начало Выдачи (Withdrawal Ready).</t>
  </si>
  <si>
    <t xml:space="preserve">568R300</t>
  </si>
  <si>
    <t xml:space="preserve">Модуль Валидатора BC вернул ошибку таймаута сообщения в ходе постпроцессинга ошибки операции Начало Выдачи (Withdrawal Ready Error).</t>
  </si>
  <si>
    <t xml:space="preserve">568R900</t>
  </si>
  <si>
    <t xml:space="preserve">Модуль Валидатора BC вернул ошибку таймаута сообщения в ходе операции Начало Выдачи (Withdrawal Ready).</t>
  </si>
  <si>
    <t xml:space="preserve">568RJ00</t>
  </si>
  <si>
    <t xml:space="preserve">Модуль Валидатора BC вернул ошибку таймаута сообщения в ходе операции Начало Остановки (Stop Ready) Начало Выдачи (Withdrawal Ready).</t>
  </si>
  <si>
    <t xml:space="preserve">568S100</t>
  </si>
  <si>
    <t xml:space="preserve">Получена неправильная Информация о памяти MI от Модуля Валидатора банкнот BC в ходе операции Начало Выдачи (Withdrawal Ready).</t>
  </si>
  <si>
    <t xml:space="preserve">568S200</t>
  </si>
  <si>
    <t xml:space="preserve">Получен ненормальный BCC от Модуля Валидатора банкнот в ходе операции Начало Выдачи (Withdrawal Ready).</t>
  </si>
  <si>
    <t xml:space="preserve">568S400</t>
  </si>
  <si>
    <t xml:space="preserve">Получена ошибка ETC. от Модуля Валидатора банкнот BC в ходе операции Начало Выдачи (Withdrawal Ready).</t>
  </si>
  <si>
    <t xml:space="preserve">568S900</t>
  </si>
  <si>
    <t xml:space="preserve">Датчик Кассеты Отбраковки RJC GSA03 сообщил об ошибке замятия по Темному типу в ходе операции Начало Выдачи (Withdrawal Ready).</t>
  </si>
  <si>
    <t xml:space="preserve">1. Откройте нижнюю часть Модуля Рециркуляции Банкнот 2. Откройте Средний Транспортный Тракт 3. Откройте Кассету Отбраковки (21) 4. Удалите посторонние предметы из Кассеты Отбраковки (21) 5. В случае отсутствия банкнот или посторонних предметов проверьте не загрязнен ли датчик.</t>
  </si>
  <si>
    <t xml:space="preserve">Датчик Кассеты Отбраковки RJC GSA05 сообщил об ошибке замятия по Темному типу druing Начало Выдачи (Withdrawal Ready).</t>
  </si>
  <si>
    <t xml:space="preserve">569J100</t>
  </si>
  <si>
    <t xml:space="preserve">Переполненная Кассета Отбраковки RJC в ходе операции Начало Выдачи (Withdrawal Ready).</t>
  </si>
  <si>
    <t xml:space="preserve">569P100</t>
  </si>
  <si>
    <t xml:space="preserve">Ошибка мотора Кассеты Отбраковки RJC в ходе операции Начало Выдачи (Withdrawal Ready).</t>
  </si>
  <si>
    <t xml:space="preserve">56A2100</t>
  </si>
  <si>
    <t xml:space="preserve">Оставшиеся банкноты в Возвращающем Транспортном Тракте (GS801) перед выполнением операции Начало Выдачи (Withdrawal Ready).</t>
  </si>
  <si>
    <t xml:space="preserve">56A2200</t>
  </si>
  <si>
    <t xml:space="preserve">Оставшиеся банкноты в Возвращающем Транспортном Тракте (GS002) перед выполнением операции Начало Выдачи (Withdrawal Ready).</t>
  </si>
  <si>
    <t xml:space="preserve">56A2300</t>
  </si>
  <si>
    <t xml:space="preserve">Оставшиеся банкноты в Возвращающем Транспортном Тракте (GS003) перед выполнением операции Начало Выдачи (Withdrawal Ready).</t>
  </si>
  <si>
    <t xml:space="preserve">56A2400</t>
  </si>
  <si>
    <t xml:space="preserve">Оставшиеся банкноты в Возвращающем Транспортном Тракте (GS004) перед выполнением операции Начало Выдачи (Withdrawal Ready).</t>
  </si>
  <si>
    <t xml:space="preserve">56A2500</t>
  </si>
  <si>
    <t xml:space="preserve">Оставшиеся банкноты в Возвращающем Транспортном Тракте (GS005) перед выполнением операции Начало Выдачи (Withdrawal Ready).</t>
  </si>
  <si>
    <t xml:space="preserve">56A2600</t>
  </si>
  <si>
    <t xml:space="preserve">Оставшиеся банкноты в Возвращающем Транспортном Тракте (GS006) перед выполнением операции Начало Выдачи (Withdrawal Ready).</t>
  </si>
  <si>
    <t xml:space="preserve">56A2A00</t>
  </si>
  <si>
    <t xml:space="preserve">Оставшиеся банкноты в Возвращающем Транспортном Тракте (GS021) перед выполнением операции Начало Выдачи (Withdrawal Ready).</t>
  </si>
  <si>
    <t xml:space="preserve">56A2B00</t>
  </si>
  <si>
    <t xml:space="preserve">Оставшиеся банкноты в Возвращающем Транспортном Тракте (GS022) перед выполнением операции Начало Выдачи (Withdrawal Ready).</t>
  </si>
  <si>
    <t xml:space="preserve">56A2G00</t>
  </si>
  <si>
    <t xml:space="preserve">Оставшиеся банкноты в Возвращающем Транспортном Тракте (GS614) перед выполнением операции Начало Выдачи (Withdrawal Ready).</t>
  </si>
  <si>
    <t xml:space="preserve">56A2H00</t>
  </si>
  <si>
    <t xml:space="preserve">Оставшиеся банкноты в Возвращающем Транспортном Тракте (GS618) перед выполнением операции Начало Выдачи (Withdrawal Ready).</t>
  </si>
  <si>
    <t xml:space="preserve">56A2J00</t>
  </si>
  <si>
    <t xml:space="preserve">Оставшиеся банкноты в Возвращающем Транспортном Тракте (GS619) перед выполнением операции Начало Выдачи (Withdrawal Ready).</t>
  </si>
  <si>
    <t xml:space="preserve">56A2K00</t>
  </si>
  <si>
    <t xml:space="preserve">Оставшиеся банкноты в Возвращающем Транспортном Тракте (GS703) перед выполнением операции Начало Выдачи (Withdrawal Ready).</t>
  </si>
  <si>
    <t xml:space="preserve">56A2M00</t>
  </si>
  <si>
    <t xml:space="preserve">Оставшиеся банкноты в Возвращающем Транспортном Тракте (GS031) перед выполнением операции Начало Выдачи (Withdrawal Ready).</t>
  </si>
  <si>
    <t xml:space="preserve">56A2N00</t>
  </si>
  <si>
    <t xml:space="preserve">Оставшиеся банкноты в Возвращающем Транспортном Тракте (GS032) перед выполнением операции Начало Выдачи (Withdrawal Ready).</t>
  </si>
  <si>
    <t xml:space="preserve">56A2P00</t>
  </si>
  <si>
    <t xml:space="preserve">Оставшиеся банкноты в Возвращающем Транспортном Тракте (GS033) перед выполнением операции Начало Выдачи (Withdrawal Ready).</t>
  </si>
  <si>
    <t xml:space="preserve">56A2Q00</t>
  </si>
  <si>
    <t xml:space="preserve">Оставшиеся банкноты в Возвращающем Транспортном Тракте (GS034) перед выполнением операции Начало Выдачи (Withdrawal Ready).</t>
  </si>
  <si>
    <t xml:space="preserve">56A2W00</t>
  </si>
  <si>
    <t xml:space="preserve">Оставшиеся банкноты в Возвращающем Транспортном Тракте (GS802) перед выполнением операции Начало Выдачи (Withdrawal Ready).</t>
  </si>
  <si>
    <t xml:space="preserve">56AA100</t>
  </si>
  <si>
    <t xml:space="preserve">Вынутое состояние Вспомогательной (невостребованных/фальшивых банкнот) Кассеты UTC перед выполнением операции Начало Выдачи (Withdrawal Ready).</t>
  </si>
  <si>
    <t xml:space="preserve">56AA200</t>
  </si>
  <si>
    <t xml:space="preserve">Модуль временного хранения открыт перед выполнением операции Начало Выдачи (Withdrawal Ready).</t>
  </si>
  <si>
    <t xml:space="preserve">56AA300</t>
  </si>
  <si>
    <t xml:space="preserve">Отстыкованное состояние концевого переключателя (inter lock) Верхней части Модуля Рециркуляции Банкнот BMU перед выполнением операции Начало Выдачи (Withdrawal Ready).</t>
  </si>
  <si>
    <t xml:space="preserve">56AA400</t>
  </si>
  <si>
    <t xml:space="preserve">Выдвинутое состояние Верхней части Модуля Рециркуляции Банкнот BMU перед выполнением операции Начало Выдачи (Withdrawal Ready).</t>
  </si>
  <si>
    <t xml:space="preserve">56AA600</t>
  </si>
  <si>
    <t xml:space="preserve">Открыт Модуль обслуживания клиентов CSM перед выполнением операции Начало Выдачи (Withdrawal Ready).</t>
  </si>
  <si>
    <t xml:space="preserve">56AA700</t>
  </si>
  <si>
    <t xml:space="preserve">Вынутое состояние Кассеты Отбраковки RJC перед выполнением операции Начало Выдачи (Withdrawal Ready).</t>
  </si>
  <si>
    <t xml:space="preserve">56AA800</t>
  </si>
  <si>
    <t xml:space="preserve">Отстыкованное состояние концевого переключателя (inter lock) Нижней части Модуля Рециркуляции Банкнот BMD перед выполнением операции Начало Выдачи (Withdrawal Ready).</t>
  </si>
  <si>
    <t xml:space="preserve">56AA900</t>
  </si>
  <si>
    <t xml:space="preserve">Выдвинутое состояние Нижней части Модуля Рециркуляции Банкнот BMD перед выполнением операции Начало Выдачи (Withdrawal Ready).</t>
  </si>
  <si>
    <t xml:space="preserve">56AAA00</t>
  </si>
  <si>
    <t xml:space="preserve">Модуль Валидатора банкнот BC открыт перед работой в ходе операции Начало Выдачи (Withdrawal Ready).</t>
  </si>
  <si>
    <t xml:space="preserve">56AAB00</t>
  </si>
  <si>
    <t xml:space="preserve">Переполненная Кассета Рециркуляции RC перед выполнением операции Начало Выдачи (Withdrawal Ready).</t>
  </si>
  <si>
    <t xml:space="preserve">56AAC00</t>
  </si>
  <si>
    <t xml:space="preserve">Переполненная Кассета Отбраковки RJC перед выполнением операции Начало Выдачи (Withdrawal Ready).</t>
  </si>
  <si>
    <t xml:space="preserve">56AAD00</t>
  </si>
  <si>
    <t xml:space="preserve">Переполненная Вспомогательная кассета UTC1 перед выполнением операции Начало Выдачи (Withdrawal Ready).</t>
  </si>
  <si>
    <t xml:space="preserve">56AAE00</t>
  </si>
  <si>
    <t xml:space="preserve">Переполненная Вспомогательная кассета UTC2 перед выполнением операции Начало Выдачи (Withdrawal Ready).</t>
  </si>
  <si>
    <t xml:space="preserve">56AAF00</t>
  </si>
  <si>
    <t xml:space="preserve">Пустая Кассета Рециркуляции RC перед выполнением операции Начало Выдачи (Withdrawal Ready).</t>
  </si>
  <si>
    <t xml:space="preserve">56AE100</t>
  </si>
  <si>
    <t xml:space="preserve">Получена операция без выполнения команды установки начальных данных (Initail Info Set) в ходе операции Начало Выдачи (Withdrawal Ready).</t>
  </si>
  <si>
    <t xml:space="preserve">56AE200</t>
  </si>
  <si>
    <t xml:space="preserve">Состояние not operation при получении команды в ходе операции Начало Выдачи (Withdrawal Ready).</t>
  </si>
  <si>
    <t xml:space="preserve">56AE300</t>
  </si>
  <si>
    <t xml:space="preserve">Получена команда выполнения без выполнения операции Чтение Системных Данных (Read System Info) в ходе операции Начало Выдачи (Withdrawal Ready).</t>
  </si>
  <si>
    <t xml:space="preserve">56AE400</t>
  </si>
  <si>
    <t xml:space="preserve">Транзакция Начало Выдачи (Withdrawal Ready) была выполнена без Инициализации после включения питания.</t>
  </si>
  <si>
    <t xml:space="preserve">56AE600</t>
  </si>
  <si>
    <t xml:space="preserve">Ошибка обработки операции Начало Выдачи (Withdrawal Ready) в ходе операции Работа кнопки TE (TE Button Operating).</t>
  </si>
  <si>
    <t xml:space="preserve">56AEE00</t>
  </si>
  <si>
    <t xml:space="preserve">Нарушение последовательности сообщений интерфейса RS485 платы контроллера RBU в ходе операции Начало Выдачи (Withdrawal Ready).</t>
  </si>
  <si>
    <t xml:space="preserve">56AEF00</t>
  </si>
  <si>
    <t xml:space="preserve">Нарушение линии связи интерфейса RS485 платы контроллера RBU в ходе операции Начало Выдачи (Withdrawal Ready).</t>
  </si>
  <si>
    <t xml:space="preserve">56AH500</t>
  </si>
  <si>
    <t xml:space="preserve">Ошибка Чтения/Записи памяти NVRAM (128 деноминаций) в ходе операции Начало Выдачи (Withdrawal Ready).</t>
  </si>
  <si>
    <t xml:space="preserve">56AR100</t>
  </si>
  <si>
    <t xml:space="preserve">Возвращена ошибка таймаута сообщения в ходе готовности к операции Начало Выдачи (Withdrawal Ready).</t>
  </si>
  <si>
    <t xml:space="preserve">56AR200</t>
  </si>
  <si>
    <t xml:space="preserve">Возвращена ошибка таймаута сообщения transation operation в ходе операции Начало Выдачи (Withdrawal Ready).</t>
  </si>
  <si>
    <t xml:space="preserve">56AR300</t>
  </si>
  <si>
    <t xml:space="preserve">Возвращена ошибка таймаута сообщения в ходе постпроцессинга ошибки операции Начало Выдачи (Withdrawal Ready).</t>
  </si>
  <si>
    <t xml:space="preserve">56AR700</t>
  </si>
  <si>
    <t xml:space="preserve">Возвращена ошибка таймаута сообщения от контроллера RBU в ходе операции Начало Выдачи (Withdrawal Ready).</t>
  </si>
  <si>
    <t xml:space="preserve">56ARC00</t>
  </si>
  <si>
    <t xml:space="preserve">56ARJ00</t>
  </si>
  <si>
    <t xml:space="preserve">Возвращена ошибка таймаута сообщения в ходе операции Начало Остановки (Stop Ready) в ходе операции Начало Выдачи (Withdrawal Ready).</t>
  </si>
  <si>
    <t xml:space="preserve">56BS000</t>
  </si>
  <si>
    <t xml:space="preserve">Ошибка таймаута связи контроллера RBU в ходе операции Начало Выдачи (Withdrawal Ready).</t>
  </si>
  <si>
    <t xml:space="preserve">56BS100</t>
  </si>
  <si>
    <t xml:space="preserve">Ошибка последовательности сообщений платы контроллера RBU в ходе операции Начало Выдачи (Withdrawal Ready).</t>
  </si>
  <si>
    <t xml:space="preserve">56BS200</t>
  </si>
  <si>
    <t xml:space="preserve">Ошибка Информации о памяти MI в ходе соединения контроллера RBU в ходе операции Начало Выдачи (Withdrawal Ready).</t>
  </si>
  <si>
    <t xml:space="preserve">56US100</t>
  </si>
  <si>
    <t xml:space="preserve">Ошибка дублирования номера последовательности USB в ходе операции Начало Выдачи (Withdrawal Ready).</t>
  </si>
  <si>
    <t xml:space="preserve">56US300</t>
  </si>
  <si>
    <t xml:space="preserve">Ошибка длины данных команды USB  в ходе операции Начало Выдачи (Withdrawal Ready).</t>
  </si>
  <si>
    <t xml:space="preserve">GS801 сообщил об ошибке замятия по Светлому типу в ходе операции Выдача (Withdrawal).</t>
  </si>
  <si>
    <t xml:space="preserve">GS002 сообщил об ошибке замятия по Светлому типу в ходе операции Выдача (Withdrawal).</t>
  </si>
  <si>
    <t xml:space="preserve">GS003 сообщил об ошибке замятия по Светлому типу в ходе операции Выдача (Withdrawal).</t>
  </si>
  <si>
    <t xml:space="preserve">GS005 сообщил об ошибке замятия по Светлому типу в ходе операции Выдача (Withdrawal).</t>
  </si>
  <si>
    <t xml:space="preserve">1. Откройте верхнюю часть Модуля Рециркуляции Банкнот 2. Откройте модуль Временного хранения_TE (Временный Эскроу) (12) 3. Откройте Задний Транспортный Тракт (6) 4. Удалите замятие между Задним Транспортным Трактом (6) и Модулем временного хранения_TE (12).</t>
  </si>
  <si>
    <t xml:space="preserve">5700A00</t>
  </si>
  <si>
    <t xml:space="preserve">GS021 сообщил об ошибке замятия по Светлому типу в ходе операции Выдача (Withdrawal).</t>
  </si>
  <si>
    <t xml:space="preserve">5700G00</t>
  </si>
  <si>
    <t xml:space="preserve">GS614 сообщил об ошибке замятия по Светлому типу в ходе операции Выдача (Withdrawal).</t>
  </si>
  <si>
    <t xml:space="preserve">5700H00</t>
  </si>
  <si>
    <t xml:space="preserve">GS618 сообщил об ошибке замятия по Светлому типу в ходе операции Выдача (Withdrawal).</t>
  </si>
  <si>
    <t xml:space="preserve">1. Откройте верхнюю часть Модуля Рециркуляции Банкнот 2. Откройте Модуль обслуживания клиентов CSM и Модуль временного хранения_TE (временный эскроу) (12) 3. Откройте Задний Транспортный Тракт (6) 4. Удалите замятие между Задним Транспортным Трактом (6) и Задним Транспортным Трактом (11).</t>
  </si>
  <si>
    <t xml:space="preserve">5700J00</t>
  </si>
  <si>
    <t xml:space="preserve">GS619 сообщил об ошибке замятия по Светлому типу в ходе операции Выдача (Withdrawal).</t>
  </si>
  <si>
    <t xml:space="preserve">5700K00</t>
  </si>
  <si>
    <t xml:space="preserve">GS703 сообщил об ошибке замятия по Светлому типу в ходе операции Выдача (Withdrawal).</t>
  </si>
  <si>
    <t xml:space="preserve">1. Откройте верхнюю часть Модуля Рециркуляции Банкнот 2. Откройте модуль Временного хранения_TE (Временный Эскроу) (12) 3. Прокрутите круглую ручку Модуля временного хранения_TE (12) 4. Удалите замятие в Заднем Тарнспортном Тракте (11).</t>
  </si>
  <si>
    <t xml:space="preserve">5700M00</t>
  </si>
  <si>
    <t xml:space="preserve">GS031 сообщил об ошибке замятия по Светлому типу в ходе операции Выдача (Withdrawal).</t>
  </si>
  <si>
    <t xml:space="preserve">5700N00</t>
  </si>
  <si>
    <t xml:space="preserve">GS032 сообщил об ошибке замятия по Светлому типу в ходе операции Выдача (Withdrawal).</t>
  </si>
  <si>
    <t xml:space="preserve">5700P00</t>
  </si>
  <si>
    <t xml:space="preserve">GS033 сообщил об ошибке замятия по Светлому типу в ходе операции Выдача (Withdrawal).</t>
  </si>
  <si>
    <t xml:space="preserve">5700Q00</t>
  </si>
  <si>
    <t xml:space="preserve">GS034 сообщил об ошибке замятия по Светлому типу в ходе операции Выдача (Withdrawal).</t>
  </si>
  <si>
    <t xml:space="preserve">5700W00</t>
  </si>
  <si>
    <t xml:space="preserve">GS802 сообщил об ошибке замятия по Светлому типу в ходе операции Выдача (Withdrawal).</t>
  </si>
  <si>
    <t xml:space="preserve">1. Откройте верхнюю часть Модуля Рециркуляции Банкнот 2. Откройте Модуль обслуживания клиентов (CSM) 3. Откройте модуль Валидатора банкнот (5) 4. Удалите замятие в Модуле Валидатора банкнот (5).</t>
  </si>
  <si>
    <t xml:space="preserve">GS801 сообщил об ошибке замятия по Темному типу в ходе операции Выдача (Withdrawal).</t>
  </si>
  <si>
    <t xml:space="preserve">GS002 сообщил об ошибке замятия по Темному типу в ходе операции Выдача (Withdrawal).</t>
  </si>
  <si>
    <t xml:space="preserve">GS003 сообщил об ошибке замятия по Темному типу в ходе операции Выдача (Withdrawal).</t>
  </si>
  <si>
    <t xml:space="preserve">GS004 сообщил об ошибке замятия по Темному типу в ходе операции Выдача (Withdrawal).</t>
  </si>
  <si>
    <t xml:space="preserve">GS005 сообщил об ошибке замятия по Темному типу в ходе операции Выдача (Withdrawal).</t>
  </si>
  <si>
    <t xml:space="preserve">GS006 сообщил об ошибке замятия по Темному типу в ходе операции Выдача (Withdrawal).</t>
  </si>
  <si>
    <t xml:space="preserve">5701A00</t>
  </si>
  <si>
    <t xml:space="preserve">GS021 сообщил об ошибке замятия по Темному типу в ходе операции Выдача (Withdrawal).</t>
  </si>
  <si>
    <t xml:space="preserve">5701B00</t>
  </si>
  <si>
    <t xml:space="preserve">GS022 сообщил об ошибке замятия по Темному типу в ходе операции Выдача (Withdrawal).</t>
  </si>
  <si>
    <t xml:space="preserve">5701G00</t>
  </si>
  <si>
    <t xml:space="preserve">GS614 сообщил об ошибке замятия по Темному типу в ходе операции Выдача (Withdrawal).</t>
  </si>
  <si>
    <t xml:space="preserve">5701H00</t>
  </si>
  <si>
    <t xml:space="preserve">GS618 сообщил об ошибке замятия по Темному типу в ходе операции Выдача (Withdrawal).</t>
  </si>
  <si>
    <t xml:space="preserve">5701J00</t>
  </si>
  <si>
    <t xml:space="preserve">GS619 сообщил об ошибке замятия по Темному типу в ходе операции Выдача (Withdrawal).</t>
  </si>
  <si>
    <t xml:space="preserve">5701K00</t>
  </si>
  <si>
    <t xml:space="preserve">GS703 сообщил об ошибке замятия по Темному типу в ходе операции Выдача (Withdrawal).</t>
  </si>
  <si>
    <t xml:space="preserve">5701M00</t>
  </si>
  <si>
    <t xml:space="preserve">GS031 сообщил об ошибке замятия по Темному типу в ходе операции Выдача (Withdrawal).</t>
  </si>
  <si>
    <t xml:space="preserve">5701N00</t>
  </si>
  <si>
    <t xml:space="preserve">GS032 сообщил об ошибке замятия по Темному типу в ходе операции Выдача (Withdrawal).</t>
  </si>
  <si>
    <t xml:space="preserve">5701P00</t>
  </si>
  <si>
    <t xml:space="preserve">GS033 сообщил об ошибке замятия по Темному типу в ходе операции Выдача (Withdrawal).</t>
  </si>
  <si>
    <t xml:space="preserve">5701Q00</t>
  </si>
  <si>
    <t xml:space="preserve">GS034 сообщил об ошибке замятия по Темному типу в ходе операции Выдача (Withdrawal).</t>
  </si>
  <si>
    <t xml:space="preserve">5701W00</t>
  </si>
  <si>
    <t xml:space="preserve">GS802 сообщил об ошибке замятия по Темному типу в ходе операции Выдача (Withdrawal).</t>
  </si>
  <si>
    <t xml:space="preserve">Произошла ошибка оставшихся банкнот в области датчика GS801 в ходе операции Выдача (Withdrawal).</t>
  </si>
  <si>
    <t xml:space="preserve">Произошла ошибка оставшихся банкнот в области датчика GS002 в ходе операции Выдача (Withdrawal).</t>
  </si>
  <si>
    <t xml:space="preserve">Произошла ошибка оставшихся банкнот в области датчика GS003 в ходе операции Выдача (Withdrawal).</t>
  </si>
  <si>
    <t xml:space="preserve">Произошла ошибка оставшихся банкнот в области датчика GS004 в ходе операции Выдача (Withdrawal).</t>
  </si>
  <si>
    <t xml:space="preserve">Произошла ошибка оставшихся банкнот в области датчика GS005 в ходе операции Выдача (Withdrawal).</t>
  </si>
  <si>
    <t xml:space="preserve">Произошла ошибка оставшихся банкнот в области датчика GS006 в ходе операции Выдача (Withdrawal).</t>
  </si>
  <si>
    <t xml:space="preserve">5702A00</t>
  </si>
  <si>
    <t xml:space="preserve">Произошла ошибка оставшихся банкнот в области датчика GS021 в ходе операции Выдача (Withdrawal).</t>
  </si>
  <si>
    <t xml:space="preserve">5702B00</t>
  </si>
  <si>
    <t xml:space="preserve">Произошла ошибка оставшихся банкнот в области датчика GS022 в ходе операции Выдача (Withdrawal).</t>
  </si>
  <si>
    <t xml:space="preserve">5702G00</t>
  </si>
  <si>
    <t xml:space="preserve">Произошла ошибка оставшихся банкнот в области датчика GS614 в ходе операции Выдача (Withdrawal).</t>
  </si>
  <si>
    <t xml:space="preserve">5702H00</t>
  </si>
  <si>
    <t xml:space="preserve">Произошла ошибка оставшихся банкнот в области датчика GS618 в ходе операции Выдача (Withdrawal).</t>
  </si>
  <si>
    <t xml:space="preserve">5702J00</t>
  </si>
  <si>
    <t xml:space="preserve">Произошла ошибка оставшихся банкнот в области датчика GS619 в ходе операции Выдача (Withdrawal).</t>
  </si>
  <si>
    <t xml:space="preserve">5702K00</t>
  </si>
  <si>
    <t xml:space="preserve">Произошла ошибка оставшихся банкнот в области датчика GS703 в ходе операции Выдача (Withdrawal).</t>
  </si>
  <si>
    <t xml:space="preserve">5702M00</t>
  </si>
  <si>
    <t xml:space="preserve">Произошла ошибка оставшихся банкнот в области датчика GS031 в ходе операции Выдача (Withdrawal).</t>
  </si>
  <si>
    <t xml:space="preserve">5702N00</t>
  </si>
  <si>
    <t xml:space="preserve">Произошла ошибка оставшихся банкнот в области датчика GS032 в ходе операции Выдача (Withdrawal).</t>
  </si>
  <si>
    <t xml:space="preserve">5702P00</t>
  </si>
  <si>
    <t xml:space="preserve">Произошла ошибка оставшихся банкнот в области датчика GS033 в ходе операции Выдача (Withdrawal).</t>
  </si>
  <si>
    <t xml:space="preserve">5702Q00</t>
  </si>
  <si>
    <t xml:space="preserve">Произошла ошибка оставшихся банкнот в области датчика GS034 в ходе операции Выдача (Withdrawal).</t>
  </si>
  <si>
    <t xml:space="preserve">5702W00</t>
  </si>
  <si>
    <t xml:space="preserve">Произошла ошибка оставшихся банкнот в области датчика GS802 в ходе операции Выдача (Withdrawal).</t>
  </si>
  <si>
    <t xml:space="preserve">Произошла ошибка Транспортного Тракта по данным датчика GS005 в ходе операции Выдача (Withdrawal).</t>
  </si>
  <si>
    <t xml:space="preserve">5705G00</t>
  </si>
  <si>
    <t xml:space="preserve">Произошла ошибка Транспортного Тракта по данным датчика GS614 в ходе операции Выдача (Withdrawal).</t>
  </si>
  <si>
    <t xml:space="preserve">5705H00</t>
  </si>
  <si>
    <t xml:space="preserve">Произошла ошибка Транспортного Тракта по данным датчика GS618 в ходе операции Выдача (Withdrawal).</t>
  </si>
  <si>
    <t xml:space="preserve">5705J00</t>
  </si>
  <si>
    <t xml:space="preserve">Произошла ошибка Транспортного Тракта по данным датчика GS619 в ходе операции Выдача (Withdrawal).</t>
  </si>
  <si>
    <t xml:space="preserve">5705K00</t>
  </si>
  <si>
    <t xml:space="preserve">Произошла ошибка Транспортного Тракта по данным датчика GS703 в ходе операции Выдача (Withdrawal).</t>
  </si>
  <si>
    <t xml:space="preserve">Произошла ошибка Возвращающего Транспортного Тракта (датчик GS004) в ходе операции Выдача (Withdrawal).</t>
  </si>
  <si>
    <t xml:space="preserve">Произошла ошибка Возвращающего Транспортного Тракта (датчик GS006) в ходе операции Выдача (Withdrawal).</t>
  </si>
  <si>
    <t xml:space="preserve">5706B00</t>
  </si>
  <si>
    <t xml:space="preserve">Произошла ошибка Возвращающего Транспортного Тракта (датчик GS022) в ходе операции Выдача (Withdrawal).</t>
  </si>
  <si>
    <t xml:space="preserve">Произошла ошибка порядка следования банкнот в области датчика GS801 в ходе операции Выдача (Withdrawal).</t>
  </si>
  <si>
    <t xml:space="preserve">Произошла ошибка порядка следования банкнот в области датчика GS002 в ходе операции Выдача (Withdrawal).</t>
  </si>
  <si>
    <t xml:space="preserve">Произошла ошибка порядка следования банкнот в области датчика GS003 в ходе операции Выдача (Withdrawal).</t>
  </si>
  <si>
    <t xml:space="preserve">Произошла ошибка порядка следования банкнот в области датчика GS004 в ходе операции Выдача (Withdrawal).</t>
  </si>
  <si>
    <t xml:space="preserve">Произошла ошибка порядка следования банкнот в области датчика GS005 в ходе операции Выдача (Withdrawal).</t>
  </si>
  <si>
    <t xml:space="preserve">Произошла ошибка порядка следования банкнот в области датчика GS006 в ходе операции Выдача (Withdrawal).</t>
  </si>
  <si>
    <t xml:space="preserve">1. Откройте Вспомогательную (отделение фальшивых банкнот) кассету (10) )2. Откройте модуль Временного хранения_TE (Временный Эскроу) (12) 3. Удалите банкноты и посторонние предметы из Заднего Транспортного Тракта (7) 4. В случае отсутствия банкнот или посторонних предметов проверьте не загрязнен ли датчик</t>
  </si>
  <si>
    <t xml:space="preserve">5707A00</t>
  </si>
  <si>
    <t xml:space="preserve">Произошла ошибка порядка следования банкнот в области датчика GS021 в ходе операции Выдача (Withdrawal).</t>
  </si>
  <si>
    <t xml:space="preserve">5707B00</t>
  </si>
  <si>
    <t xml:space="preserve">Произошла ошибка порядка следования банкнот в области датчика GS022 в ходе операции Выдача (Withdrawal).</t>
  </si>
  <si>
    <t xml:space="preserve">5707G00</t>
  </si>
  <si>
    <t xml:space="preserve">Произошла ошибка порядка следования банкнот в области датчика GS614 в ходе операции Выдача (Withdrawal).</t>
  </si>
  <si>
    <t xml:space="preserve">5707H00</t>
  </si>
  <si>
    <t xml:space="preserve">Произошла ошибка порядка следования банкнот в области датчика GS618 в ходе операции Выдача (Withdrawal).</t>
  </si>
  <si>
    <t xml:space="preserve">5707J00</t>
  </si>
  <si>
    <t xml:space="preserve">Произошла ошибка порядка следования банкнот в области датчика GS619 в ходе операции Выдача (Withdrawal).</t>
  </si>
  <si>
    <t xml:space="preserve">5707K00</t>
  </si>
  <si>
    <t xml:space="preserve">Произошла ошибка порядка следования банкнот в области датчика GS703 в ходе операции Выдача (Withdrawal).</t>
  </si>
  <si>
    <t xml:space="preserve">5707M00</t>
  </si>
  <si>
    <t xml:space="preserve">Произошла ошибка порядка следования банкнот в области датчика GS031 в ходе операции Выдача (Withdrawal).</t>
  </si>
  <si>
    <t xml:space="preserve">5707N00</t>
  </si>
  <si>
    <t xml:space="preserve">Произошла ошибка порядка следования банкнот в области датчика GS032 в ходе операции Выдача (Withdrawal).</t>
  </si>
  <si>
    <t xml:space="preserve">5707P00</t>
  </si>
  <si>
    <t xml:space="preserve">Произошла ошибка порядка следования банкнот в области датчика GS033 в ходе операции Выдача (Withdrawal).</t>
  </si>
  <si>
    <t xml:space="preserve">5707Q00</t>
  </si>
  <si>
    <t xml:space="preserve">Произошла ошибка порядка следования банкнот в области датчика GS034 в ходе операции Выдача (Withdrawal).</t>
  </si>
  <si>
    <t xml:space="preserve">5707W00</t>
  </si>
  <si>
    <t xml:space="preserve">Произошла ошибка порядка следования банкнот в области датчика GS802 в ходе операции Выдача (Withdrawal).</t>
  </si>
  <si>
    <t xml:space="preserve">570D100</t>
  </si>
  <si>
    <t xml:space="preserve">Ошибка Непрерывной Отбраковки Continous Reject в ходе операции Выдача (Withdrawal).</t>
  </si>
  <si>
    <t xml:space="preserve">1. Проверьте отбракованные номиналы в процессе автоматической выдачи банкнот </t>
  </si>
  <si>
    <t xml:space="preserve">570D200</t>
  </si>
  <si>
    <t xml:space="preserve">Ошибка Превышение предельного значения счетчика Максимума для Отбраковки (Maximum Reject) в ходе операции Выдача (Withdrawal).</t>
  </si>
  <si>
    <t xml:space="preserve">1. Проверьте отбракованные номиналы в процессе автоматической выдачи банкнот (Включая деноминации не установленные в кассете)</t>
  </si>
  <si>
    <t xml:space="preserve">570D300</t>
  </si>
  <si>
    <t xml:space="preserve">Ошибка несоответствия деноминации в ходе операции Выдача (Withdrawal).</t>
  </si>
  <si>
    <t xml:space="preserve">570D400</t>
  </si>
  <si>
    <t xml:space="preserve">Ошибка сбоя деноминаций кассеты в ходе операции Выдача (Withdrawal).</t>
  </si>
  <si>
    <t xml:space="preserve">570D500</t>
  </si>
  <si>
    <t xml:space="preserve">Ошибка обработки сдвоенных банкнот в ходе операции Выдача (Withdrawal).</t>
  </si>
  <si>
    <t xml:space="preserve">570D600</t>
  </si>
  <si>
    <t xml:space="preserve">Ошибка неполадки зазора (1 банкнота) в ходе операции Выдача (Withdrawal).</t>
  </si>
  <si>
    <t xml:space="preserve">570D700</t>
  </si>
  <si>
    <t xml:space="preserve">Ошибка неполадки зазора (2 банкноты) в ходе операции Выдача (Withdrawal).</t>
  </si>
  <si>
    <t xml:space="preserve">570D800</t>
  </si>
  <si>
    <t xml:space="preserve">Ошибка нарушения перекашивания в ходе операции Выдача (Withdrawal).</t>
  </si>
  <si>
    <t xml:space="preserve">570D900</t>
  </si>
  <si>
    <t xml:space="preserve">Ошибка нарушения смещения в ходе операции Выдача (Withdrawal).</t>
  </si>
  <si>
    <t xml:space="preserve">570DA00</t>
  </si>
  <si>
    <t xml:space="preserve">Ошибка превышения длины (1 банкнота) в ходе операции Выдача (Withdrawal).</t>
  </si>
  <si>
    <t xml:space="preserve">570DB00</t>
  </si>
  <si>
    <t xml:space="preserve">Ошибка превышения длины (2 банкноты) в ходе операции Выдача (Withdrawal).</t>
  </si>
  <si>
    <t xml:space="preserve">570DC00</t>
  </si>
  <si>
    <t xml:space="preserve">Ошибка превышения длины (3 банкноты) в ходе операции Выдача (Withdrawal).</t>
  </si>
  <si>
    <t xml:space="preserve">570DD00</t>
  </si>
  <si>
    <t xml:space="preserve">Ошибка превышения длины (4 банкноты) в ходе операции Выдача (Withdrawal).</t>
  </si>
  <si>
    <t xml:space="preserve">570DE00</t>
  </si>
  <si>
    <t xml:space="preserve">Ошибка недостаточной длины (1 банкнота) в ходе операции Выдача (Withdrawal).</t>
  </si>
  <si>
    <t xml:space="preserve">570DF00</t>
  </si>
  <si>
    <t xml:space="preserve">Ошибка недостаточной длины (2 банкноты) в ходе операции Выдача (Withdrawal).</t>
  </si>
  <si>
    <t xml:space="preserve">570DG00</t>
  </si>
  <si>
    <t xml:space="preserve">570DH00</t>
  </si>
  <si>
    <t xml:space="preserve">Ошибка нарушения работы Магнитно-Резонансного датчика MR в ходе операции Выдача (Withdrawal).</t>
  </si>
  <si>
    <t xml:space="preserve">1. Проверьте отбракованные в процессе автоматической выдачи банкноты (Сбой распознавания банкнот)</t>
  </si>
  <si>
    <t xml:space="preserve">570DJ00</t>
  </si>
  <si>
    <t xml:space="preserve">Ошибка работы Инфракрасного датчика IR в ходе операции Выдача (Withdrawal).</t>
  </si>
  <si>
    <t xml:space="preserve">570DK00</t>
  </si>
  <si>
    <t xml:space="preserve">Ошибка обработки края банкнот в ходе операции Выдача (Withdrawal).</t>
  </si>
  <si>
    <t xml:space="preserve">570DL00</t>
  </si>
  <si>
    <t xml:space="preserve">Ошибка образа банкнот в ходе операции Выдача (Withdrawal).</t>
  </si>
  <si>
    <t xml:space="preserve">570DM00</t>
  </si>
  <si>
    <t xml:space="preserve">Ошибка нарушения работы УФ датчика UV в ходе операции Выдача (Withdrawal).</t>
  </si>
  <si>
    <t xml:space="preserve">570DN00</t>
  </si>
  <si>
    <t xml:space="preserve">Ошибка датчика в ходе операции Выдача (Withdrawal).</t>
  </si>
  <si>
    <t xml:space="preserve">570DP00</t>
  </si>
  <si>
    <t xml:space="preserve">Ошибка подключения в ходе операции Выдача (Withdrawal).</t>
  </si>
  <si>
    <t xml:space="preserve">570DQ00</t>
  </si>
  <si>
    <t xml:space="preserve">Ошибка Full&amp;ETC в ходе операции Выдача (Withdrawal).</t>
  </si>
  <si>
    <t xml:space="preserve">570DR00</t>
  </si>
  <si>
    <t xml:space="preserve">Ошибка синхронизации распознованияв ходе операции Выдача (Withdrawal).</t>
  </si>
  <si>
    <t xml:space="preserve">570DS00</t>
  </si>
  <si>
    <t xml:space="preserve">570DT00</t>
  </si>
  <si>
    <t xml:space="preserve">570DU00</t>
  </si>
  <si>
    <t xml:space="preserve">570DV00</t>
  </si>
  <si>
    <t xml:space="preserve">570DW00</t>
  </si>
  <si>
    <t xml:space="preserve">570DX00</t>
  </si>
  <si>
    <t xml:space="preserve">570DY00</t>
  </si>
  <si>
    <t xml:space="preserve">570F100</t>
  </si>
  <si>
    <t xml:space="preserve">Ошибка motor removal двигателя GM001 в ходе операции Выдача (Withdrawal).</t>
  </si>
  <si>
    <t xml:space="preserve">570F200</t>
  </si>
  <si>
    <t xml:space="preserve">Ошибка motor removal двигателя GM002 в ходе операции Выдача (Withdrawal).</t>
  </si>
  <si>
    <t xml:space="preserve">570F400</t>
  </si>
  <si>
    <t xml:space="preserve">Ошибка motor removal двигателя GM004 в ходе операции Выдача (Withdrawal).</t>
  </si>
  <si>
    <t xml:space="preserve">570F500</t>
  </si>
  <si>
    <t xml:space="preserve">Снижено кол-во счетов энкодера двигателя GM001 относительно предыдущих значений в ходе операции Выдача (Withdrawal).</t>
  </si>
  <si>
    <t xml:space="preserve">570F600</t>
  </si>
  <si>
    <t xml:space="preserve">Снижено кол-во счетов энкодера двигателя GM002 относительно предыдущих значений в ходе операции Выдача (Withdrawal).</t>
  </si>
  <si>
    <t xml:space="preserve">570F700</t>
  </si>
  <si>
    <t xml:space="preserve">Уменьшенное значение счетчика энкодера дсигателя GM004 по сравнению с предыдущим значением в ходе операции Выдача (Withdrawal).</t>
  </si>
  <si>
    <t xml:space="preserve">570G100</t>
  </si>
  <si>
    <t xml:space="preserve">Не удалось переключить 3-х направленный Затвор Тракта в режим 0-го градуса в ходе операции Выдача (Withdrawal).</t>
  </si>
  <si>
    <t xml:space="preserve">570G200</t>
  </si>
  <si>
    <t xml:space="preserve">Не удалось переключить 3-х направленный Затвор Тракта в 120 градусный режим в ходе операции Выдача (Withdrawal).</t>
  </si>
  <si>
    <t xml:space="preserve">570K100</t>
  </si>
  <si>
    <t xml:space="preserve">Ошибка дублирования серийного номера в ходе операции Выдача (Withdrawal)..</t>
  </si>
  <si>
    <t xml:space="preserve">570N700</t>
  </si>
  <si>
    <t xml:space="preserve">Ошибка счетчика набранных банкнот датчика GSx05 операции Возврат Банкнот (Return Notes) в процессе автовосстановления в ходе операции Выдача (Withdrawal) (Внесено более 2 банкнот в Кассету Рециркуляции RC).</t>
  </si>
  <si>
    <t xml:space="preserve">570N800</t>
  </si>
  <si>
    <t xml:space="preserve">Постоянная ошибка дачитка GSx05 по темному типу операции Возврат Банкнот (Return Notes) в процессе автовосстановления в ходе операции Выдача (Withdrawal).</t>
  </si>
  <si>
    <t xml:space="preserve">570N900</t>
  </si>
  <si>
    <t xml:space="preserve">570NC00</t>
  </si>
  <si>
    <t xml:space="preserve">Не удалось проверить последнюю банкноту в окончании Среднего Транспортного Тракта в ходе операции Выдача (Withdrawal).</t>
  </si>
  <si>
    <t xml:space="preserve">570NK00</t>
  </si>
  <si>
    <t xml:space="preserve">Ошибка No gate for insertion в ходе операции Выдача (Withdrawal).</t>
  </si>
  <si>
    <t xml:space="preserve">570Q100</t>
  </si>
  <si>
    <t xml:space="preserve">Ошибка установки Вспомогательной Кассеты UTC в ходе операции Выдача (Withdrawal).</t>
  </si>
  <si>
    <t xml:space="preserve">570Q200</t>
  </si>
  <si>
    <t xml:space="preserve">Ошибка открытого Модуля временного хранения (TE) в ходе операции Выдача (Withdrawal).</t>
  </si>
  <si>
    <t xml:space="preserve">570Q300</t>
  </si>
  <si>
    <t xml:space="preserve">570Q400</t>
  </si>
  <si>
    <t xml:space="preserve">Ошибка установки BMU в ходе операции Выдача (Withdrawal).</t>
  </si>
  <si>
    <t xml:space="preserve">570Q500</t>
  </si>
  <si>
    <t xml:space="preserve">Сейфовая дверь открыта в ходе операции Выдача (Withdrawal).</t>
  </si>
  <si>
    <t xml:space="preserve">570Q600</t>
  </si>
  <si>
    <t xml:space="preserve">Ошибка открытия CSM в ходе операции Выдача (Withdrawal).</t>
  </si>
  <si>
    <t xml:space="preserve">570Q700</t>
  </si>
  <si>
    <t xml:space="preserve">Ошибка вынутой Кассеты Отбраковки RJC в ходе операции Выдача (Withdrawal).</t>
  </si>
  <si>
    <t xml:space="preserve">570Q800</t>
  </si>
  <si>
    <t xml:space="preserve">Ошибка концевого переключателя BMD в ходе операции Выдача (Withdrawal).</t>
  </si>
  <si>
    <t xml:space="preserve">570Q900</t>
  </si>
  <si>
    <t xml:space="preserve">Ошибка положения BMD в ходе операции Выдача (Withdrawal).</t>
  </si>
  <si>
    <t xml:space="preserve">570QA00</t>
  </si>
  <si>
    <t xml:space="preserve">Ошибка открытия BC в ходе операции Выдача (Withdrawal).</t>
  </si>
  <si>
    <t xml:space="preserve">570R100</t>
  </si>
  <si>
    <t xml:space="preserve">BM вернул ошибку таймаута сообщения в ходе готовности к операции Выдача (Withdrawal).</t>
  </si>
  <si>
    <t xml:space="preserve">570R200</t>
  </si>
  <si>
    <t xml:space="preserve">BM вернул ошибку таймаута сообщения при проведении транзакции в ходе операции Выдача (Withdrawal).</t>
  </si>
  <si>
    <t xml:space="preserve">570R300</t>
  </si>
  <si>
    <t xml:space="preserve">BM вернул ошибку таймаута сообщения в ходе постпроцессинга ошибки операции Выдача (Withdrawal Error).</t>
  </si>
  <si>
    <t xml:space="preserve">570RJ00</t>
  </si>
  <si>
    <t xml:space="preserve">BM вернул ошибку таймаута сообщения в ходе операции Начало Остановки (Stop Ready) в ходе операции Выдача (Withdrawal).</t>
  </si>
  <si>
    <t xml:space="preserve">GS105 сообщил об ошибке замятия по Светлому типу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</si>
  <si>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Удалите банкноты и посторонние предметы с помощью круглой ручки для устранения замятий в верхней части </t>
  </si>
  <si>
    <t xml:space="preserve">GS101 замятие в области датчика в ходе операции Выдача (Withdrawal).</t>
  </si>
  <si>
    <t xml:space="preserve">GS102 замятие в области датчика в ходе операции Выдача (Withdrawal).</t>
  </si>
  <si>
    <t xml:space="preserve">GS105 замятие в области датчика в ходе операции Выдача (Withdrawal).</t>
  </si>
  <si>
    <t xml:space="preserve">Произошла ошибка оставшихся банкнот в области датчика GS101 в ходе операции Выдача (Withdrawal).</t>
  </si>
  <si>
    <t xml:space="preserve">Произошла ошибка оставшихся банкнот в области датчика GS102 в ходе операции Выдача (Withdrawal).</t>
  </si>
  <si>
    <t xml:space="preserve">Произошла ошибка оставшихся банкнот в области датчика GS105 в ходе операции Выдача (Withdrawal).</t>
  </si>
  <si>
    <t xml:space="preserve">Произошла ошибка Транспортного Тракта по данным датчика GS105 в ходе операции Выдача (Withdrawal).</t>
  </si>
  <si>
    <t xml:space="preserve">Произошла ошибка Возвращающего Транспортного Тракта (датчик GS105) в ходе операции Выдача (Withdrawal).</t>
  </si>
  <si>
    <t xml:space="preserve">Произошла ошибка порядка следования банкнот в области датчика GS105 в ходе операции Выдача (Withdrawal).</t>
  </si>
  <si>
    <t xml:space="preserve">571C100</t>
  </si>
  <si>
    <t xml:space="preserve">Неудачный набор банкнот в Кассете Рециркуляции RC1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</si>
  <si>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Удалите банкноты и посторонние предметы с помощью круглой ручки для устранения замятий в верхней части 6. Проверьте верхнюю часть и банкноты</t>
  </si>
  <si>
    <t xml:space="preserve">571G100</t>
  </si>
  <si>
    <t xml:space="preserve">Не удалось вернуть банкноты в Кассету Рециркуляции RC1 в ходе операции Выдача (Withdrawal).</t>
  </si>
  <si>
    <t xml:space="preserve">571G200</t>
  </si>
  <si>
    <t xml:space="preserve">Не удалось переместить Прижимную Пластину Кассеты Рециркуляции RC1 в укладывающее положение в ходе операции Выдача (Withdrawal).</t>
  </si>
  <si>
    <t xml:space="preserve">571G300</t>
  </si>
  <si>
    <t xml:space="preserve">Не удалось выполнить возвратное движение укладывающего ролика Прижимной Пластины при повторном разделении из Кассеты Рециркуляции RC1 в ходе операции Выдача (Withdrawal).</t>
  </si>
  <si>
    <t xml:space="preserve">571G400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</si>
  <si>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Выдача (Withdrawal).</t>
  </si>
  <si>
    <t xml:space="preserve">571G500</t>
  </si>
  <si>
    <t xml:space="preserve">Сбой обратного хода укладывающего ролика Кассеты Рециркуляции RC1 в ходе операции Выдача (Withdrawal).(ошибка датчика)</t>
  </si>
  <si>
    <t xml:space="preserve">571G600</t>
  </si>
  <si>
    <t xml:space="preserve">Превышен предел количества попыток перемещений укладывающего ролика Кассеты Рециркуляции RC1 в ходе операции Выдача (Withdrawal).</t>
  </si>
  <si>
    <t xml:space="preserve">571G700</t>
  </si>
  <si>
    <t xml:space="preserve">Не удалось переместить подающий ролик Кассеты Рециркуляции RC1 в исходное положение в ходе операции Выдача (Withdrawal).</t>
  </si>
  <si>
    <t xml:space="preserve">571G800</t>
  </si>
  <si>
    <t xml:space="preserve">Не удалось переместить Прижимную Пластину в прижимающее положение Кассеты Рециркуляции RC1 в ходе операции Выдача (Withdrawal).</t>
  </si>
  <si>
    <t xml:space="preserve">571GA00</t>
  </si>
  <si>
    <t xml:space="preserve">Ошибка сообщения соленоида Кассеты Рециркуляции RC1 в ходе операции Выдача (Withdrawal).</t>
  </si>
  <si>
    <t xml:space="preserve">571GB00</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</si>
  <si>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Выдача (Withdrawal).</t>
  </si>
  <si>
    <t xml:space="preserve">571GC00</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</si>
  <si>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Выдача (Withdrawal).</t>
  </si>
  <si>
    <t xml:space="preserve">571GJ00</t>
  </si>
  <si>
    <t xml:space="preserve">Сбой обратного хода укладывающего ролика Кассеты Рециркуляции RC1 в ходе операции Выдача (Withdrawal).(Перерасход)</t>
  </si>
  <si>
    <t xml:space="preserve">571GK00</t>
  </si>
  <si>
    <t xml:space="preserve">Сбой обратного хода укладывающего ролика Кассеты Рециркуляции RC1 в ходе операции Выдача (Withdrawal). (Ошибка состояния двигателя)</t>
  </si>
  <si>
    <t xml:space="preserve">571GL00</t>
  </si>
  <si>
    <t xml:space="preserve">Не удалось переместить подающий ролик Кассеты Рециркуляции RC1 в исходное положение в ходе операции Выдача (Withdrawal).(Ошибка состояния двигателя)</t>
  </si>
  <si>
    <t xml:space="preserve">571J200</t>
  </si>
  <si>
    <t xml:space="preserve">Пустая Кассета Рециркуляции RC1 в ходе операции Выдача (Withdrawal).</t>
  </si>
  <si>
    <t xml:space="preserve">571K100</t>
  </si>
  <si>
    <t xml:space="preserve">Необходимое количество разделённых банкнот в Кассете Рециркуляции RC1 равно 0 в ходе операции Выдача (Withdrawal).</t>
  </si>
  <si>
    <t xml:space="preserve">571NL00</t>
  </si>
  <si>
    <t xml:space="preserve">Информационный статус. Слистывание в ходе операции Выдача (Withdrawal) Кассеты Рециркуляции RC2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</si>
  <si>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1. Проверьте фактическое кол-во банкнот в Кассете Рециркуляции RC1 и значение счетчика на экране Сервисной панели оператора SPL. 2. Установите значение счетчика Кассеты Рециркуляции RC1 равным фактическому кол-ву. Выполните инициализацию Модуля Рециркуляции Банкнот BRM (Восстановление)</t>
  </si>
  <si>
    <t xml:space="preserve">571R100</t>
  </si>
  <si>
    <t xml:space="preserve">Ошибка тайм-аута сообщения Кассеты Рециркуляции RC1 в ходе готовности к операции Выдача (Withdrawal).</t>
  </si>
  <si>
    <t xml:space="preserve">571R200</t>
  </si>
  <si>
    <t xml:space="preserve">Ошибка тайм-аута сообщения Кассеты Рециркуляции RC1 при проведении транзакции в операции Выдача (Withdrawal).</t>
  </si>
  <si>
    <t xml:space="preserve">571R300</t>
  </si>
  <si>
    <t xml:space="preserve">Ошибка тайм-аута сообщения Кассеты Рециркуляции RC1 в ходе постпроцессинга ошибки операции Выдача (Withdrawal Error).</t>
  </si>
  <si>
    <t xml:space="preserve">571RJ00</t>
  </si>
  <si>
    <t xml:space="preserve">Ошибка тайм-аута сообщения Кассеты Рециркуляции RC1 в ходе операции Выдача (Withdrawal).</t>
  </si>
  <si>
    <t xml:space="preserve">571S100</t>
  </si>
  <si>
    <t xml:space="preserve">Возвращено неизвестное значение Кассеты Рециркуляции RC1 в ходе операции Выдача (Withdrawal).</t>
  </si>
  <si>
    <t xml:space="preserve">571S200</t>
  </si>
  <si>
    <t xml:space="preserve">Неизвестная команда RC1 в ходе операции Выдача (Withdrawal).</t>
  </si>
  <si>
    <t xml:space="preserve">571S300</t>
  </si>
  <si>
    <t xml:space="preserve">571SZ00</t>
  </si>
  <si>
    <t xml:space="preserve">Не удалось набрать необходимые банкноты в Кассете Рециркуляции RC1 в ходе операции Выдача (Withdrawal). Остановка слистывания при нулевом счетчике.</t>
  </si>
  <si>
    <t xml:space="preserve">1. Проверьте оставшееся кол-во банкнот в Кассете Рециркуляции</t>
  </si>
  <si>
    <t xml:space="preserve">GS205 сообщил об ошибке замятия по Светлому типу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</si>
  <si>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Удалите банкноты и посторонние предметы с помощью круглой ручки для устранения замятий в верхней части </t>
  </si>
  <si>
    <t xml:space="preserve">GS201 замятие в области датчика в ходе операции Выдача (Withdrawal).</t>
  </si>
  <si>
    <t xml:space="preserve">GS202 замятие в области датчика в ходе операции Выдача (Withdrawal).</t>
  </si>
  <si>
    <t xml:space="preserve">GS205 замятие в области датчика в ходе операции Выдача (Withdrawal).</t>
  </si>
  <si>
    <t xml:space="preserve">Произошла ошибка оставшихся банкнот в области датчика GS201 в ходе операции Выдача (Withdrawal).</t>
  </si>
  <si>
    <t xml:space="preserve">Произошла ошибка оставшихся банкнот в области датчика GS202 в ходе операции Выдача (Withdrawal).</t>
  </si>
  <si>
    <t xml:space="preserve">Произошла ошибка оставшихся банкнот в области датчика GS205 в ходе операции Выдача (Withdrawal).</t>
  </si>
  <si>
    <t xml:space="preserve">Произошла ошибка Транспортного Тракта по данным датчика GS205 в ходе операции Выдача (Withdrawal).</t>
  </si>
  <si>
    <t xml:space="preserve">Произошла ошибка Возвращающего Транспортного Тракта (датчик GS205) в ходе операции Выдача (Withdrawal).</t>
  </si>
  <si>
    <t xml:space="preserve">GS205 Note disorder error в ходе операции Выдача (Withdrawal).</t>
  </si>
  <si>
    <t xml:space="preserve">572C100</t>
  </si>
  <si>
    <t xml:space="preserve">Неудачный набор банкнот в Кассете Рециркуляции RC2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</si>
  <si>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Удалите банкноты и посторонние предметы с помощью круглой ручки для устранения замятий в верхней части 6. Проверьте верхнюю часть и банкноты</t>
  </si>
  <si>
    <t xml:space="preserve">572G100</t>
  </si>
  <si>
    <t xml:space="preserve">Не удалось вернуть банкноты в Кассету Рециркуляции RC2 в ходе операции Выдача (Withdrawal).</t>
  </si>
  <si>
    <t xml:space="preserve">572G200</t>
  </si>
  <si>
    <t xml:space="preserve">Не удалось переместить Прижимную Пластину Кассеты Рециркуляции RC2 в укладывающее положение в ходе операции Выдача (Withdrawal).</t>
  </si>
  <si>
    <t xml:space="preserve">572G300</t>
  </si>
  <si>
    <t xml:space="preserve">Не удалось выполнить возвратное движение укладывающего ролика Прижимной Пластины при повторном разделении из Кассеты Рециркуляции RC2 в ходе операции Выдача (Withdrawal).</t>
  </si>
  <si>
    <t xml:space="preserve">572G400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</si>
  <si>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Выдача (Withdrawal).</t>
  </si>
  <si>
    <t xml:space="preserve">572G500</t>
  </si>
  <si>
    <t xml:space="preserve">Сбой обратного хода укладывающего ролика Кассеты Рециркуляции RC2 в ходе операции Выдача (Withdrawal).(ошибка датчика)</t>
  </si>
  <si>
    <t xml:space="preserve">572G600</t>
  </si>
  <si>
    <t xml:space="preserve">Превышен предел количества попыток перемещений укладывающего ролика Кассеты Рециркуляции RC2 в ходе операции Выдача (Withdrawal).</t>
  </si>
  <si>
    <t xml:space="preserve">572G700</t>
  </si>
  <si>
    <t xml:space="preserve">Не удалось переместить подающий ролик Кассеты Рециркуляции RC2 в исходное положение в ходе операции Выдача (Withdrawal).</t>
  </si>
  <si>
    <t xml:space="preserve">572G800</t>
  </si>
  <si>
    <t xml:space="preserve">Не удалось переместить Прижимную Пластину в прижимающее положение Кассеты Рециркуляции RC2 в ходе операции Выдача (Withdrawal).</t>
  </si>
  <si>
    <t xml:space="preserve">572GA00</t>
  </si>
  <si>
    <t xml:space="preserve">Ошибка сообщения соленоида Кассеты Рециркуляции RC2 в ходе операции Выдача (Withdrawal).</t>
  </si>
  <si>
    <t xml:space="preserve">572GB00</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</si>
  <si>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Выдача (Withdrawal).</t>
  </si>
  <si>
    <t xml:space="preserve">572GC00</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</si>
  <si>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Выдача (Withdrawal).</t>
  </si>
  <si>
    <t xml:space="preserve">572GJ00</t>
  </si>
  <si>
    <t xml:space="preserve">Сбой обратного хода укладывающего ролика Кассеты Рециркуляции RC2 в ходе операции Выдача (Withdrawal).(Перерасход)</t>
  </si>
  <si>
    <t xml:space="preserve">572GK00</t>
  </si>
  <si>
    <t xml:space="preserve">Сбой обратного хода укладывающего ролика Кассеты Рециркуляции RC2 в ходе операции Выдача (Withdrawal). (Ошибка состояния двигателя)</t>
  </si>
  <si>
    <t xml:space="preserve">572GL00</t>
  </si>
  <si>
    <t xml:space="preserve">Не удалось переместить подающий ролик Кассеты Рециркуляции RC2 в исходное положение в ходе операции Выдача (Withdrawal).(Ошибка состояния двигателя)</t>
  </si>
  <si>
    <t xml:space="preserve">572J200</t>
  </si>
  <si>
    <t xml:space="preserve">Пустая Кассета Рециркуляции RC2 в ходе операции Выдача (Withdrawal).</t>
  </si>
  <si>
    <t xml:space="preserve">572K100</t>
  </si>
  <si>
    <t xml:space="preserve">Необходимое количество разделённых банкнот в Кассете Рециркуляции RC2 равно 0 в ходе операции Выдача (Withdrawal).</t>
  </si>
  <si>
    <t xml:space="preserve">572NL00</t>
  </si>
  <si>
    <t xml:space="preserve">1. Проверьте фактическое кол-во банкнот в Кассете Рециркуляции RC2 и значение счетчика на экране Сервисной панели оператора SPL. 2. Установите значение счетчика Кассеты Рециркуляции RC2 равным фактическому кол-ву. Выполните инициализацию Модуля Рециркуляции Банкнот BRM (Восстановление)</t>
  </si>
  <si>
    <t xml:space="preserve">572R100</t>
  </si>
  <si>
    <t xml:space="preserve">Ошибка тайм-аута сообщения Кассеты Рециркуляции RC2 в ходе готовности к операции Выдача (Withdrawal).</t>
  </si>
  <si>
    <t xml:space="preserve">572R200</t>
  </si>
  <si>
    <t xml:space="preserve">Ошибка тайм-аута сообщения Кассеты Рециркуляции RC2 при проведении транзакции в ходе операции Выдача (Withdrawal).</t>
  </si>
  <si>
    <t xml:space="preserve">572R300</t>
  </si>
  <si>
    <t xml:space="preserve">Ошибка тайм-аута сообщения Кассеты Рециркуляции RC2 в ходе постпроцессинга ошибки операции Выдача (Withdrawal Error).</t>
  </si>
  <si>
    <t xml:space="preserve">572RJ00</t>
  </si>
  <si>
    <t xml:space="preserve">Ошибка тайм-аута сообщения Кассеты Рециркуляции RC2 в ходе операции Начало Остановки (Stop Ready) при операции Начало Выдачи (Withdrawal Ready).</t>
  </si>
  <si>
    <t xml:space="preserve">572S100</t>
  </si>
  <si>
    <t xml:space="preserve">Возвращено неизвестное значение Кассеты Рециркуляции RC2 в ходе операции Выдача (Withdrawal).</t>
  </si>
  <si>
    <t xml:space="preserve">572S200</t>
  </si>
  <si>
    <t xml:space="preserve">Неизвестная команда RC2 в ходе операции Выдача (Withdrawal).</t>
  </si>
  <si>
    <t xml:space="preserve">572S300</t>
  </si>
  <si>
    <t xml:space="preserve">572SZ00</t>
  </si>
  <si>
    <t xml:space="preserve">Не удалось набрать необходимые банкноты в Кассете Рециркуляции RC2 в ходе операции Выдача (Withdrawal). Остановка слистывания при нулевом счетчике (НЕТ доступной Кассеты Рециркуляции RC для набора).</t>
  </si>
  <si>
    <t xml:space="preserve">GS305 сообщил об ошибке замятия по Светлому типу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</si>
  <si>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Удалите банкноты и посторонние предметы с помощью круглой ручки для устранения замятий в верхней части </t>
  </si>
  <si>
    <t xml:space="preserve">GS301 замятие в области датчика в ходе операции Выдача (Withdrawal).</t>
  </si>
  <si>
    <t xml:space="preserve">GS302 замятие в области датчика в ходе операции Выдача (Withdrawal).</t>
  </si>
  <si>
    <t xml:space="preserve">GS305 замятие в области датчика в ходе операции Выдача (Withdrawal).</t>
  </si>
  <si>
    <t xml:space="preserve">Произошла ошибка оставшихся банкнот в области датчика GS301 в ходе операции Выдача (Withdrawal).</t>
  </si>
  <si>
    <t xml:space="preserve">Произошла ошибка оставшихся банкнот в области датчика GS302 в ходе операции Выдача (Withdrawal).</t>
  </si>
  <si>
    <t xml:space="preserve">Произошла ошибка оставшихся банкнот в области датчика GS305 в ходе операции Выдача (Withdrawal).</t>
  </si>
  <si>
    <t xml:space="preserve">Произошла ошибка Транспортного Тракта по данным датчика GS305 в ходе операции Выдача (Withdrawal).</t>
  </si>
  <si>
    <t xml:space="preserve">Произошла ошибка Возвращающего Транспортного Тракта (датчик GS305) в ходе операции Выдача (Withdrawal).</t>
  </si>
  <si>
    <t xml:space="preserve">Произошла ошибка порядка следования банкнот в области датчика GS301 в ходе операции Выдача (Withdrawal).</t>
  </si>
  <si>
    <t xml:space="preserve">573C100</t>
  </si>
  <si>
    <t xml:space="preserve">Неудачный набор банкнот в Кассете Рециркуляции RC3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</si>
  <si>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Удалите банкноты и посторонние предметы с помощью круглой ручки для устранения замятий в верхней части 6. Проверьте верхнюю часть и банкноты</t>
  </si>
  <si>
    <t xml:space="preserve">573G100</t>
  </si>
  <si>
    <t xml:space="preserve">Не удалось вернуть банкноты в Кассету Рециркуляции RC3 в ходе операции Выдача (Withdrawal).</t>
  </si>
  <si>
    <t xml:space="preserve">573G200</t>
  </si>
  <si>
    <t xml:space="preserve">Не удалось переместить Прижимную Пластину Кассеты Рециркуляции RC3 в укладывающее положение в ходе операции Выдача (Withdrawal).</t>
  </si>
  <si>
    <t xml:space="preserve">573G300</t>
  </si>
  <si>
    <t xml:space="preserve">Не удалось выполнить возвратное движение укладывающего ролика Прижимной Пластины при повторном разделении из Кассеты Рециркуляции RC3 в ходе операции Выдача (Withdrawal).</t>
  </si>
  <si>
    <t xml:space="preserve">573G400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</si>
  <si>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Выдача (Withdrawal).</t>
  </si>
  <si>
    <t xml:space="preserve">573G500</t>
  </si>
  <si>
    <t xml:space="preserve">Сбой обратного хода укладывающего ролика Кассеты Рециркуляции RC3 в ходе операции Выдача (Withdrawal).(ошибка датчика)</t>
  </si>
  <si>
    <t xml:space="preserve">573G600</t>
  </si>
  <si>
    <t xml:space="preserve">Превышен предел количества попыток перемещений укладывающего ролика Кассеты Рециркуляции RC3 в ходе операции Выдача (Withdrawal).</t>
  </si>
  <si>
    <t xml:space="preserve">573G700</t>
  </si>
  <si>
    <t xml:space="preserve">Не удалось переместить подающий ролик Кассеты Рециркуляции RC3 в исходное положение в ходе операции Выдача (Withdrawal).</t>
  </si>
  <si>
    <t xml:space="preserve">573G800</t>
  </si>
  <si>
    <t xml:space="preserve">Не удалось переместить Прижимную Пластину в прижимающее положение Кассеты Рециркуляции RC3 в ходе операции Выдача (Withdrawal).</t>
  </si>
  <si>
    <t xml:space="preserve">573GA00</t>
  </si>
  <si>
    <t xml:space="preserve">Ошибка сообщения соленоида Кассеты Рециркуляции RC3 в ходе операции Withdarawal.</t>
  </si>
  <si>
    <t xml:space="preserve">573GB00</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</si>
  <si>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Withdarawal.</t>
  </si>
  <si>
    <t xml:space="preserve">573GC00</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</si>
  <si>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Withdarawal.</t>
  </si>
  <si>
    <t xml:space="preserve">573GJ00</t>
  </si>
  <si>
    <t xml:space="preserve">Сбой обратного хода укладывающего ролика Кассеты Рециркуляции RC3 в ходе операции Выдача (Withdrawal).(Перерасход)</t>
  </si>
  <si>
    <t xml:space="preserve">573GK00</t>
  </si>
  <si>
    <t xml:space="preserve">Сбой обратного хода укладывающего ролика Кассеты Рециркуляции RC3 в ходе операции Выдача (Withdrawal). (Ошибка состояния двигателя)</t>
  </si>
  <si>
    <t xml:space="preserve">573GL00</t>
  </si>
  <si>
    <t xml:space="preserve">Не удалось переместить подающий ролик Кассеты Рециркуляции RC3 в исходное положение в ходе операции Выдача (Withdrawal).(Ошибка состояния двигателя)</t>
  </si>
  <si>
    <t xml:space="preserve">573J200</t>
  </si>
  <si>
    <t xml:space="preserve">Пустая Кассета Рециркуляции RC3 в ходе операции Выдача (Withdrawal).</t>
  </si>
  <si>
    <t xml:space="preserve">573K100</t>
  </si>
  <si>
    <t xml:space="preserve">Необходимое количество разделённых банкнот в Кассете Рециркуляции RC3 равно 0 в ходе операции Выдача (Withdrawal).</t>
  </si>
  <si>
    <t xml:space="preserve">573NL00</t>
  </si>
  <si>
    <t xml:space="preserve">Информационный статус. Слистывание в ходе операции Выдача (Withdrawal) Кассеты Рециркуляции RC3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</si>
  <si>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1. Проверьте фактическое кол-во банкнот в Кассете Рециркуляции RC3 и значение счетчика на экране Сервисной панели оператора SPL. 2. Установите значение счетчика Кассеты Рециркуляции RC3 равным фактическому кол-ву. Выполните инициализацию Модуля Рециркуляции Банкнот BRM (Восстановление)</t>
  </si>
  <si>
    <t xml:space="preserve">573R100</t>
  </si>
  <si>
    <t xml:space="preserve">Ошибка тайм-аута сообщения Кассеты Рециркуляции RC3 в ходе готовности к операции Выдача (Withdrawal).</t>
  </si>
  <si>
    <t xml:space="preserve">573R200</t>
  </si>
  <si>
    <t xml:space="preserve">Ошибка тайм-аута сообщения Кассеты Рециркуляции RC3 при проведении транзакции в ходе операции Выдача (Withdrawal).</t>
  </si>
  <si>
    <t xml:space="preserve">573R300</t>
  </si>
  <si>
    <t xml:space="preserve">Ошибка тайм-аута сообщения Кассеты Рециркуляции RC3 в ходе постпроцессинга ошибки операции Выдача (Withdrawal Error).</t>
  </si>
  <si>
    <t xml:space="preserve">573RJ00</t>
  </si>
  <si>
    <t xml:space="preserve">Ошибка тайм-аута сообщения Кассеты Рециркуляции RC3 в ходе операции Начало Остановки (Stop Ready) в ходе операции Выдача (Withdrawal).</t>
  </si>
  <si>
    <t xml:space="preserve">573S100</t>
  </si>
  <si>
    <t xml:space="preserve">Возвращено неизвестное значение Кассеты Рециркуляции RC3 в ходе операции Выдача (Withdrawal).</t>
  </si>
  <si>
    <t xml:space="preserve">573S200</t>
  </si>
  <si>
    <t xml:space="preserve">Неизвестная команда RC3 в ходе операции Выдача (Withdrawal).</t>
  </si>
  <si>
    <t xml:space="preserve">573S300</t>
  </si>
  <si>
    <t xml:space="preserve">573SZ00</t>
  </si>
  <si>
    <t xml:space="preserve">Не удалось набрать необходимые банкноты в Кассете Рециркуляции RC3 в ходе операции Выдача (Withdrawal). Остановка слистывания при нулевом счетчике (НЕТ доступной Кассеты Рециркуляции RC для набора).</t>
  </si>
  <si>
    <t xml:space="preserve">GS405 сообщил об ошибке замятия по Светлому типу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</si>
  <si>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Удалите банкноты и посторонние предметы с помощью круглой ручки для устранения замятий в верхней части </t>
  </si>
  <si>
    <t xml:space="preserve">GS401 замятие в области датчика в ходе операции Выдача (Withdrawal).</t>
  </si>
  <si>
    <t xml:space="preserve">GS402 замятие в области датчика в ходе операции Выдача (Withdrawal).</t>
  </si>
  <si>
    <t xml:space="preserve">GS405 замятие в области датчика в ходе операции Выдача (Withdrawal).</t>
  </si>
  <si>
    <t xml:space="preserve">Произошла ошибка оставшихся банкнот в области датчика GS401 в ходе операции Выдача (Withdrawal).</t>
  </si>
  <si>
    <t xml:space="preserve">Произошла ошибка оставшихся банкнот в области датчика GS402 в ходе операции Выдача (Withdrawal).</t>
  </si>
  <si>
    <t xml:space="preserve">Произошла ошибка оставшихся банкнот в области датчика GS405 в ходе операции Выдача (Withdrawal).</t>
  </si>
  <si>
    <t xml:space="preserve">Произошла ошибка Транспортного Тракта по данным датчика GS405 в ходе операции Выдача (Withdrawal).</t>
  </si>
  <si>
    <t xml:space="preserve">Произошла ошибка Возвращающего Транспортного Тракта (датчик GS405) в ходе операции Выдача (Withdrawal).</t>
  </si>
  <si>
    <t xml:space="preserve">GS405 note disorder error в ходе операции Выдача (Withdrawal).</t>
  </si>
  <si>
    <t xml:space="preserve">574C100</t>
  </si>
  <si>
    <t xml:space="preserve">Неудачный набор банкнот в Кассете Рециркуляции RC4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</si>
  <si>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Удалите банкноты и посторонние предметы с помощью круглой ручки для устранения замятий в верхней части 6. Проверьте верхнюю часть и банкноты</t>
  </si>
  <si>
    <t xml:space="preserve">574G100</t>
  </si>
  <si>
    <t xml:space="preserve">Не удалось вернуть банкноты в Кассету Рециркуляции RC4 в ходе операции Выдача (Withdrawal).</t>
  </si>
  <si>
    <t xml:space="preserve">574G200</t>
  </si>
  <si>
    <t xml:space="preserve">Не удалось переместить Прижимную Пластину Кассеты Рециркуляции RC4 в укладывающее положение в ходе операции Выдача (Withdrawal).</t>
  </si>
  <si>
    <t xml:space="preserve">574G300</t>
  </si>
  <si>
    <t xml:space="preserve">Не удалось выполнить возвратное движение укладывающего ролика Прижимной Пластины при повторном разделении из Кассеты Рециркуляции RC4 в ходе операции Выдача (Withdrawal).</t>
  </si>
  <si>
    <t xml:space="preserve">574G400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</si>
  <si>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Выдача (Withdrawal).</t>
  </si>
  <si>
    <t xml:space="preserve">574G500</t>
  </si>
  <si>
    <t xml:space="preserve">Сбой обратного хода укладывающего ролика Кассеты Рециркуляции RC4 в ходе операции Выдача (Withdrawal).(ошибка датчика)</t>
  </si>
  <si>
    <t xml:space="preserve">574G600</t>
  </si>
  <si>
    <t xml:space="preserve">Превышен предел количества попыток перемещений укладывающего ролика Кассеты Рециркуляции RC4 в ходе операции Выдача (Withdrawal).</t>
  </si>
  <si>
    <t xml:space="preserve">574G700</t>
  </si>
  <si>
    <t xml:space="preserve">Не удалось переместить подающий ролик Кассеты Рециркуляции RC4 в исходное положение в ходе операции Выдача (Withdrawal).</t>
  </si>
  <si>
    <t xml:space="preserve">574G800</t>
  </si>
  <si>
    <t xml:space="preserve">Не удалось переместить Прижимную Пластину в прижимающее положение Кассеты Рециркуляции RC4 в ходе операции Выдача (Withdrawal).</t>
  </si>
  <si>
    <t xml:space="preserve">574GA00</t>
  </si>
  <si>
    <t xml:space="preserve">Ошибка сообщения соленоида Кассеты Рециркуляции RC4 в ходе операции Выдача (Withdrawal).</t>
  </si>
  <si>
    <t xml:space="preserve">574GB00</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</si>
  <si>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Выдача (Withdrawal).</t>
  </si>
  <si>
    <t xml:space="preserve">574GC00</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</si>
  <si>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Выдача (Withdrawal).</t>
  </si>
  <si>
    <t xml:space="preserve">574GJ00</t>
  </si>
  <si>
    <t xml:space="preserve">Сбой обратного хода укладывающего ролика Кассеты Рециркуляции RC4 в ходе операции Выдача (Withdrawal).(Перерасход)</t>
  </si>
  <si>
    <t xml:space="preserve">574GK00</t>
  </si>
  <si>
    <t xml:space="preserve">Сбой обратного хода укладывающего ролика Кассеты Рециркуляции RC4 в ходе операции Выдача (Withdrawal). (Ошибка состояния двигателя)</t>
  </si>
  <si>
    <t xml:space="preserve">574GL00</t>
  </si>
  <si>
    <t xml:space="preserve">Не удалось переместить подающий ролик Кассеты Рециркуляции RC4 в исходное положение в ходе операции Выдача (Withdrawal).(Ошибка состояния двигателя)</t>
  </si>
  <si>
    <t xml:space="preserve">574J200</t>
  </si>
  <si>
    <t xml:space="preserve">Пустая Кассета Рециркуляции RC4 в ходе операции Выдача (Withdrawal).</t>
  </si>
  <si>
    <t xml:space="preserve">574K100</t>
  </si>
  <si>
    <t xml:space="preserve">Необходимое количество разделённых банкнот в Кассете Рециркуляции RC4 равно 0 в ходе операции Выдача (Withdrawal).</t>
  </si>
  <si>
    <t xml:space="preserve">574NL00</t>
  </si>
  <si>
    <t xml:space="preserve">Информационный статус. Слистывание в ходе операции Выдача (Withdrawal) Кассеты Рециркуляции RC4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</si>
  <si>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1. Проверьте фактическое кол-во банкнот в Кассете Рециркуляции RC4 и значение счетчика на экране Сервисной панели оператора SPL. 2. Установите значение счетчика Кассеты Рециркуляции RC4 равным фактическому кол-ву. Выполните инициализацию Модуля Рециркуляции Банкнот BRM (Восстановление)</t>
  </si>
  <si>
    <t xml:space="preserve">574R100</t>
  </si>
  <si>
    <t xml:space="preserve">Ошибка тайм-аута сообщения Кассеты Рециркуляции RC4 в ходе готовности к операции Выдача (Withdrawal).</t>
  </si>
  <si>
    <t xml:space="preserve">574R200</t>
  </si>
  <si>
    <t xml:space="preserve">Ошибка тайм-аута сообщения Кассеты Рециркуляции RC4 при проведении транзакции в ходе операции Выдача (Withdrawal).</t>
  </si>
  <si>
    <t xml:space="preserve">574R300</t>
  </si>
  <si>
    <t xml:space="preserve">Ошибка тайм-аута сообщения Кассеты Рециркуляции RC4 в ходе постпроцессинга ошибки операции Выдача (Withdrawal Error).</t>
  </si>
  <si>
    <t xml:space="preserve">574RJ00</t>
  </si>
  <si>
    <t xml:space="preserve">Ошибка тайм-аута сообщения Кассеты Рециркуляции RC4 в ходе операции Ready Stio в ходе операции Выдача (Withdrawal).</t>
  </si>
  <si>
    <t xml:space="preserve">574S100</t>
  </si>
  <si>
    <t xml:space="preserve">Возвращено неизвестное значение Кассеты Рециркуляции RC4 в ходе операции Выдача (Withdrawal).</t>
  </si>
  <si>
    <t xml:space="preserve">574S200</t>
  </si>
  <si>
    <t xml:space="preserve">Неизвестная команда RC5 в ходе операции Выдача (Withdrawal).</t>
  </si>
  <si>
    <t xml:space="preserve">574S300</t>
  </si>
  <si>
    <t xml:space="preserve">574SZ00</t>
  </si>
  <si>
    <t xml:space="preserve">Не удалось набрать необходимые банкноты в Кассете Рециркуляции RC4 в ходе операции Выдача (Withdrawal). Остановка слистывания при нулевом счетчике (НЕТ доступной Кассеты Рециркуляции RC для набора).</t>
  </si>
  <si>
    <t xml:space="preserve">GS505 сообщил об ошибке замятия по Светлому типу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</si>
  <si>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Удалите банкноты и посторонние предметы с помощью круглой ручки для устранения замятий в верхней части </t>
  </si>
  <si>
    <t xml:space="preserve">GS501 замятие в области датчика в ходе операции Выдача (Withdrawal).</t>
  </si>
  <si>
    <t xml:space="preserve">GS502 замятие в области датчика в ходе операции Выдача (Withdrawal).</t>
  </si>
  <si>
    <t xml:space="preserve">GS505 замятие в области датчика в ходе операции Выдача (Withdrawal).</t>
  </si>
  <si>
    <t xml:space="preserve">Произошла ошибка оставшихся банкнот в области датчика GS501 в ходе операции Выдача (Withdrawal).</t>
  </si>
  <si>
    <t xml:space="preserve">Произошла ошибка оставшихся банкнот в области датчика GS502 в ходе операции Выдача (Withdrawal).</t>
  </si>
  <si>
    <t xml:space="preserve">Произошла ошибка оставшихся банкнот в области датчика GS505 в ходе операции Выдача (Withdrawal).</t>
  </si>
  <si>
    <t xml:space="preserve">Произошла ошибка Транспортного Тракта по данным датчика GS505 в ходе операции Выдача (Withdrawal).</t>
  </si>
  <si>
    <t xml:space="preserve">Произошла ошибка Возвращающего Транспортного Тракта (датчик GS505) в ходе операции Выдача (Withdrawal).</t>
  </si>
  <si>
    <t xml:space="preserve">Произошла ошибка порядка следования банкнот в области датчика GS505 в ходе операции Выдача (Withdrawal).</t>
  </si>
  <si>
    <t xml:space="preserve">575C100</t>
  </si>
  <si>
    <t xml:space="preserve">Неудачный набор банкнот в Кассете Рециркуляции RC5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</si>
  <si>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Удалите банкноты и посторонние предметы с помощью круглой ручки для устранения замятий в верхней части 6. Проверьте верхнюю часть и банкноты</t>
  </si>
  <si>
    <t xml:space="preserve">575G100</t>
  </si>
  <si>
    <t xml:space="preserve">Не удалось вернуть банкноты в Кассету Рециркуляции RC5 в ходе операции Выдача (Withdrawal).</t>
  </si>
  <si>
    <t xml:space="preserve">575G200</t>
  </si>
  <si>
    <t xml:space="preserve">Не удалось переместить Прижимную Пластину Кассеты Рециркуляции RC5 в укладывающее положение в ходе операции Выдача (Withdrawal).</t>
  </si>
  <si>
    <t xml:space="preserve">575G300</t>
  </si>
  <si>
    <t xml:space="preserve">Не удалось выполнить возвратное движение укладывающего ролика Прижимной Пластины при повторном разделении из Кассеты Рециркуляции RC5 в ходе операции Выдача (Withdrawal).</t>
  </si>
  <si>
    <t xml:space="preserve">575G400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</si>
  <si>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Выдача (Withdrawal).</t>
  </si>
  <si>
    <t xml:space="preserve">575G500</t>
  </si>
  <si>
    <t xml:space="preserve">Сбой обратного хода укладывающего ролика Кассеты Рециркуляции RC5 в ходе операции Выдача (Withdrawal).(ошибка датчика)</t>
  </si>
  <si>
    <t xml:space="preserve">575G600</t>
  </si>
  <si>
    <t xml:space="preserve">Превышен предел количества попыток перемещений укладывающего ролика Кассеты Рециркуляции RC5 в ходе операции Выдача (Withdrawal).</t>
  </si>
  <si>
    <t xml:space="preserve">575G700</t>
  </si>
  <si>
    <t xml:space="preserve">Не удалось переместить подающий ролик Кассеты Рециркуляции RC5 в исходное положение в ходе операции Выдача (Withdrawal).</t>
  </si>
  <si>
    <t xml:space="preserve">575G800</t>
  </si>
  <si>
    <t xml:space="preserve">Не удалось переместить Прижимную Пластину в прижимающее положение Кассеты Рециркуляции RC5 в ходе операции Выдача (Withdrawal).</t>
  </si>
  <si>
    <t xml:space="preserve">575GA00</t>
  </si>
  <si>
    <t xml:space="preserve">Ошибка сообщения соленоида Кассеты Рециркуляции RC5 в ходе операции Выдача (Withdrawal).</t>
  </si>
  <si>
    <t xml:space="preserve">575GB00</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</si>
  <si>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Выдача (Withdrawal).</t>
  </si>
  <si>
    <t xml:space="preserve">575GC00</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</si>
  <si>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Выдача (Withdrawal).</t>
  </si>
  <si>
    <t xml:space="preserve">575GJ00</t>
  </si>
  <si>
    <t xml:space="preserve">Сбой обратного хода укладывающего ролика Кассеты Рециркуляции RC5 в ходе операции Выдача (Withdrawal).(Перерасход)</t>
  </si>
  <si>
    <t xml:space="preserve">575GK00</t>
  </si>
  <si>
    <t xml:space="preserve">Сбой обратного хода укладывающего ролика Кассеты Рециркуляции RC5 в ходе операции Выдача (Withdrawal). (Ошибка состояния двигателя)</t>
  </si>
  <si>
    <t xml:space="preserve">575GL00</t>
  </si>
  <si>
    <t xml:space="preserve">Не удалось переместить подающий ролик Кассеты Рециркуляции RC5 в исходное положение в ходе операции Выдача (Withdrawal).(Ошибка состояния двигателя)</t>
  </si>
  <si>
    <t xml:space="preserve">575J200</t>
  </si>
  <si>
    <t xml:space="preserve">Пустая Кассета Рециркуляции RC5 в ходе операции Выдача (Withdrawal).</t>
  </si>
  <si>
    <t xml:space="preserve">575K100</t>
  </si>
  <si>
    <t xml:space="preserve">Необходимое количество разделённых банкнот в Кассете Рециркуляции RC5 равно 0 в ходе операции Выдача (Withdrawal).</t>
  </si>
  <si>
    <t xml:space="preserve">575NL00</t>
  </si>
  <si>
    <t xml:space="preserve">Информационный статус. Слистывание в ходе операции Выдача (Withdrawal) Кассеты Рециркуляции RC5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</si>
  <si>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1. Проверьте фактическое кол-во банкнот в Кассете Рециркуляции RC5 и значение счетчика на экране Сервисной панели оператора SPL. 2. Установите значение счетчика Кассеты Рециркуляции RC5 равным фактическому кол-ву. Выполните инициализацию Модуля Рециркуляции Банкнот BRM (Восстановление)</t>
  </si>
  <si>
    <t xml:space="preserve">575R100</t>
  </si>
  <si>
    <t xml:space="preserve">Ошибка тайм-аута сообщения Кассеты Рециркуляции RC5 в ходе готовности к операции Выдача (Withdrawal).</t>
  </si>
  <si>
    <t xml:space="preserve">575R200</t>
  </si>
  <si>
    <t xml:space="preserve">Ошибка тайм-аута сообщения Кассеты Рециркуляции RC5 при проведении транзакции в ходе операции Выдача (Withdrawal).</t>
  </si>
  <si>
    <t xml:space="preserve">575R300</t>
  </si>
  <si>
    <t xml:space="preserve">Ошибка тайм-аута сообщения Кассеты Рециркуляции RC5 в ходе постпроцессинга ошибки операции Выдача (Withdrawal Error).</t>
  </si>
  <si>
    <t xml:space="preserve">575RJ00</t>
  </si>
  <si>
    <t xml:space="preserve">Ошибка тайм-аута сообщения Кассеты Рециркуляции RC5 в ходе операции Начало Остановки (Stop Ready) в ходе операции Выдача (Withdrawal).</t>
  </si>
  <si>
    <t xml:space="preserve">575S100</t>
  </si>
  <si>
    <t xml:space="preserve">Возвращено неизвестное значение Кассеты Рециркуляции RC5 в ходе операции Выдача (Withdrawal).</t>
  </si>
  <si>
    <t xml:space="preserve">575S200</t>
  </si>
  <si>
    <t xml:space="preserve">575S300</t>
  </si>
  <si>
    <t xml:space="preserve">575SZ00</t>
  </si>
  <si>
    <t xml:space="preserve">Не удалось набрать необходимые банкноты в Кассете Рециркуляции RC5 в ходе операции Выдача (Withdrawal). Остановка слистывания при нулевом счетчике (НЕТ доступной Кассеты Рециркуляции RC для набора).</t>
  </si>
  <si>
    <t xml:space="preserve">Ошибка оставшихся банкнот в Модуле обслуживания клиентов CSM в ходе операции Выдача (Withdrawal).</t>
  </si>
  <si>
    <t xml:space="preserve">Неизвестная ошибка команды Модуля обслуживания клиентов (CSM) в ходе операции Выдача (Withdrawal).</t>
  </si>
  <si>
    <t xml:space="preserve">Состояние остались банкноты сменилось на состояние банкноты отсутствуют в Модуле обслуживания клиентов CSM в ходе операции Выдача (Withdrawal).</t>
  </si>
  <si>
    <t xml:space="preserve">Состояние банкноты отсутствуют сменилось на состояние остались банкноты в Модуле обслуживания клиентов CSM в ходе операции Выдача (Withdrawal).</t>
  </si>
  <si>
    <t xml:space="preserve">576G100</t>
  </si>
  <si>
    <t xml:space="preserve">Ошибка получения и положения банкнот в ходе операции Выдача (Withdrawal).</t>
  </si>
  <si>
    <t xml:space="preserve">576G200</t>
  </si>
  <si>
    <t xml:space="preserve">Ошибка перемещения Задней Прижимной Пластины BP в положение для укладки в ходе операции Выдача (Withdrawal).</t>
  </si>
  <si>
    <t xml:space="preserve">576G300</t>
  </si>
  <si>
    <t xml:space="preserve">Ошибка перемещения Задней Прижимной Пластины BP в положение для депозита в ходе операции Выдача (Withdrawal).</t>
  </si>
  <si>
    <t xml:space="preserve">576G400</t>
  </si>
  <si>
    <t xml:space="preserve">Ошибка перемещения Задней Прижимной Пластины BP в положение для разделения в ходе операции Выдача (Withdrawal).</t>
  </si>
  <si>
    <t xml:space="preserve">576G500</t>
  </si>
  <si>
    <t xml:space="preserve">Ошибка контроля разделения банкнот Задней прижимной пластины BP в ходе операции Выдача (Withdrawal).</t>
  </si>
  <si>
    <t xml:space="preserve">576G800</t>
  </si>
  <si>
    <t xml:space="preserve">Не удалось вернуть банкноты в ходе операции Выдача (Withdrawal).</t>
  </si>
  <si>
    <t xml:space="preserve">576GA00</t>
  </si>
  <si>
    <t xml:space="preserve">Не удалось вернуть банкноты в ходе операции Выдача (Withdrawal) (двигатель сепаратора работает с ошибками).</t>
  </si>
  <si>
    <t xml:space="preserve">576GB00</t>
  </si>
  <si>
    <t xml:space="preserve">Не удалось переместить укладывающий ролик в положение Выдача(укладка) в ходе операции Выдача (Withdrawal) Stack roller (GM605 работает с ошибками).</t>
  </si>
  <si>
    <t xml:space="preserve">576GC00</t>
  </si>
  <si>
    <t xml:space="preserve">Не удалось переместить укладывающий ролик в положение для Депозита (укладка) в ходе операции Выдача (Withdrawal) (GM605 работает с ошибками).</t>
  </si>
  <si>
    <t xml:space="preserve">576GD00</t>
  </si>
  <si>
    <t xml:space="preserve">Не удалось выполнить Поднимание (Lift-up) в ходе операции Выдача (Withdrawal).</t>
  </si>
  <si>
    <t xml:space="preserve">576GE00</t>
  </si>
  <si>
    <t xml:space="preserve">Не удалось выполнить Опускание (Lift-down) в ходе операции Выдача (Withdrawal).</t>
  </si>
  <si>
    <t xml:space="preserve">576GF00</t>
  </si>
  <si>
    <t xml:space="preserve">Не удалось переместить ролик затвора в исходное положение в ходе операции Выдача (Withdrawal).</t>
  </si>
  <si>
    <t xml:space="preserve">576M100</t>
  </si>
  <si>
    <t xml:space="preserve">Ошибка опускания ограничителя в ходе операции Выдача (Withdrawal).</t>
  </si>
  <si>
    <t xml:space="preserve">576M300</t>
  </si>
  <si>
    <t xml:space="preserve">Ошибка закрытия Шаттера в ходе операции Выдача (Withdrawal).</t>
  </si>
  <si>
    <t xml:space="preserve">576M400</t>
  </si>
  <si>
    <t xml:space="preserve">576M500</t>
  </si>
  <si>
    <t xml:space="preserve">Ошибка поднятия ограничителя в ходе операции Выдача (Withdrawal).</t>
  </si>
  <si>
    <t xml:space="preserve">576M600</t>
  </si>
  <si>
    <t xml:space="preserve">Ошибка закрытия шаттера при инициализации ограничителя в ходе операции Выдача (Withdrawal).</t>
  </si>
  <si>
    <t xml:space="preserve">576M700</t>
  </si>
  <si>
    <t xml:space="preserve">Шаттер принудительно открыт в ходе операции Выдача (Withdrawal).</t>
  </si>
  <si>
    <t xml:space="preserve">576P100</t>
  </si>
  <si>
    <t xml:space="preserve">Ошибка перемещения Прижимной Пластины PP в положение Выдача (укладка) в ходе операции Выдача (Withdrawal).</t>
  </si>
  <si>
    <t xml:space="preserve">576P200</t>
  </si>
  <si>
    <t xml:space="preserve">Ошибка перемещения Прижимной Пластины в положение депозита в ходе операции Выдача (Withdrawal).</t>
  </si>
  <si>
    <t xml:space="preserve">576P300</t>
  </si>
  <si>
    <t xml:space="preserve">Ошибка перемещения Прижимной Пластины PP в положение разделения в ходе операции Выдача (Withdrawal).</t>
  </si>
  <si>
    <t xml:space="preserve">576P400</t>
  </si>
  <si>
    <t xml:space="preserve">Ошибка перемещения Прижимной Пластины PP в положение lose return в ходе операции Выдача (Withdrawal).</t>
  </si>
  <si>
    <t xml:space="preserve">576P500</t>
  </si>
  <si>
    <t xml:space="preserve">Ошибка выдачи банкнот Прижимной Пластины PP в ходе операции Выдача (Withdrawal).</t>
  </si>
  <si>
    <t xml:space="preserve">576P600</t>
  </si>
  <si>
    <t xml:space="preserve">Ошибка выравнивания банкнот Прижимной Пластины PP в ходе операции Выдача (Withdrawal).</t>
  </si>
  <si>
    <t xml:space="preserve">576P700</t>
  </si>
  <si>
    <t xml:space="preserve">Ошибка контроля разделения (во время сепарации) Прижимной Пластины PP в ходе операции Выдача (Withdrawal).</t>
  </si>
  <si>
    <t xml:space="preserve">576P800</t>
  </si>
  <si>
    <t xml:space="preserve">Ошибка контроля укладки (во время укладывания) Прижимной Пластины PP в ходе операции Выдача (Withdrawal).</t>
  </si>
  <si>
    <t xml:space="preserve">576P900</t>
  </si>
  <si>
    <t xml:space="preserve">Ошибка возврата банкнот в ходе операции Выдача (Withdrawal).</t>
  </si>
  <si>
    <t xml:space="preserve">576PA00</t>
  </si>
  <si>
    <t xml:space="preserve">Ошибка ready stop Прижимной Пластины PP в ходе операции Выдача (Withdrawal).</t>
  </si>
  <si>
    <t xml:space="preserve">576R100</t>
  </si>
  <si>
    <t xml:space="preserve">Модуль обслуживания клиентов CSM вернул ошибку таймаута сообщения в ходе готовности к операции Выдача (Withdrawal).</t>
  </si>
  <si>
    <t xml:space="preserve">576R200</t>
  </si>
  <si>
    <t xml:space="preserve">Модуль обслуживания клиентов CSM вернул ошибку таймаута сообщения при проведении транзакции в ходе операции Выдача (Withdrawal).</t>
  </si>
  <si>
    <t xml:space="preserve">576R300</t>
  </si>
  <si>
    <t xml:space="preserve">Модуль обслуживания клиентов CSM вернул ошибку таймаута сообщения в ходе постпроцессинга ошибки операции Выдача (Withdrawal Error).</t>
  </si>
  <si>
    <t xml:space="preserve">576RJ00</t>
  </si>
  <si>
    <t xml:space="preserve">Модуль обслуживания клиентов CSM вернул ошибку таймаута сообщения в ходе операции Начало Остановки (Stop Ready) в ходе операции Выдача (Withdrawal).</t>
  </si>
  <si>
    <t xml:space="preserve">GS703 замятие в области датчика по Темному типу в ходе операции Выдача (Withdrawal).</t>
  </si>
  <si>
    <t xml:space="preserve">Произошла ошибка оставшихся банкнот в области датчика GS701 Выдача (Withdrawal).</t>
  </si>
  <si>
    <t xml:space="preserve">Произошла ошибка оставшихся банкнот в области датчика GS702 в ходе выполнения операции Выдача (Withdrawal).</t>
  </si>
  <si>
    <t xml:space="preserve">Произошла ошибка оставшихся банкнот в области датчика GS703 в ходе выполнения операции Выдача (Withdrawal).</t>
  </si>
  <si>
    <t xml:space="preserve">Произошла ошибка оставшихся банкнот в области датчика GS709 в ходе выполнения операции Выдача (Withdrawal).</t>
  </si>
  <si>
    <t xml:space="preserve">577G100</t>
  </si>
  <si>
    <t xml:space="preserve">Нарушение движения двигателя в сторону укладки в ходе операции Выдача (Withdrawal).</t>
  </si>
  <si>
    <t xml:space="preserve">577G200</t>
  </si>
  <si>
    <t xml:space="preserve">Нарушение движения двигателя в сторону разделения в ходе операции Выдача (Withdrawal).</t>
  </si>
  <si>
    <t xml:space="preserve">577G300</t>
  </si>
  <si>
    <t xml:space="preserve">Нарушение остановки двигателя в ходе операции Выдача (Withdrawal).</t>
  </si>
  <si>
    <t xml:space="preserve">577G400</t>
  </si>
  <si>
    <t xml:space="preserve">Не обнаружен передний конец ленты в ходе операции Выдача (Withdrawal).</t>
  </si>
  <si>
    <t xml:space="preserve">577G500</t>
  </si>
  <si>
    <t xml:space="preserve">Обнаружен передний конец ленты в ходе операции Выдача (Withdrawal).</t>
  </si>
  <si>
    <t xml:space="preserve">577G600</t>
  </si>
  <si>
    <t xml:space="preserve">577G700</t>
  </si>
  <si>
    <t xml:space="preserve">Обнаружен задний конец ленты в ходе операции Выдача (Withdrawal).</t>
  </si>
  <si>
    <t xml:space="preserve">577J100</t>
  </si>
  <si>
    <t xml:space="preserve">Полный барабан TE в ходе операции Выдача (Withdrawal).</t>
  </si>
  <si>
    <t xml:space="preserve">577J300</t>
  </si>
  <si>
    <t xml:space="preserve">Невозможно нормальное завершение в ходе операции Выдача (Withdrawal).</t>
  </si>
  <si>
    <t xml:space="preserve">577R100</t>
  </si>
  <si>
    <t xml:space="preserve">Модуль временного хранения_TE вернул ошибку таймаута сообщения в ходе готовности к операции Выдача (Withdrawal).</t>
  </si>
  <si>
    <t xml:space="preserve">577R200</t>
  </si>
  <si>
    <t xml:space="preserve">Модуль временного хранения_TE вернул ошибку таймаута сообщения в ходе операции transaction operation int the Выдача (Withdrawal).</t>
  </si>
  <si>
    <t xml:space="preserve">577R300</t>
  </si>
  <si>
    <t xml:space="preserve">Модуль временного хранения_TE вернул ошибку таймаута сообщения в ходе постпроцессинга ошибки операции Выдача (Withdrawal Error).</t>
  </si>
  <si>
    <t xml:space="preserve">577RJ00</t>
  </si>
  <si>
    <t xml:space="preserve">Модуль временного хранения_TE вернул ошибку таймаута сообщения в ходе операции Начало Остановки (Stop Ready) Выдача (Withdrawal).</t>
  </si>
  <si>
    <t xml:space="preserve">578HA01</t>
  </si>
  <si>
    <t xml:space="preserve">Ошибка датчика GS801A в ходе операции Выдача (Withdrawal).</t>
  </si>
  <si>
    <t xml:space="preserve">578HA02</t>
  </si>
  <si>
    <t xml:space="preserve">Ошибка датчика GS801B в ходе операции Выдача (Withdrawal).</t>
  </si>
  <si>
    <t xml:space="preserve">578HA03</t>
  </si>
  <si>
    <t xml:space="preserve">Ошибка датчиков GS801A, GS801B в ходе операции Выдача (Withdrawal).</t>
  </si>
  <si>
    <t xml:space="preserve">578HA04</t>
  </si>
  <si>
    <t xml:space="preserve">Ошибка датчика GS802A в ходе операции Выдача (Withdrawal).</t>
  </si>
  <si>
    <t xml:space="preserve">578HA05</t>
  </si>
  <si>
    <t xml:space="preserve">Ошибка датчиков GS801A, GS802A в ходе операции Выдача (Withdrawal).</t>
  </si>
  <si>
    <t xml:space="preserve">578HA06</t>
  </si>
  <si>
    <t xml:space="preserve">Ошибка датчиков GS801B, GS802A в ходе операции Выдача (Withdrawal).</t>
  </si>
  <si>
    <t xml:space="preserve">578HA07</t>
  </si>
  <si>
    <t xml:space="preserve">Ошибка датчиков GS801A, GS801B, GS802A в ходе операции Выдача (Withdrawal).</t>
  </si>
  <si>
    <t xml:space="preserve">578HA08</t>
  </si>
  <si>
    <t xml:space="preserve">Ошибка датчика GS802B в ходе операции Выдача (Withdrawal).</t>
  </si>
  <si>
    <t xml:space="preserve">578HA09</t>
  </si>
  <si>
    <t xml:space="preserve">Ошибка датчиков GS801A, GS802B в ходе операции Выдача (Withdrawal).</t>
  </si>
  <si>
    <t xml:space="preserve">578HA10</t>
  </si>
  <si>
    <t xml:space="preserve">Ошибка датчиков GS801B, GS802B в ходе операции Выдача (Withdrawal).</t>
  </si>
  <si>
    <t xml:space="preserve">578HA11</t>
  </si>
  <si>
    <t xml:space="preserve">Ошибка датчиков GS801A, GS801B, GS802B в ходе операции Выдача (Withdrawal).</t>
  </si>
  <si>
    <t xml:space="preserve">578HA12</t>
  </si>
  <si>
    <t xml:space="preserve">Ошибка датчиков GS802A, GS802B в ходе операции Выдача (Withdrawal).</t>
  </si>
  <si>
    <t xml:space="preserve">578HA13</t>
  </si>
  <si>
    <t xml:space="preserve">Ошибка датчиков GS801A, GS802A, GS802B в ходе операции Выдача (Withdrawal).</t>
  </si>
  <si>
    <t xml:space="preserve">578HA14</t>
  </si>
  <si>
    <t xml:space="preserve">Ошибка датчиков GS801B, GS802A, GS802B в ходе операции Выдача (Withdrawal).</t>
  </si>
  <si>
    <t xml:space="preserve">578HA15</t>
  </si>
  <si>
    <t xml:space="preserve">Ошибка датчиков GS801A, GS801B, GS802A, GS802B в ходе операции Выдача (Withdrawal).</t>
  </si>
  <si>
    <t xml:space="preserve">578HF03</t>
  </si>
  <si>
    <t xml:space="preserve">Ошибка загрузки данных шейдинга Контактного датчика изображения CIS в ходе операции Выдача (Withdrawal).</t>
  </si>
  <si>
    <t xml:space="preserve">578HF04</t>
  </si>
  <si>
    <t xml:space="preserve">Ошибка загрузки таблицы БД распознавания в ходе операции Выдача (Withdrawal).</t>
  </si>
  <si>
    <t xml:space="preserve">578HF05</t>
  </si>
  <si>
    <t xml:space="preserve">Ошибка контрольной суммы данных ПЛИС Модуля Валидатора банкнот BC в ходе операции Выдача (Withdrawal).</t>
  </si>
  <si>
    <t xml:space="preserve">578HF06</t>
  </si>
  <si>
    <t xml:space="preserve">Ошибка конфигурации ПЛИС Модуля Валидатора банкнот BC в ходе операции Выдача (Withdrawal).</t>
  </si>
  <si>
    <t xml:space="preserve">578HF07</t>
  </si>
  <si>
    <t xml:space="preserve">Ошибка загрузки данных заголовка ПЛИС Модуля Валидатора банкнот BC header в ходе операции Выдача (Withdrawal).</t>
  </si>
  <si>
    <t xml:space="preserve">578HF08</t>
  </si>
  <si>
    <t xml:space="preserve">Ошибка инициализации ПЛИС в ходе операции Выдача (Withdrawal).</t>
  </si>
  <si>
    <t xml:space="preserve">578HF09</t>
  </si>
  <si>
    <t xml:space="preserve">Ошибка чтения ПЛИС в ходе операции Выдача (Withdrawal).</t>
  </si>
  <si>
    <t xml:space="preserve">578HF11</t>
  </si>
  <si>
    <t xml:space="preserve">Ошибка загрузки Базы Данных распознавания #01 в ходе операции Выдача (Withdrawal).</t>
  </si>
  <si>
    <t xml:space="preserve">578HF12</t>
  </si>
  <si>
    <t xml:space="preserve">Ошибка загрузки Базы Данных распознавания #02 в ходе операции Выдача (Withdrawal).</t>
  </si>
  <si>
    <t xml:space="preserve">578HF13</t>
  </si>
  <si>
    <t xml:space="preserve">Ошибка загрузки Базы Данных распознавания #03 в ходе операции Выдача (Withdrawal).</t>
  </si>
  <si>
    <t xml:space="preserve">578HF14</t>
  </si>
  <si>
    <t xml:space="preserve">Ошибка загрузки Базы Данных распознавания #04 в ходе операции Выдача (Withdrawal).</t>
  </si>
  <si>
    <t xml:space="preserve">578HF15</t>
  </si>
  <si>
    <t xml:space="preserve">Ошибка загрузки Базы Данных распознавания #05 в ходе операции Выдача (Withdrawal).</t>
  </si>
  <si>
    <t xml:space="preserve">578HF16</t>
  </si>
  <si>
    <t xml:space="preserve">Ошибка загрузки Базы Данных распознавания #06 в ходе операции Выдача (Withdrawal).</t>
  </si>
  <si>
    <t xml:space="preserve">578HF17</t>
  </si>
  <si>
    <t xml:space="preserve">Ошибка загрузки Базы Данных распознавания #07 в ходе операции Выдача (Withdrawal).</t>
  </si>
  <si>
    <t xml:space="preserve">578HF18</t>
  </si>
  <si>
    <t xml:space="preserve">Ошибка загрузки Базы Данных распознавания #08 в ходе операции Выдача (Withdrawal).</t>
  </si>
  <si>
    <t xml:space="preserve">578HF19</t>
  </si>
  <si>
    <t xml:space="preserve">Ошибка загрузки Базы Данных распознавания #09 в ходе операции Выдача (Withdrawal).</t>
  </si>
  <si>
    <t xml:space="preserve">578HF20</t>
  </si>
  <si>
    <t xml:space="preserve">Ошибка загрузки Базы Данных распознавания #10 в ходе операции Выдача (Withdrawal).</t>
  </si>
  <si>
    <t xml:space="preserve">578HG01</t>
  </si>
  <si>
    <t xml:space="preserve">Ошибка установки режима при выполнении команды BCU mode в ходе операции Выдача (Withdrawal).</t>
  </si>
  <si>
    <t xml:space="preserve">578HG02</t>
  </si>
  <si>
    <t xml:space="preserve">Ошибка установленного уровня распознавания при выполнении команды BCU mode в ходе операции Выдача (Withdrawal).</t>
  </si>
  <si>
    <t xml:space="preserve">578HG03</t>
  </si>
  <si>
    <t xml:space="preserve">Ошибка установки начала транзакции при выполнении команды BCU ready в ходе операции Выдача (Withdrawal).</t>
  </si>
  <si>
    <t xml:space="preserve">578HG04</t>
  </si>
  <si>
    <t xml:space="preserve">Ошибка установки режима при выполнении команды BCU ready в ходе операции Выдача (Withdrawal).</t>
  </si>
  <si>
    <t xml:space="preserve">578HG05</t>
  </si>
  <si>
    <t xml:space="preserve">Ошибка установленного уровня распознавания при выполнении команды BCU ready в ходе операции Выдача (Withdrawal).</t>
  </si>
  <si>
    <t xml:space="preserve">578HG06</t>
  </si>
  <si>
    <t xml:space="preserve">Ошибка направления внесения Модуля Валидатора банкнот BC при выполнении команды BCU ready в ходе операции Выдача (Withdrawal).</t>
  </si>
  <si>
    <t xml:space="preserve">578HG07</t>
  </si>
  <si>
    <t xml:space="preserve">Ошибка получения неопределенной команды Модуля Валидатора банкнот BCU в ходе операции Выдача (Withdrawal).</t>
  </si>
  <si>
    <t xml:space="preserve">578HG08</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</si>
  <si>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Выдача (Withdrawal).</t>
  </si>
  <si>
    <t xml:space="preserve">578HG09</t>
  </si>
  <si>
    <t xml:space="preserve">Ошибка настройки кода страны при выполнении команды записи данных в Модуль Валидатора банкнот BCUв ходе операции Выдача (Withdrawal).</t>
  </si>
  <si>
    <t xml:space="preserve">578HG10</t>
  </si>
  <si>
    <t xml:space="preserve">Ошибка отсутствия БД распознавания для страны в процессе получения команды BCU data write в ходе операции Выдача (Withdrawal).</t>
  </si>
  <si>
    <t xml:space="preserve">578HG11</t>
  </si>
  <si>
    <t xml:space="preserve">Не установлен код страны при получении команды BCU ready в ходе операции Выдача (Withdrawal).</t>
  </si>
  <si>
    <t xml:space="preserve">578HG12</t>
  </si>
  <si>
    <t xml:space="preserve">Спецификация Модуля Валидатора банкнот BC отличается от параметра команды записи данных в ходе операции Выдача (Withdrawal).</t>
  </si>
  <si>
    <t xml:space="preserve">578HG20</t>
  </si>
  <si>
    <t xml:space="preserve">Ошибка инициализации Контактного датчика изображения CIS при получении команды BCU ready в ходе операции Выдача (Withdrawal).</t>
  </si>
  <si>
    <t xml:space="preserve">578HG21</t>
  </si>
  <si>
    <t xml:space="preserve">Ошибка включения при получении команды BCU ready в ходе операции Выдача (Withdrawal).</t>
  </si>
  <si>
    <t xml:space="preserve">578HG22</t>
  </si>
  <si>
    <t xml:space="preserve">Ошибка инициализации датчика определения сдвоенных банкнот DD при получении команды BCU ready в ходе операции Выдача (Withdrawal).</t>
  </si>
  <si>
    <t xml:space="preserve">578HG23</t>
  </si>
  <si>
    <t xml:space="preserve">Ошибка настройки ЦАП Датчика определения сдвоенных банкнот DD при получении команды BCU ready в ходе операции Выдача (Withdrawal).</t>
  </si>
  <si>
    <t xml:space="preserve">578HG24</t>
  </si>
  <si>
    <t xml:space="preserve">Ошибка режима настройки энкодера при получении команды BCU ready в ходе операции Выдача (Withdrawal).</t>
  </si>
  <si>
    <t xml:space="preserve">578HG36</t>
  </si>
  <si>
    <t xml:space="preserve">Ошибка режима распознавания при выполнении команды receiving BCU mode в ходе операции Выдача (Withdrawal).</t>
  </si>
  <si>
    <t xml:space="preserve">578HG37</t>
  </si>
  <si>
    <t xml:space="preserve">Ошибка настроек транзакции при выполнении команды receiving BCU mode в ходе операции Выдача (Withdrawal).</t>
  </si>
  <si>
    <t xml:space="preserve">578HI01</t>
  </si>
  <si>
    <t xml:space="preserve">Ошибка тайм-аута RecogTask Message в ходе операции Выдача (Withdrawal).</t>
  </si>
  <si>
    <t xml:space="preserve">578HI02</t>
  </si>
  <si>
    <t xml:space="preserve">Ошибка тайм-аута ScanTask Message в ходе операции Выдача (Withdrawal).</t>
  </si>
  <si>
    <t xml:space="preserve">578HI03</t>
  </si>
  <si>
    <t xml:space="preserve">Ошибка тайм-аута UartTask Message в ходе операции Выдача (Withdrawal).</t>
  </si>
  <si>
    <t xml:space="preserve">578HI04</t>
  </si>
  <si>
    <t xml:space="preserve">Ошибка тайм-аута BcUsbTask Message в ходе операции Выдача (Withdrawal).</t>
  </si>
  <si>
    <t xml:space="preserve">578HJ01</t>
  </si>
  <si>
    <t xml:space="preserve">Ошибка инициализации алгоритма распознавания в ходе операции Выдача (Withdrawal).</t>
  </si>
  <si>
    <t xml:space="preserve">578HJ02</t>
  </si>
  <si>
    <t xml:space="preserve">Ошибка готовности Алгоритма Распознавания в ходе операции Выдача (Withdrawal).</t>
  </si>
  <si>
    <t xml:space="preserve">578HJ03</t>
  </si>
  <si>
    <t xml:space="preserve">Ошибка алгоритма распознавания набора валют в ходе операции Выдача (Withdrawal).</t>
  </si>
  <si>
    <t xml:space="preserve">578HS01</t>
  </si>
  <si>
    <t xml:space="preserve">Ошибка ПЛИС Write Scan Driver Init в ходе операции Выдача (Withdrawal).</t>
  </si>
  <si>
    <t xml:space="preserve">578HS02</t>
  </si>
  <si>
    <t xml:space="preserve">Ошибка Sensor (MR/UV/DD/Gate) Power Off Scan Driver Init в ходе операции Выдача (Withdrawal).</t>
  </si>
  <si>
    <t xml:space="preserve">578HS03</t>
  </si>
  <si>
    <t xml:space="preserve">Ошибка Контактного датчика изображения CIS Led On Value Set Fail Scan Driver Init в ходе операции Выдача (Withdrawal).</t>
  </si>
  <si>
    <t xml:space="preserve">578HS04</t>
  </si>
  <si>
    <t xml:space="preserve">Ошибка Источника Света Set Fail Scan Driver Init в ходе операции Выдача (Withdrawal).</t>
  </si>
  <si>
    <t xml:space="preserve">578HS05</t>
  </si>
  <si>
    <t xml:space="preserve">Ошибка Контактного датчика изображения CIS Shading Scan Driver Init в ходе операции Выдача (Withdrawal).</t>
  </si>
  <si>
    <t xml:space="preserve">578HS08</t>
  </si>
  <si>
    <t xml:space="preserve">Ошибка ЦАП Set Fail Scan Driver Init в ходе операции Выдача (Withdrawal).</t>
  </si>
  <si>
    <t xml:space="preserve">578HS11</t>
  </si>
  <si>
    <t xml:space="preserve">Ошибка ПЛИС Write BCU Ready в ходе операции Выдача (Withdrawal).</t>
  </si>
  <si>
    <t xml:space="preserve">578HS12</t>
  </si>
  <si>
    <t xml:space="preserve">Ошибка Sensor (MR/UV/DD/Gate) Power Off BCU Ready в ходе операции Выдача (Withdrawal).</t>
  </si>
  <si>
    <t xml:space="preserve">578HS13</t>
  </si>
  <si>
    <t xml:space="preserve">Ошибка Контактного датчика изображения CIS Led On Value Set Fail BCU Ready в ходе операции Выдача (Withdrawal).</t>
  </si>
  <si>
    <t xml:space="preserve">578HS14</t>
  </si>
  <si>
    <t xml:space="preserve">Ошибка Источника Света Set Fail BCU Ready в ходе операции Выдача (Withdrawal).</t>
  </si>
  <si>
    <t xml:space="preserve">578HS15</t>
  </si>
  <si>
    <t xml:space="preserve">Ошибка Контактного датчика изображения CIS Shading BCU Ready в ходе операции Выдача (Withdrawal).</t>
  </si>
  <si>
    <t xml:space="preserve">578HS17</t>
  </si>
  <si>
    <t xml:space="preserve">Ошибка AFE Chip Set BCU Ready в ходе операции Выдача (Withdrawal).</t>
  </si>
  <si>
    <t xml:space="preserve">578HS18</t>
  </si>
  <si>
    <t xml:space="preserve">Ошибка ЦАП Set Fail BCU Ready в ходе операции Выдача (Withdrawal).</t>
  </si>
  <si>
    <t xml:space="preserve">578HS19</t>
  </si>
  <si>
    <t xml:space="preserve">Ошибка MR/UV/DD Sampling BCU Ready в ходе операции Выдача (Withdrawal).</t>
  </si>
  <si>
    <t xml:space="preserve">578HS1A</t>
  </si>
  <si>
    <t xml:space="preserve">Ошибка ЦАП Датчика Холла Set Fail BCU Ready в ходе операции Выдача (Withdrawal).</t>
  </si>
  <si>
    <t xml:space="preserve">578HS1B</t>
  </si>
  <si>
    <t xml:space="preserve">Ошибка Датчика Холла Shading Fail BCU Ready в ходе операции Выдача (Withdrawal).</t>
  </si>
  <si>
    <t xml:space="preserve">578HS22</t>
  </si>
  <si>
    <t xml:space="preserve">Ошибка Модуля Валидатора BC Stop Sensor (MR/UV/DD/Gate) Power Off Scan Driver Init в ходе операции Выдача (Withdrawal).</t>
  </si>
  <si>
    <t xml:space="preserve">578HS28</t>
  </si>
  <si>
    <t xml:space="preserve">Ошибка Модуля Валидатора BC Stop DAC Set Fail Scan Driver Init в ходе операции Выдача (Withdrawal).</t>
  </si>
  <si>
    <t xml:space="preserve">578HS29</t>
  </si>
  <si>
    <t xml:space="preserve">Ошибка Модуля Валидатора BC Stop MR/UV/DD Sampling BCU Ready в ходе операции Выдача (Withdrawal).</t>
  </si>
  <si>
    <t xml:space="preserve">578R100</t>
  </si>
  <si>
    <t xml:space="preserve">Модуль Валидатора BC вернул ошибку таймаута сообщения в ходе готовности к операции Выдача (Withdrawal).</t>
  </si>
  <si>
    <t xml:space="preserve">578R200</t>
  </si>
  <si>
    <t xml:space="preserve">Модуль Валидатора BC вернул ошибку таймаута сообщения при проведении транзакции в ходе операции Выдача (Withdrawal).</t>
  </si>
  <si>
    <t xml:space="preserve">578R300</t>
  </si>
  <si>
    <t xml:space="preserve">Модуль Валидатора BC вернул ошибку таймаута сообщения в ходе постпроцессинга ошибки операции Выдача (Withdrawal Error).</t>
  </si>
  <si>
    <t xml:space="preserve">578R900</t>
  </si>
  <si>
    <t xml:space="preserve">Модуль Валидатора BC вернул ошибку таймаута сообщения в ходе операции Выдача (Withdrawal).</t>
  </si>
  <si>
    <t xml:space="preserve">578RJ00</t>
  </si>
  <si>
    <t xml:space="preserve">Модуль Валидатора BC вернул ошибку таймаута сообщения в ходе операции Начало Остановки (Stop Ready) Выдача (Withdrawal).</t>
  </si>
  <si>
    <t xml:space="preserve">578S100</t>
  </si>
  <si>
    <t xml:space="preserve">Получена неправильная Информация о памяти MI от Модуля Валидатора банкнот BC в ходе операции Выдача (Withdrawal).</t>
  </si>
  <si>
    <t xml:space="preserve">578S200</t>
  </si>
  <si>
    <t xml:space="preserve">Получен ненормальный BCC от Модуля Валидатора банкнот в ходе операции Выдача (Withdrawal).</t>
  </si>
  <si>
    <t xml:space="preserve">578S400</t>
  </si>
  <si>
    <t xml:space="preserve">Получена ошибка ETC. от Модуля Валидатора банкнот BC в ходе операции Выдача (Withdrawal).</t>
  </si>
  <si>
    <t xml:space="preserve">578S900</t>
  </si>
  <si>
    <t xml:space="preserve">Повторная попытка завершилась ошибкой Модуля Валидатора банкнот BC в ходе операции Выдача (Withdrawal).</t>
  </si>
  <si>
    <t xml:space="preserve">Датчик Кассеты Отбраковки RJC GSA03 сообщил об ошибке замятия по Темному типу в ходе операции Выдача (Withdrawal).</t>
  </si>
  <si>
    <t xml:space="preserve">Датчик Кассеты Отбраковки RJC GSA05 сообщил об ошибке замятия по Темному типу Выдача (Withdrawal).</t>
  </si>
  <si>
    <t xml:space="preserve">579J100</t>
  </si>
  <si>
    <t xml:space="preserve">Переполненная Кассета Отбраковки RJC в ходе операции Выдача (Withdrawal).</t>
  </si>
  <si>
    <t xml:space="preserve">579P100</t>
  </si>
  <si>
    <t xml:space="preserve">Ошибка мотора Кассеты Отбраковки RJC в ходе операции Выдача (Withdrawal).</t>
  </si>
  <si>
    <t xml:space="preserve">57A2100</t>
  </si>
  <si>
    <t xml:space="preserve">Оставшиеся банкноты в Возвращающем Транспортном Тракте (GS801) перед выполнением операции Выдача (Withdrawal).</t>
  </si>
  <si>
    <t xml:space="preserve">57A2200</t>
  </si>
  <si>
    <t xml:space="preserve">Оставшиеся банкноты в Возвращающем Транспортном Тракте (GS002) перед выполнением операции Выдача (Withdrawal).</t>
  </si>
  <si>
    <t xml:space="preserve">57A2300</t>
  </si>
  <si>
    <t xml:space="preserve">Оставшиеся банкноты в Возвращающем Транспортном Тракте (GS003) перед выполнением операции Выдача (Withdrawal).</t>
  </si>
  <si>
    <t xml:space="preserve">57A2400</t>
  </si>
  <si>
    <t xml:space="preserve">Оставшиеся банкноты в Возвращающем Транспортном Тракте (GS004) перед выполнением операции Выдача (Withdrawal).</t>
  </si>
  <si>
    <t xml:space="preserve">57A2500</t>
  </si>
  <si>
    <t xml:space="preserve">Оставшиеся банкноты в Возвращающем Транспортном Тракте (GS005) перед выполнением операции Выдача (Withdrawal).</t>
  </si>
  <si>
    <t xml:space="preserve">57A2600</t>
  </si>
  <si>
    <t xml:space="preserve">Оставшиеся банкноты в Возвращающем Транспортном Тракте (GS006) перед выполнением операции Выдача (Withdrawal).</t>
  </si>
  <si>
    <t xml:space="preserve">57A2A00</t>
  </si>
  <si>
    <t xml:space="preserve">Оставшиеся банкноты в Возвращающем Транспортном Тракте (GS021) перед выполнением операции Выдача (Withdrawal).</t>
  </si>
  <si>
    <t xml:space="preserve">57A2B00</t>
  </si>
  <si>
    <t xml:space="preserve">Оставшиеся банкноты в Возвращающем Транспортном Тракте (GS022) перед выполнением операции Выдача (Withdrawal).</t>
  </si>
  <si>
    <t xml:space="preserve">57A2C00</t>
  </si>
  <si>
    <t xml:space="preserve">Произошла ошибка оставшихся банкнот в Модуле Валидатора банкнот BCU (Контактный датчик изображения CIS) в ходе операции Выдача (Withdrawal).</t>
  </si>
  <si>
    <t xml:space="preserve">57A2G00</t>
  </si>
  <si>
    <t xml:space="preserve">Оставшиеся банкноты в Возвращающем Транспортном Тракте (GS614) перед выполнением операции Выдача (Withdrawal).</t>
  </si>
  <si>
    <t xml:space="preserve">57A2H00</t>
  </si>
  <si>
    <t xml:space="preserve">Оставшиеся банкноты в Возвращающем Транспортном Тракте (GS618) перед выполнением операции Выдача (Withdrawal).</t>
  </si>
  <si>
    <t xml:space="preserve">57A2J00</t>
  </si>
  <si>
    <t xml:space="preserve">Оставшиеся банкноты в Возвращающем Транспортном Тракте (GS619) перед выполнением операции Выдача (Withdrawal).</t>
  </si>
  <si>
    <t xml:space="preserve">57A2K00</t>
  </si>
  <si>
    <t xml:space="preserve">Оставшиеся банкноты в Возвращающем Транспортном Тракте (GS703) перед выполнением операции Выдача (Withdrawal).</t>
  </si>
  <si>
    <t xml:space="preserve">57A2M00</t>
  </si>
  <si>
    <t xml:space="preserve">Оставшиеся банкноты в Возвращающем Транспортном Тракте (GS031) перед выполнением операции Выдача (Withdrawal).</t>
  </si>
  <si>
    <t xml:space="preserve">57A2N00</t>
  </si>
  <si>
    <t xml:space="preserve">Оставшиеся банкноты в Возвращающем Транспортном Тракте (GS032) перед выполнением операции Выдача (Withdrawal).</t>
  </si>
  <si>
    <t xml:space="preserve">57A2P00</t>
  </si>
  <si>
    <t xml:space="preserve">Оставшиеся банкноты в Возвращающем Транспортном Тракте (GS033) перед выполнением операции Выдача (Withdrawal).</t>
  </si>
  <si>
    <t xml:space="preserve">57A2Q00</t>
  </si>
  <si>
    <t xml:space="preserve">Оставшиеся банкноты в Возвращающем Транспортном Тракте (GS034) перед выполнением операции Выдача (Withdrawal).</t>
  </si>
  <si>
    <t xml:space="preserve">57A2W00</t>
  </si>
  <si>
    <t xml:space="preserve">Оставшиеся банкноты в Возвращающем Транспортном Тракте (GS802) перед выполнением операции Выдача (Withdrawal).</t>
  </si>
  <si>
    <t xml:space="preserve">57AA100</t>
  </si>
  <si>
    <t xml:space="preserve">Вынутое состояние Вспомогательной (невостребованных/фальшивых банкнот) Кассеты UTC перед выполнением операции Выдача (Withdrawal).</t>
  </si>
  <si>
    <t xml:space="preserve">57AA200</t>
  </si>
  <si>
    <t xml:space="preserve">Модуль временного хранения открыт перед выполнением операции Выдача (Withdrawal).</t>
  </si>
  <si>
    <t xml:space="preserve">57AA300</t>
  </si>
  <si>
    <t xml:space="preserve">Отстыкованное состояние концевого переключателя (inter lock) Верхней части Модуля Рециркуляции Банкнот BMU перед выполнением операции Выдача (Withdrawal).</t>
  </si>
  <si>
    <t xml:space="preserve">57AA400</t>
  </si>
  <si>
    <t xml:space="preserve">Выдвинутое состояние Верхней части Модуля Рециркуляции Банкнот BMU перед выполнением операции Выдача (Withdrawal).</t>
  </si>
  <si>
    <t xml:space="preserve">57AA600</t>
  </si>
  <si>
    <t xml:space="preserve">Открыт Модуль обслуживания клиентов CSM перед выполнением операции Выдача (Withdrawal).</t>
  </si>
  <si>
    <t xml:space="preserve">57AA700</t>
  </si>
  <si>
    <t xml:space="preserve">Вынутое состояние Кассеты Отбраковки RJC перед выполнением операции Выдача (Withdrawal).</t>
  </si>
  <si>
    <t xml:space="preserve">57AA800</t>
  </si>
  <si>
    <t xml:space="preserve">Отстыкованное состояние концевого переключателя (inter lock) Нижней части Модуля Рециркуляции Банкнот BMD перед выполнением операции Выдача (Withdrawal).</t>
  </si>
  <si>
    <t xml:space="preserve">57AA900</t>
  </si>
  <si>
    <t xml:space="preserve">Выдвинутое состояние Нижней части Модуля Рециркуляции Банкнот BMD перед выполнением операции Выдача (Withdrawal).</t>
  </si>
  <si>
    <t xml:space="preserve">57AAA00</t>
  </si>
  <si>
    <t xml:space="preserve">Модуль Валидатора банкнот BC открыт перед работой в ходе операции Выдача (Withdrawal).</t>
  </si>
  <si>
    <t xml:space="preserve">57AAC00</t>
  </si>
  <si>
    <t xml:space="preserve">Переполненная Кассета Отбраковки RJC перед выполнением операции Выдача (Withdrawal).</t>
  </si>
  <si>
    <t xml:space="preserve">57AAD00</t>
  </si>
  <si>
    <t xml:space="preserve">Переполненная Вспомогательная кассета UTC1 перед выполнением операции Выдача (Withdrawal).</t>
  </si>
  <si>
    <t xml:space="preserve">57AAE00</t>
  </si>
  <si>
    <t xml:space="preserve">Переполненная Вспомогательная кассета UTC2 перед выполнением операции Выдача (Withdrawal).</t>
  </si>
  <si>
    <t xml:space="preserve">57AAF00</t>
  </si>
  <si>
    <t xml:space="preserve">Пустая Кассета Рециркуляции RC перед выполнением операции Выдача (Withdrawal).</t>
  </si>
  <si>
    <t xml:space="preserve">57AE100</t>
  </si>
  <si>
    <t xml:space="preserve">Получена операция без выполнения команды установки начальных данных (Initail Info Set) в ходе операции Выдача (Withdrawal).</t>
  </si>
  <si>
    <t xml:space="preserve">57AE200</t>
  </si>
  <si>
    <t xml:space="preserve">Состояние not operation при получении команды в ходе операции Выдача (Withdrawal).</t>
  </si>
  <si>
    <t xml:space="preserve">57AE300</t>
  </si>
  <si>
    <t xml:space="preserve">Получена команда выполнения без выполнения операции Чтение Системных Данных (Read System Info) в ходе операции Выдача (Withdrawal).</t>
  </si>
  <si>
    <t xml:space="preserve">57AE400</t>
  </si>
  <si>
    <t xml:space="preserve">Транзакция Выдача (Withdrawal) была выполнена без Инициализации после включения питания.</t>
  </si>
  <si>
    <t xml:space="preserve">57AE600</t>
  </si>
  <si>
    <t xml:space="preserve">Ошибка обработки операции Выдача (Withdrawal) в ходе операции Работа кнопки TE (TE Button Operating).</t>
  </si>
  <si>
    <t xml:space="preserve">57AEE00</t>
  </si>
  <si>
    <t xml:space="preserve">Нарушение последовательности сообщений интерфейса RS485 платы контроллера RBU в ходе операции Выдача (Withdrawal).</t>
  </si>
  <si>
    <t xml:space="preserve">57AEF00</t>
  </si>
  <si>
    <t xml:space="preserve">Нарушение линии связи интерфейса RS485 платы контроллера RBU в ходе операции Выдача (Withdrawal).</t>
  </si>
  <si>
    <t xml:space="preserve">57AH500</t>
  </si>
  <si>
    <t xml:space="preserve">Ошибка Чтения/Записи памяти NVRAM (128 деноминаций) в ходе операции Выдача (Withdrawal).</t>
  </si>
  <si>
    <t xml:space="preserve">57ANA00</t>
  </si>
  <si>
    <t xml:space="preserve">Значение счетчика набранных банкнот Модуля обслуживания клиентов CSM отличается от счетчика Нормально просдледовавших банкнот через Модуль Валидатора банкнот BC в ходе операции Выдача (Withdrawal).</t>
  </si>
  <si>
    <t xml:space="preserve">57ANL00</t>
  </si>
  <si>
    <t xml:space="preserve">Информационный статус. Слистывание в ходе операции Выдача (Withdrawal) Кассеты Рециркуляции RC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</si>
  <si>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1. Проверьте фактическое кол-во и значение счетчика на экране Сервисной панели оператора SPL. 2. Установите значение счетчика Кассеты Рециркуляции равным фактическому кол-ву. 3. Выполните инициализацию Модуля Рециркуляции Банкнот BRM (Восстановление)</t>
  </si>
  <si>
    <t xml:space="preserve">57ANQ00</t>
  </si>
  <si>
    <t xml:space="preserve">Не удалось выполнить укладку в другую кассету при восстановлении замятия в ходе операции Выдача (Withdrawal).</t>
  </si>
  <si>
    <t xml:space="preserve">57ANR00</t>
  </si>
  <si>
    <t xml:space="preserve">Несоответствие счетчика набранных банкнот Кассеты Отбраковки RJC и счетчика разделенных банкнот в ходе операции тестирования автовосстановления в ходе операции Выдача (Withdrawal).</t>
  </si>
  <si>
    <t xml:space="preserve">57AR100</t>
  </si>
  <si>
    <t xml:space="preserve">Возвращена ошибка таймаута сообщения в ходе готовности к операции Выдача (Withdrawal).</t>
  </si>
  <si>
    <t xml:space="preserve">57AR200</t>
  </si>
  <si>
    <t xml:space="preserve">Возвращена ошибка таймаута сообщения при проведении транзакции в ходе операции Выдача (Withdrawal).</t>
  </si>
  <si>
    <t xml:space="preserve">57AR300</t>
  </si>
  <si>
    <t xml:space="preserve">Возвращена ошибка таймаута сообщения в ходе постпроцессинга ошибки операции Выдача (Withdrawal).</t>
  </si>
  <si>
    <t xml:space="preserve">57AR700</t>
  </si>
  <si>
    <t xml:space="preserve">Контроллер RBU вернул ошибку таймаута сообщения в ходе операции Выдача (Withdrawal).</t>
  </si>
  <si>
    <t xml:space="preserve">57AR900</t>
  </si>
  <si>
    <t xml:space="preserve">Ошибка таймаута сообщения готовности к укладке в процессе автовосстановления в ходе операции Выдача (Withdrawal).</t>
  </si>
  <si>
    <t xml:space="preserve">57ARA01</t>
  </si>
  <si>
    <t xml:space="preserve">Ошибка таймаута сообщения возврата банкнот BM в процессе автовосстановления в ходе операции Выдача (Withdrawal).</t>
  </si>
  <si>
    <t xml:space="preserve">57ARB02</t>
  </si>
  <si>
    <t xml:space="preserve">Возвращена ошибка таймаута сообщения при обработке банкнот оставшихся при авто-восстановлении в ходе операции Выдача (Withdrawal).</t>
  </si>
  <si>
    <t xml:space="preserve">57ARC00</t>
  </si>
  <si>
    <t xml:space="preserve">57ARJ00</t>
  </si>
  <si>
    <t xml:space="preserve">Возвращена ошибка таймаута сообщения в ходе операции Начало Остановки (Stop Ready) в ходе операции Выдача (Withdrawal).</t>
  </si>
  <si>
    <t xml:space="preserve">57AS700</t>
  </si>
  <si>
    <t xml:space="preserve">Ошибка сравнения в ходе операции установки счетчика банкнот/деноминаций при Выдаче (Withdrawal).</t>
  </si>
  <si>
    <t xml:space="preserve">57AS800</t>
  </si>
  <si>
    <t xml:space="preserve">Значение счетчика набранных банкнот больше значения счетчика Оставшихся банкнот в процессе обновления счетчиков банкнот duringв ходе операции Выдача (Withdrawal).</t>
  </si>
  <si>
    <t xml:space="preserve">57ASR00</t>
  </si>
  <si>
    <t xml:space="preserve">Ошибка запроса, превышающего максимальное кол-ва для выдачи в ходе операции Выдача (Withdrawal).</t>
  </si>
  <si>
    <t xml:space="preserve">57ASS00</t>
  </si>
  <si>
    <t xml:space="preserve">Кассета Рециркуляции RC1 не доступна для операции Выдача (Withdrawal).</t>
  </si>
  <si>
    <t xml:space="preserve">57AST00</t>
  </si>
  <si>
    <t xml:space="preserve">Кассета Рециркуляции RC2 не доступна для операции Выдача (Withdrawal).</t>
  </si>
  <si>
    <t xml:space="preserve">57ASU00</t>
  </si>
  <si>
    <t xml:space="preserve">Кассета Рециркуляции RC3 не доступна для операции Выдача (Withdrawal).</t>
  </si>
  <si>
    <t xml:space="preserve">57ASV00</t>
  </si>
  <si>
    <t xml:space="preserve">Кассета Рециркуляции RC4 не доступна для операции Выдача (Withdrawal).</t>
  </si>
  <si>
    <t xml:space="preserve">57ASW00</t>
  </si>
  <si>
    <t xml:space="preserve">Кассета Рециркуляции RC5 не доступна для операции Выдача (Withdrawal).</t>
  </si>
  <si>
    <t xml:space="preserve">57ASX00</t>
  </si>
  <si>
    <t xml:space="preserve">Запрашиваемое кол-во операции Выдача (Withdrawal) больше чем соответствующее значение счетчика в кассете в ходе операции Выдача (Withdrawal).</t>
  </si>
  <si>
    <t xml:space="preserve">57ASY00</t>
  </si>
  <si>
    <t xml:space="preserve">Запрашиваемое кол-во операции Выдача (Withdrawal) равно 0 в ходе операции Выдача (Withdrawal).</t>
  </si>
  <si>
    <t xml:space="preserve">57BH100</t>
  </si>
  <si>
    <t xml:space="preserve">Ошибка чтения памяти EEPROM Кассеты Рециркуляции RC1 в ходе операции Выдача (Withdrawal).</t>
  </si>
  <si>
    <t xml:space="preserve">57BH200</t>
  </si>
  <si>
    <t xml:space="preserve">Ошибка чтения памяти EEPROM Кассеты Рециркуляции RC2 в ходе операции Выдача (Withdrawal).</t>
  </si>
  <si>
    <t xml:space="preserve">57BH300</t>
  </si>
  <si>
    <t xml:space="preserve">Ошибка чтения памяти EEPROM Кассеты Рециркуляции RC3 в ходе операции Выдача (Withdrawal).</t>
  </si>
  <si>
    <t xml:space="preserve">57BH400</t>
  </si>
  <si>
    <t xml:space="preserve">Ошибка чтения памяти EEPROM Кассеты Рециркуляции RC4 в ходе операции Выдача (Withdrawal).</t>
  </si>
  <si>
    <t xml:space="preserve">57BH500</t>
  </si>
  <si>
    <t xml:space="preserve">Ошибка чтения памяти EEPROM Кассеты Рециркуляции RC5 в ходе операции Выдача (Withdrawal).</t>
  </si>
  <si>
    <t xml:space="preserve">57BH600</t>
  </si>
  <si>
    <t xml:space="preserve">Ошибка записи памяти EEPROM Кассеты Рециркуляции RC1 в ходе операции Выдача (Withdrawal).</t>
  </si>
  <si>
    <t xml:space="preserve">57BH700</t>
  </si>
  <si>
    <t xml:space="preserve">Ошибка записи памяти EEPROM Кассеты Рециркуляции RC2 в ходе операции Выдача (Withdrawal).</t>
  </si>
  <si>
    <t xml:space="preserve">57BH800</t>
  </si>
  <si>
    <t xml:space="preserve">Ошибка записи памяти EEPROM Кассеты Рециркуляции RC3 в ходе операции Выдача (Withdrawal).</t>
  </si>
  <si>
    <t xml:space="preserve">57BH900</t>
  </si>
  <si>
    <t xml:space="preserve">Ошибка записи памяти EEPROM Кассеты Рециркуляции RC4 в ходе операции Выдача (Withdrawal).</t>
  </si>
  <si>
    <t xml:space="preserve">57BHA00</t>
  </si>
  <si>
    <t xml:space="preserve">Ошибка записи памяти EEPROM Кассеты Рециркуляции RC5 в ходе операции Выдача (Withdrawal).</t>
  </si>
  <si>
    <t xml:space="preserve">57BHB00</t>
  </si>
  <si>
    <t xml:space="preserve">Ошибка проверки данных памяти EEPROM Кассеты Рециркуляции RC1 в ходе операции Выдача (Withdrawal).</t>
  </si>
  <si>
    <t xml:space="preserve">57BHC00</t>
  </si>
  <si>
    <t xml:space="preserve">Ошибка проверки данных памяти EEPROM Кассеты Рециркуляции RC2 в ходе операции Выдача (Withdrawal).</t>
  </si>
  <si>
    <t xml:space="preserve">57BHD00</t>
  </si>
  <si>
    <t xml:space="preserve">Ошибка проверки данных памяти EEPROM Кассеты Рециркуляции RC3 в ходе операции Выдача (Withdrawal).</t>
  </si>
  <si>
    <t xml:space="preserve">57BHE00</t>
  </si>
  <si>
    <t xml:space="preserve">Ошибка проверки данных памяти EEPROM Кассеты Рециркуляции RC4 в ходе операции Выдача (Withdrawal).</t>
  </si>
  <si>
    <t xml:space="preserve">57BHF00</t>
  </si>
  <si>
    <t xml:space="preserve">Ошибка проверки данных памяти EEPROM Кассеты Рециркуляции RC5 в ходе операции Выдача (Withdrawal).</t>
  </si>
  <si>
    <t xml:space="preserve">57BHG00</t>
  </si>
  <si>
    <t xml:space="preserve">Не обнаружен концевой переключатель (интерлок) при Чтении/Записи памяти EEPROM Кассеты Рециркуляции RC в ходе операции Выдача (Withdrawal).</t>
  </si>
  <si>
    <t xml:space="preserve">57BS000</t>
  </si>
  <si>
    <t xml:space="preserve">Ошибка таймаута связи контроллера RBU в ходе операции Выдача (Withdrawal).</t>
  </si>
  <si>
    <t xml:space="preserve">57BS100</t>
  </si>
  <si>
    <t xml:space="preserve">Ошибка последовательности сообщений платы контроллера RBU в ходе операции Выдача (Withdrawal).</t>
  </si>
  <si>
    <t xml:space="preserve">57BS200</t>
  </si>
  <si>
    <t xml:space="preserve">Ошибка Информации о памяти MI в ходе соединения контроллера RBU в ходе операции Выдача (Withdrawal).</t>
  </si>
  <si>
    <t xml:space="preserve">57US100</t>
  </si>
  <si>
    <t xml:space="preserve">Ошибка дублирования номера последовательности USB в ходе операции Выдача (Withdrawal).</t>
  </si>
  <si>
    <t xml:space="preserve">57US300</t>
  </si>
  <si>
    <t xml:space="preserve">Ошибка длины данных команды USB  в ходе операции Выдача (Withdrawal).</t>
  </si>
  <si>
    <t xml:space="preserve">Произошла ошибка оставшихся банкнот в области датчика GS105 в ходе операции Выдача Банкнот (Notes Out).</t>
  </si>
  <si>
    <t xml:space="preserve">Произошла ошибка оставшихся банкнот в области датчика GS205 в ходе операции Выдача Банкнот (Notes Out).</t>
  </si>
  <si>
    <t xml:space="preserve">Произошла ошибка оставшихся банкнот в области датчика GS305 в ходе операции Выдача Банкнот (Notes Out).</t>
  </si>
  <si>
    <t xml:space="preserve">Произошла ошибка оставшихся банкнот в области датчика GS405 в ходе операции Выдача Банкнот (Notes Out).</t>
  </si>
  <si>
    <t xml:space="preserve">586G100</t>
  </si>
  <si>
    <t xml:space="preserve">Ошибка перемещения Задней прижимной пластины BP в положение для укладывания банкнот в пачку в ходе операции Выдача Банкнот (Notes Out).</t>
  </si>
  <si>
    <t xml:space="preserve">586G200</t>
  </si>
  <si>
    <t xml:space="preserve">Ошибка выдачи банкнот Задней прижимной пластины BP в ходе операции Выдача Банкнот (Notes Out).</t>
  </si>
  <si>
    <t xml:space="preserve">586G300</t>
  </si>
  <si>
    <t xml:space="preserve">Ошибка перемещения Задней прижимной пластины BP в положение для разделения банкнот в ходе операции Выдача Банкнот (Notes Out).</t>
  </si>
  <si>
    <t xml:space="preserve">586G400</t>
  </si>
  <si>
    <t xml:space="preserve">Ошибка контроля разделения банкнот Задней прижимной пластины BP в ходе операции Выдача Банкнот (Notes Out).</t>
  </si>
  <si>
    <t xml:space="preserve">586G500</t>
  </si>
  <si>
    <t xml:space="preserve">Ошибка положения Задней прижимной пластины BP при выдаче банкнот в ходе операции Выдача Банкнот (Notes Out).</t>
  </si>
  <si>
    <t xml:space="preserve">586M100</t>
  </si>
  <si>
    <t xml:space="preserve">Ошибка инициализации ограничителя в ходе операции Выдача Банкнот (Notes Out).</t>
  </si>
  <si>
    <t xml:space="preserve">586M500</t>
  </si>
  <si>
    <t xml:space="preserve">Ошибка поднятия ограничителя в ходе операции Выдача Банкнот (Notes Out).</t>
  </si>
  <si>
    <t xml:space="preserve">586M600</t>
  </si>
  <si>
    <t xml:space="preserve">Ошибка закрытия шаттера при инициализации ограничителя в ходе операции Выдача Банкнот (Notes Out).</t>
  </si>
  <si>
    <t xml:space="preserve">586P100</t>
  </si>
  <si>
    <t xml:space="preserve">Ошибка перемещения Прижимной Пластины PP в положение Выдача (укладка) в ходе операции Выдача Банкнот (Notes Out).</t>
  </si>
  <si>
    <t xml:space="preserve">586P200</t>
  </si>
  <si>
    <t xml:space="preserve">Ошибка перемещения Прижимной Пластины в положение депозита в ходе операции Выдача Банкнот (Notes Out).</t>
  </si>
  <si>
    <t xml:space="preserve">586P300</t>
  </si>
  <si>
    <t xml:space="preserve">Ошибка перемещения Прижимной Пластины PP в положение разделения в ходе операции Выдача Банкнот (Notes Out).</t>
  </si>
  <si>
    <t xml:space="preserve">586P400</t>
  </si>
  <si>
    <t xml:space="preserve">Ошибка перемещения Прижимной Пластины PP в положение lose return в ходе операции Выдача Банкнот (Notes Out).</t>
  </si>
  <si>
    <t xml:space="preserve">586P500</t>
  </si>
  <si>
    <t xml:space="preserve">Ошибка перемещения Прижимной Пластины PP в положение выдачи банкнот в ходе операции Выдача Банкнот (Notes Out).</t>
  </si>
  <si>
    <t xml:space="preserve">586P600</t>
  </si>
  <si>
    <t xml:space="preserve">Ошибка выравнивания банкнот Прижимной Пластины PP в ходе операции Выдача Банкнот (Notes Out).</t>
  </si>
  <si>
    <t xml:space="preserve">586P700</t>
  </si>
  <si>
    <t xml:space="preserve">Ошибка контроля разделения (во время сепарации) Прижимной Пластины PP в ходе операции Выдача Банкнот (Notes Out).</t>
  </si>
  <si>
    <t xml:space="preserve">586P800</t>
  </si>
  <si>
    <t xml:space="preserve">Ошибка контроля укладки (во время укладывания) Прижимной Пластины PP в ходе операции Выдача Банкнот (Notes Out).</t>
  </si>
  <si>
    <t xml:space="preserve">586P900</t>
  </si>
  <si>
    <t xml:space="preserve">Ошибка возврата банкнот в ходе операции Выдача Банкнот (Notes Out).</t>
  </si>
  <si>
    <t xml:space="preserve">586PA00</t>
  </si>
  <si>
    <t xml:space="preserve">Ошибка preparation stop Прижимной Пластины PP в ходе операции Выдача Банкнот (Notes Out).</t>
  </si>
  <si>
    <t xml:space="preserve">586R100</t>
  </si>
  <si>
    <t xml:space="preserve">Модуль обслуживания клиентов CSM вернул ошибку таймаута сообщения в ходе операции Начало Выдачи Банкнот (Notes Out Ready).</t>
  </si>
  <si>
    <t xml:space="preserve">586R200</t>
  </si>
  <si>
    <t xml:space="preserve">Модуль обслуживания клиентов CSM вернул ошибку таймаута сообщения в ходе операции Транзакция Выдачи Банкнот (Notes Out Transaction).</t>
  </si>
  <si>
    <t xml:space="preserve">586R300</t>
  </si>
  <si>
    <t xml:space="preserve">Модуль обслуживания клиентов CSM вернул ошибку таймаута сообщения в ходе постпроцессинга ошибки операции Выдача Банкнот (Notes Out Error).</t>
  </si>
  <si>
    <t xml:space="preserve">58AA100</t>
  </si>
  <si>
    <t xml:space="preserve">Вынутое состояние Вспомогательной (невостребованных/фальшивых банкнот) Кассеты UTC перед выполнением операции Выдача Банкнот (Notes Out).</t>
  </si>
  <si>
    <t xml:space="preserve">58AA200</t>
  </si>
  <si>
    <t xml:space="preserve">Модуль временного хранения открыт перед выполнением операции Выдача Банкнот (Notes Out).</t>
  </si>
  <si>
    <t xml:space="preserve">58AA300</t>
  </si>
  <si>
    <t xml:space="preserve">Отстыкованное состояние концевого переключателя (inter lock) Верхней части Модуля Рециркуляции Банкнот BMU перед выполнением операции Выдача Банкнот (Notes Out).</t>
  </si>
  <si>
    <t xml:space="preserve">58AA400</t>
  </si>
  <si>
    <t xml:space="preserve">Выдвинутое состояние Верхней части Модуля Рециркуляции Банкнот BMU перед выполнением операции Выдача Банкнот (Notes Out).</t>
  </si>
  <si>
    <t xml:space="preserve">58AA600</t>
  </si>
  <si>
    <t xml:space="preserve">Открыт Модуль обслуживания клиентов CSM перед выполнением операции Выдача Банкнот (Notes Out).</t>
  </si>
  <si>
    <t xml:space="preserve">58AA700</t>
  </si>
  <si>
    <t xml:space="preserve">Вынутое состояние Кассеты Отбраковки RJC перед выполнением операции Выдача Банкнот (Notes Out).</t>
  </si>
  <si>
    <t xml:space="preserve">58AA800</t>
  </si>
  <si>
    <t xml:space="preserve">Отстыкованное состояние концевого переключателя (inter lock) Нижней части Модуля Рециркуляции Банкнот BMD перед выполнением операции Выдача Банкнот (Notes Out).</t>
  </si>
  <si>
    <t xml:space="preserve">58AA900</t>
  </si>
  <si>
    <t xml:space="preserve">Выдвинутое состояние Нижней части Модуля Рециркуляции Банкнот BMD перед выполнением операции Выдача Банкнот (Notes Out).</t>
  </si>
  <si>
    <t xml:space="preserve">58AAA00</t>
  </si>
  <si>
    <t xml:space="preserve">Модуль Валидатора банкнот BC открыт перед работой в ходе операции Выдача Банкнот (Notes Out).</t>
  </si>
  <si>
    <t xml:space="preserve">58AE100</t>
  </si>
  <si>
    <t xml:space="preserve">Получена операция без выполнения команды установки начальных данных (Initail Info Set) в ходе операции Выдача Банкнот (Notes Out).</t>
  </si>
  <si>
    <t xml:space="preserve">58AE200</t>
  </si>
  <si>
    <t xml:space="preserve">Состояние not operation при получении команды в ходе операции Выдача Банкнот (Notes Out).</t>
  </si>
  <si>
    <t xml:space="preserve">58AE300</t>
  </si>
  <si>
    <t xml:space="preserve">Получена операция без выполнения команды чтения системных данных (Sysrem Info Read) в ходе операции Выдача Банкнот (Notes Out).</t>
  </si>
  <si>
    <t xml:space="preserve">58AE400</t>
  </si>
  <si>
    <t xml:space="preserve">Транзакция Выдачи Банкнот (Notes Out) была выполнена без Инициализации после включения питания.</t>
  </si>
  <si>
    <t xml:space="preserve">58AE600</t>
  </si>
  <si>
    <t xml:space="preserve">Ошибка обработки операции Транзакция Выдачи Банкнот (Notes Out Transaction) в ходе операции Работа кнопки TE (TE Button Operating).</t>
  </si>
  <si>
    <t xml:space="preserve">58AEE00</t>
  </si>
  <si>
    <t xml:space="preserve">Нарушение последовательности сообщений интерфейса RS485 платы контроллера RBU в ходе операции Выдача Банкнот (Notes Out).</t>
  </si>
  <si>
    <t xml:space="preserve">58AEF00</t>
  </si>
  <si>
    <t xml:space="preserve">Нарушение линии связи интерфейса RS485 платы контроллера RBU в ходе операции Выдача Банкнот (Notes Out).</t>
  </si>
  <si>
    <t xml:space="preserve">58AH500</t>
  </si>
  <si>
    <t xml:space="preserve">Ошибка Чтения/Записи памяти NVRAM (128 деноминаций) в ходе операции Выдача Банкнот (Notes Out).</t>
  </si>
  <si>
    <t xml:space="preserve">58AR100</t>
  </si>
  <si>
    <t xml:space="preserve">Возвращена ошибка таймаута сообщения в ходе операции Начало Выдачи Банкнот (Notes Out Ready).</t>
  </si>
  <si>
    <t xml:space="preserve">58AR200</t>
  </si>
  <si>
    <t xml:space="preserve">Возвращена ошибка таймаута сообщения в ходе операции Транзакция Выдачи Банкнот (Notes Out Transaction).</t>
  </si>
  <si>
    <t xml:space="preserve">58AR300</t>
  </si>
  <si>
    <t xml:space="preserve">Возвращена ошибка таймаута сообщения в ходе постпроцессинга ошибки операции Выдача Банкнот (Notes Out Error).</t>
  </si>
  <si>
    <t xml:space="preserve">58AR700</t>
  </si>
  <si>
    <t xml:space="preserve">Контроллер RBU вернул ошибку таймаута сообщения в ходе операции Выдача Банкнот (Notes Out).</t>
  </si>
  <si>
    <t xml:space="preserve">58BS000</t>
  </si>
  <si>
    <t xml:space="preserve">Ошибка таймаута связи контроллера RBU в ходе операции Выдача Банкнот (Notes Out).</t>
  </si>
  <si>
    <t xml:space="preserve">58BS100</t>
  </si>
  <si>
    <t xml:space="preserve">Ошибка последовательности сообщений платы контроллера RBU в ходе операции Выдача Банкнот (Notes Out).</t>
  </si>
  <si>
    <t xml:space="preserve">58BS200</t>
  </si>
  <si>
    <t xml:space="preserve">Ошибка Информации о памяти MI в ходе соединения контроллера RBU в ходе операции Выдача Банкнот (Notes Out).</t>
  </si>
  <si>
    <t xml:space="preserve">58US100</t>
  </si>
  <si>
    <t xml:space="preserve">Ошибка дублирования номера последовательности USB в ходе операции Выдача Банкнот (Notes Out).</t>
  </si>
  <si>
    <t xml:space="preserve">58US300</t>
  </si>
  <si>
    <t xml:space="preserve">Ошибка длины данных команды USB  в ходе операции Выдача Банкнот (Notes Out).</t>
  </si>
  <si>
    <t xml:space="preserve">Произошла ошибка оставшихся банкнот в области датчика GS801 в ходе операции Изменение Клиента (Customer Change).</t>
  </si>
  <si>
    <t xml:space="preserve">Произошла ошибка оставшихся банкнот в области датчика GS002 в ходе операции Изменение Клиента (Customer Change).</t>
  </si>
  <si>
    <t xml:space="preserve">Произошла ошибка оставшихся банкнот в области датчика GS003 в ходе операции Изменение Клиента (Customer Change).</t>
  </si>
  <si>
    <t xml:space="preserve">Произошла ошибка оставшихся банкнот в области датчика GS004 в ходе операции Изменение Клиента (Customer Change).</t>
  </si>
  <si>
    <t xml:space="preserve">Произошла ошибка оставшихся банкнот в области датчика GS005 в ходе операции Изменение Клиента (Customer Change).</t>
  </si>
  <si>
    <t xml:space="preserve">Произошла ошибка оставшихся банкнот в области датчика GS006 в ходе операции Изменение Клиента (Customer Change).</t>
  </si>
  <si>
    <t xml:space="preserve">5902A00</t>
  </si>
  <si>
    <t xml:space="preserve">Произошла ошибка оставшихся банкнот в области датчика GS021 в ходе операции Изменение Клиента (Customer Change).</t>
  </si>
  <si>
    <t xml:space="preserve">5902B00</t>
  </si>
  <si>
    <t xml:space="preserve">Произошла ошибка оставшихся банкнот в области датчика GS022 в ходе операции Изменение Клиента (Customer Change).</t>
  </si>
  <si>
    <t xml:space="preserve">5902G00</t>
  </si>
  <si>
    <t xml:space="preserve">Произошла ошибка оставшихся банкнот в области датчика GS614 в ходе операции Изменение Клиента (Customer Change).</t>
  </si>
  <si>
    <t xml:space="preserve">5902H00</t>
  </si>
  <si>
    <t xml:space="preserve">Произошла ошибка оставшихся банкнот в области датчика GS618 в ходе операции Изменение Клиента (Customer Change).</t>
  </si>
  <si>
    <t xml:space="preserve">5902J00</t>
  </si>
  <si>
    <t xml:space="preserve">Произошла ошибка оставшихся банкнот в области датчика GS619 в ходе операции Изменение Клиента (Customer Change).</t>
  </si>
  <si>
    <t xml:space="preserve">5902K00</t>
  </si>
  <si>
    <t xml:space="preserve">Произошла ошибка оставшихся банкнот в области датчика GS703 в ходе операции Изменение Клиента (Customer Change).</t>
  </si>
  <si>
    <t xml:space="preserve">5902M00</t>
  </si>
  <si>
    <t xml:space="preserve">Произошла ошибка оставшихся банкнот в области датчика GS031в ходе операции Изменение Клиента (Customer Change).</t>
  </si>
  <si>
    <t xml:space="preserve">5902N00</t>
  </si>
  <si>
    <t xml:space="preserve">Произошла ошибка оставшихся банкнот в области датчика GS032 в ходе операции Изменение Клиента (Customer Change).</t>
  </si>
  <si>
    <t xml:space="preserve">5902P00</t>
  </si>
  <si>
    <t xml:space="preserve">Произошла ошибка оставшихся банкнот в области датчика GS033 в ходе операции Изменение Клиента (Customer Change).</t>
  </si>
  <si>
    <t xml:space="preserve">5902Q00</t>
  </si>
  <si>
    <t xml:space="preserve">Произошла ошибка оставшихся банкнот в области датчика GS034 в ходе операции Изменение Клиента (Customer Change).</t>
  </si>
  <si>
    <t xml:space="preserve">590G100</t>
  </si>
  <si>
    <t xml:space="preserve">Не удалось переключить 3-х направленный Затвор Тракта в режим 0-го градуса в ходе операции Изменение Клиента (Customer Change).</t>
  </si>
  <si>
    <t xml:space="preserve">590G200</t>
  </si>
  <si>
    <t xml:space="preserve">Не удалось переключить 3-х направленный Затвор Тракта в 120 градусный режим в ходе операции Изменение Клиента (Customer Change).</t>
  </si>
  <si>
    <t xml:space="preserve">590NC00</t>
  </si>
  <si>
    <t xml:space="preserve">Не удалось проверить последнюю банкноту в окончании Среднего Транспортного Тракта в ходе операции Изменение Клиента (Customer Change).</t>
  </si>
  <si>
    <t xml:space="preserve">590NK00</t>
  </si>
  <si>
    <t xml:space="preserve">Ошибка No gate for insertion в ходе операции Изменение Клиента (Customer Change).</t>
  </si>
  <si>
    <t xml:space="preserve">590R100</t>
  </si>
  <si>
    <t xml:space="preserve">BM вернул ошибку таймаута сообщения в ходе операции Начало Изменения Клиента (Customer Change Ready).</t>
  </si>
  <si>
    <t xml:space="preserve">590R200</t>
  </si>
  <si>
    <t xml:space="preserve">BM вернул ошибку таймаута сообщения в ходе операции Транзакция Изменение Клиента (Customer Change Transaction).</t>
  </si>
  <si>
    <t xml:space="preserve">590R300</t>
  </si>
  <si>
    <t xml:space="preserve">BM вернул ошибку таймаута сообщения в ходе постпроцессинга ошибки операции Изменение Клиента (Customer Change Error).</t>
  </si>
  <si>
    <t xml:space="preserve">GS101 замятие в области датчика в ходе операции Изменение Клиента (Customer Change).</t>
  </si>
  <si>
    <t xml:space="preserve">GS102 замятие в области датчика в ходе операции Изменение Клиента (Customer Change).</t>
  </si>
  <si>
    <t xml:space="preserve">GS105 замятие в области датчика в ходе операции Изменение Клиента (Customer Change).</t>
  </si>
  <si>
    <t xml:space="preserve">Произошла ошибка оставшихся банкнот в области датчика GS101 в ходе операции Изменение Клиента (Customer Change).</t>
  </si>
  <si>
    <t xml:space="preserve">Произошла ошибка оставшихся банкнот в области датчика GS102 в ходе операции Изменение Клиента (Customer Change).</t>
  </si>
  <si>
    <t xml:space="preserve">Произошла ошибка оставшихся банкнот в области датчика GS105 в ходе операции Изменение Клиента (Customer Change).</t>
  </si>
  <si>
    <t xml:space="preserve">Произошла ошибка Транспортного Тракта по данным датчика GS105 в ходе операции Изменение Клиента (Customer Change).</t>
  </si>
  <si>
    <t xml:space="preserve">Произошла ошибка Возвращающего Транспортного Тракта (датчик GS105) в ходе операции Изменение Клиента (Customer Change).</t>
  </si>
  <si>
    <t xml:space="preserve">Произошла ошибка порядка следования банкнот в области датчика GS105 в ходе операции Изменение Клиента (Customer Change).</t>
  </si>
  <si>
    <t xml:space="preserve">591G100</t>
  </si>
  <si>
    <t xml:space="preserve">Не удалось вернуть банкноты в Кассету Рециркуляции RC1 в ходе операции Изменение Клиента (Customer Change).</t>
  </si>
  <si>
    <t xml:space="preserve">591G200</t>
  </si>
  <si>
    <t xml:space="preserve">Не удалось переместить Прижимную Пластину Кассеты Рециркуляции RC1 в укладывающее положение в ходе операции Изменение Клиента (Customer Change).</t>
  </si>
  <si>
    <t xml:space="preserve">591G400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</si>
  <si>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Изменение Клиента (Customer Change).</t>
  </si>
  <si>
    <t xml:space="preserve">591G500</t>
  </si>
  <si>
    <t xml:space="preserve">Сбой обратного хода укладывающего ролика Кассеты Рециркуляции RC1 в ходе операции Изменение Клиента (Customer Change).(ошибка датчика)</t>
  </si>
  <si>
    <t xml:space="preserve">591G600</t>
  </si>
  <si>
    <t xml:space="preserve">Превышен предел количества попыток перемещений укладывающего ролика Кассеты Рециркуляции RC1 в ходе операции Изменение Клиента (Customer Change).</t>
  </si>
  <si>
    <t xml:space="preserve">591G700</t>
  </si>
  <si>
    <t xml:space="preserve">Не удалось переместить подающий ролик Кассеты Рециркуляции RC1 в исходное положение в ходе операции Изменение Клиента (Customer Change).</t>
  </si>
  <si>
    <t xml:space="preserve">591G800</t>
  </si>
  <si>
    <t xml:space="preserve">Не удалось переместить Прижимную Пластину в прижимающее положение Кассеты Рециркуляции RC1 в ходе операции Изменение Клиента (Customer Change).</t>
  </si>
  <si>
    <t xml:space="preserve">591GA00</t>
  </si>
  <si>
    <t xml:space="preserve">Ошибка неправильного потока сообщений Кассеты Рециркуляции RC1 в ходе операции Изменение Клиента (Customer Change).</t>
  </si>
  <si>
    <t xml:space="preserve">591GB00</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</si>
  <si>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</si>
  <si>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591GC00</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</si>
  <si>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Изменение Клиента (Customer Change).</t>
  </si>
  <si>
    <t xml:space="preserve">591GD00</t>
  </si>
  <si>
    <t xml:space="preserve">Датчики GS101, GS102 обнаружили лишние банкноты в ходе операции Изменение Клиента (Customer Change).</t>
  </si>
  <si>
    <t xml:space="preserve">591GE00</t>
  </si>
  <si>
    <t xml:space="preserve">Обнаружено превышение кол-ва банкнот при перемещении FM в исходное положение по данным датчика GS108 (нажим при разделении) в ходе операции Изменение Клиента (Customer Change).</t>
  </si>
  <si>
    <t xml:space="preserve">591GG00</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</si>
  <si>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Изменение Клиента (Customer Change).</t>
  </si>
  <si>
    <t xml:space="preserve">591GH00</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</si>
  <si>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</si>
  <si>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591GJ00</t>
  </si>
  <si>
    <t xml:space="preserve">Сбой обратного хода укладывающего ролика Кассеты Рециркуляции RC1 в ходе операции Изменение Клиента (Customer Change).(Перерасход)</t>
  </si>
  <si>
    <t xml:space="preserve">591GK00</t>
  </si>
  <si>
    <t xml:space="preserve">Сбой обратного хода укладывающего ролика Кассеты Рециркуляции RC1 в ходе операции Изменение Клиента (Customer Change). (Ошибка состояния двигателя)</t>
  </si>
  <si>
    <t xml:space="preserve">591GL00</t>
  </si>
  <si>
    <t xml:space="preserve">Не удалось переместить подающий ролик Кассеты Рециркуляции RC1 в исходное положение в ходе операции Изменение Клиента (Customer Change).(Ошибка состояния двигателя)</t>
  </si>
  <si>
    <t xml:space="preserve">591J300</t>
  </si>
  <si>
    <t xml:space="preserve">Ошибка проверки переполнения Кассеты Рециркуляции RC1 в ходе операции Изменение Клиента (Customer Change).</t>
  </si>
  <si>
    <t xml:space="preserve">591R100</t>
  </si>
  <si>
    <t xml:space="preserve">Ошибка тайм-аута сообщения Кассеты Рециркуляции RC1 в ходе операции Начало Изменения Клиента (Customer Change Ready).</t>
  </si>
  <si>
    <t xml:space="preserve">591R200</t>
  </si>
  <si>
    <t xml:space="preserve">Ошибка тайм-аута сообщения Кассеты Рециркуляции RC1 в ходе операции Транзакция Изменение Клиента (Customer Change Transaction).</t>
  </si>
  <si>
    <t xml:space="preserve">591R300</t>
  </si>
  <si>
    <t xml:space="preserve">Ошибка тайм-аута сообщения Кассеты Рециркуляции RC1 в ходе постпроцессинга ошибки операции Изменение Клиента (Customer Change Error).</t>
  </si>
  <si>
    <t xml:space="preserve">GS201 замятие в области датчика в ходе операции Изменение Клиента (Customer Change).</t>
  </si>
  <si>
    <t xml:space="preserve">GS202 замятие в области датчика в ходе операции Изменение Клиента (Customer Change).</t>
  </si>
  <si>
    <t xml:space="preserve">GS205 замятие в области датчика в ходе операции Изменение Клиента (Customer Change).</t>
  </si>
  <si>
    <t xml:space="preserve">Произошла ошибка оставшихся банкнот в области датчика GS201 в ходе операции Изменение Клиента (Customer Change).</t>
  </si>
  <si>
    <t xml:space="preserve">Произошла ошибка оставшихся банкнот в области датчика GS205 в ходе операции Изменение Клиента (Customer Change).</t>
  </si>
  <si>
    <t xml:space="preserve">Произошла ошибка Транспортного Тракта по данным датчика GS205 в ходе операции Изменение Клиента (Customer Change).</t>
  </si>
  <si>
    <t xml:space="preserve">Произошла ошибка Возвращающего Транспортного Тракта (датчик GS205) в ходе операции Изменение Клиента (Customer Change).</t>
  </si>
  <si>
    <t xml:space="preserve">Произошла ошибка порядка следования банкнот в области датчика GS205 в ходе операции Изменение Клиента (Customer Change).</t>
  </si>
  <si>
    <t xml:space="preserve">592G100</t>
  </si>
  <si>
    <t xml:space="preserve">Не удалось вернуть банкноты в Кассету Рециркуляции RC2 в ходе операции Изменение Клиента (Customer Change).</t>
  </si>
  <si>
    <t xml:space="preserve">592G200</t>
  </si>
  <si>
    <t xml:space="preserve">Не удалось переместить Прижимную Пластину Кассеты Рециркуляции RC2 в укладывающее положение в ходе операции Изменение Клиента (Customer Change).</t>
  </si>
  <si>
    <t xml:space="preserve">592G400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</si>
  <si>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Изменение Клиента (Customer Change).</t>
  </si>
  <si>
    <t xml:space="preserve">592G500</t>
  </si>
  <si>
    <t xml:space="preserve">Сбой обратного хода укладывающего ролика Кассеты Рециркуляции RC2 в ходе операции Изменение Клиента (Customer Change).(ошибка датчика)</t>
  </si>
  <si>
    <t xml:space="preserve">592G600</t>
  </si>
  <si>
    <t xml:space="preserve">Превышен предел количества попыток перемещений укладывающего ролика Кассеты Рециркуляции RC2 в ходе операции Изменение Клиента (Customer Change).</t>
  </si>
  <si>
    <t xml:space="preserve">592G700</t>
  </si>
  <si>
    <t xml:space="preserve">Не удалось переместить подающий ролик Кассеты Рециркуляции RC2 в исходное положение в ходе операции Начало Выдачи (Withdrawal Ready).</t>
  </si>
  <si>
    <t xml:space="preserve">592G800</t>
  </si>
  <si>
    <t xml:space="preserve">Не удалось переместить Прижимную Пластину в прижимающее положение Кассеты Рециркуляции RC2 в ходе операции Изменение Клиента (Customer Change).</t>
  </si>
  <si>
    <t xml:space="preserve">592GA00</t>
  </si>
  <si>
    <t xml:space="preserve">Ошибка неправильного потока сообщений Кассеты Рециркуляции RC2 в ходе операции Изменение Клиента (Customer Change) Repair.</t>
  </si>
  <si>
    <t xml:space="preserve">592GB00</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</si>
  <si>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Изменение Клиента (Customer Change) Repair.</t>
  </si>
  <si>
    <t xml:space="preserve">592GC00</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</si>
  <si>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Изменение Клиента (Customer Change) Repair.</t>
  </si>
  <si>
    <t xml:space="preserve">592GD00</t>
  </si>
  <si>
    <t xml:space="preserve">Датчики GS201, GS202 обнаружили лишние банкноты в ходе операции Изменение Клиента (Customer Change).</t>
  </si>
  <si>
    <t xml:space="preserve">592GE00</t>
  </si>
  <si>
    <t xml:space="preserve">Обнаружено превышение кол-ва банкнот при перемещении FM в исходное положение по данным датчика GS208 (нажим при разделении) в ходе операции Измение Клиента (Customer Change).</t>
  </si>
  <si>
    <t xml:space="preserve">592GG00</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</si>
  <si>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Изменение Клиента (Customer Change).</t>
  </si>
  <si>
    <t xml:space="preserve">592GH00</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</si>
  <si>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</si>
  <si>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592GJ00</t>
  </si>
  <si>
    <t xml:space="preserve">Сбой обратного хода укладывающего ролика Кассеты Рециркуляции RC2 в ходе операции Изменение Клиента (Customer Change).(Перерасход)</t>
  </si>
  <si>
    <t xml:space="preserve">592GK00</t>
  </si>
  <si>
    <t xml:space="preserve">Сбой обратного хода укладывающего ролика Кассеты Рециркуляции RC2 в ходе операции Изменение Клиента (Customer Change). (Ошибка состояния двигателя)</t>
  </si>
  <si>
    <t xml:space="preserve">592GL00</t>
  </si>
  <si>
    <t xml:space="preserve">Не удалось переместить подающий ролик Кассеты Рециркуляции RC2 в исходное положение в ходе операции Изменение Клиента (Customer Change).(Ошибка состояния двигателя)</t>
  </si>
  <si>
    <t xml:space="preserve">592J300</t>
  </si>
  <si>
    <t xml:space="preserve">Ошибка проверки переполнения Кассеты Рециркуляции RC2 в ходе операции Изменение Клиента (Customer Change).</t>
  </si>
  <si>
    <t xml:space="preserve">592R100</t>
  </si>
  <si>
    <t xml:space="preserve">Ошибка тайм-аута сообщения Кассеты Рециркуляции RC2 в ходе операции Начало Изменения Клиента (Customer Change Ready).</t>
  </si>
  <si>
    <t xml:space="preserve">592R200</t>
  </si>
  <si>
    <t xml:space="preserve">Ошибка тайм-аута сообщения Кассеты Рециркуляции RC2 в ходе операции Транзакция Изменение Клиента (Customer Change Transaction).</t>
  </si>
  <si>
    <t xml:space="preserve">592R300</t>
  </si>
  <si>
    <t xml:space="preserve">Ошибка тайм-аута сообщения Кассеты Рециркуляции RC2 в ходе постпроцессинга ошибки операции Изменение Клиента (Customer Change Error).</t>
  </si>
  <si>
    <t xml:space="preserve">592S100</t>
  </si>
  <si>
    <t xml:space="preserve">Кассета Рециркуляции RC3 возвратила неизвестное значение в ходе операции Изменение Клиента (Customer Change).</t>
  </si>
  <si>
    <t xml:space="preserve">592S200</t>
  </si>
  <si>
    <t xml:space="preserve">Неизвестная команда Кассеты Рециркуляции RC2 в ходе операции Изменение Клиента (Customer Change).</t>
  </si>
  <si>
    <t xml:space="preserve">GS301 замятие в области датчика в ходе операции Изменение Клиента (Customer Change).</t>
  </si>
  <si>
    <t xml:space="preserve">GS302 замятие в области датчика в ходе операции Изменение Клиента (Customer Change).</t>
  </si>
  <si>
    <t xml:space="preserve">GS305 замятие в области датчика в ходе операции Изменение Клиента (Customer Change).</t>
  </si>
  <si>
    <t xml:space="preserve">Произошла ошибка оставшихся банкнот в области датчика GS301 в ходе операции Изменение Клиента (Customer Change).</t>
  </si>
  <si>
    <t xml:space="preserve">Произошла ошибка оставшихся банкнот в области датчика GS305 в ходе операции Изменение Клиента (Customer Change).</t>
  </si>
  <si>
    <t xml:space="preserve">Произошла ошибка Транспортного Тракта по данным датчика GS305 в ходе операции Изменение Клиента (Customer Change).</t>
  </si>
  <si>
    <t xml:space="preserve">Произошла ошибка Возвращающего Транспортного Тракта (датчик GS305) в ходе операции Изменение Клиента (Customer Change).</t>
  </si>
  <si>
    <t xml:space="preserve">Произошла ошибка порядка следования банкнот в области датчика GS305 в ходе операции Изменение Клиента (Customer Change).</t>
  </si>
  <si>
    <t xml:space="preserve">593G100</t>
  </si>
  <si>
    <t xml:space="preserve">Не удалось вернуть банкноты в Кассету Рециркуляции RC3 в ходе операции Изменение Клиента (Customer Change).</t>
  </si>
  <si>
    <t xml:space="preserve">593G200</t>
  </si>
  <si>
    <t xml:space="preserve">Не удалось переместить Прижимную Пластину Кассеты Рециркуляции RC3 в укладывающее положение в ходе операции Изменение Клиента (Customer Change).</t>
  </si>
  <si>
    <t xml:space="preserve">593G400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</si>
  <si>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Изменение Клиента (Customer Change).</t>
  </si>
  <si>
    <t xml:space="preserve">593G500</t>
  </si>
  <si>
    <t xml:space="preserve">Сбой обратного хода укладывающего ролика Кассеты Рециркуляции RC3 в ходе операции Изменение Клиента (Customer Change).(ошибка датчика)</t>
  </si>
  <si>
    <t xml:space="preserve">593G600</t>
  </si>
  <si>
    <t xml:space="preserve">Превышен предел количества попыток перемещений укладывающего ролика Кассеты Рециркуляции RC3 в ходе операции Изменение Клиента (Customer Change).</t>
  </si>
  <si>
    <t xml:space="preserve">593G700</t>
  </si>
  <si>
    <t xml:space="preserve">Не удалось переместить подающий ролик Кассеты Рециркуляции RC3 в исходное положение в ходе операции Изменение Клиента (Customer Change).</t>
  </si>
  <si>
    <t xml:space="preserve">593G800</t>
  </si>
  <si>
    <t xml:space="preserve">Не удалось переместить Прижимную Пластину в прижимающее положение Кассеты Рециркуляции RC3 в ходе операции Изменение Клиента (Customer Change).</t>
  </si>
  <si>
    <t xml:space="preserve">593GA00</t>
  </si>
  <si>
    <t xml:space="preserve">Ошибка неправильного потока сообщений Кассеты Рециркуляции RC3 в ходе операции Изменение Клиента (Customer Change).</t>
  </si>
  <si>
    <t xml:space="preserve">593GB00</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</si>
  <si>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</si>
  <si>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593GC00</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</si>
  <si>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Изменение Клиента (Customer Change).</t>
  </si>
  <si>
    <t xml:space="preserve">593GD00</t>
  </si>
  <si>
    <t xml:space="preserve">Датчики GS301, GS302 обнаружили лишние банкноты в ходе операции Изменение Клиента (Customer Change).</t>
  </si>
  <si>
    <t xml:space="preserve">593GE00</t>
  </si>
  <si>
    <t xml:space="preserve">Обнаружено превышение кол-ва банкнот при перемещении FM в исходное положение по данным датчика GS308 (нажим при разделении) в ходе операции Изменение Клиента (Customer Change).</t>
  </si>
  <si>
    <t xml:space="preserve">593GG00</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</si>
  <si>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Изменение Клиента (Customer Change).</t>
  </si>
  <si>
    <t xml:space="preserve">593GH00</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</si>
  <si>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</si>
  <si>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593GJ00</t>
  </si>
  <si>
    <t xml:space="preserve">Сбой обратного хода укладывающего ролика Кассеты Рециркуляции RC3 в ходе операции Изменение Клиента (Customer Change).(Перерасход)</t>
  </si>
  <si>
    <t xml:space="preserve">593GK00</t>
  </si>
  <si>
    <t xml:space="preserve">Сбой обратного хода укладывающего ролика Кассеты Рециркуляции RC3 в ходе операции Изменение Клиента (Customer Change). (Ошибка состояния двигателя)</t>
  </si>
  <si>
    <t xml:space="preserve">593GL00</t>
  </si>
  <si>
    <t xml:space="preserve">Не удалось переместить подающий ролик Кассеты Рециркуляции RC3 в исходное положение в ходе операции Изменение Клиента (Customer Change).(Ошибка состояния двигателя)</t>
  </si>
  <si>
    <t xml:space="preserve">593J300</t>
  </si>
  <si>
    <t xml:space="preserve">Ошибка проверки переполнения Кассеты Рециркуляции RC3 в ходе операции Изменение Клиента (Customer Change).</t>
  </si>
  <si>
    <t xml:space="preserve">593R100</t>
  </si>
  <si>
    <t xml:space="preserve">Ошибка тайм-аута сообщения Кассеты Рециркуляции RC3 в ходе операции Начало Изменения Клиента (Customer Change Ready).</t>
  </si>
  <si>
    <t xml:space="preserve">593R200</t>
  </si>
  <si>
    <t xml:space="preserve">Ошибка тайм-аута сообщения Кассеты Рециркуляции RC3 в ходе операции Транзакция Изменение Клиента (Customer Change Transaction).</t>
  </si>
  <si>
    <t xml:space="preserve">593R300</t>
  </si>
  <si>
    <t xml:space="preserve">Ошибка тайм-аута сообщения Кассеты Рециркуляции RC3 в ходе постпроцессинга ошибки операции Изменение Клиента (Customer Change Error).</t>
  </si>
  <si>
    <t xml:space="preserve">593S100</t>
  </si>
  <si>
    <t xml:space="preserve">593S200</t>
  </si>
  <si>
    <t xml:space="preserve">Неизвестная команда Кассеты Рециркуляции RC3 в ходе операции Изменение Клиента (Customer Change).</t>
  </si>
  <si>
    <t xml:space="preserve">GS401 замятие в области датчика в ходе операции Изменение Клиента (Customer Change).</t>
  </si>
  <si>
    <t xml:space="preserve">GS402 замятие в области датчика в ходе операции Изменение Клиента (Customer Change).</t>
  </si>
  <si>
    <t xml:space="preserve">GS405 замятие в области датчика в ходе операции Изменение Клиента (Customer Change).</t>
  </si>
  <si>
    <t xml:space="preserve">Произошла ошибка оставшихся банкнот в области датчика GS401 в ходе операции Изменение Клиента (Customer Change).</t>
  </si>
  <si>
    <t xml:space="preserve">Произошла ошибка оставшихся банкнот в области датчика GS405 в ходе операции Изменение Клиента (Customer Change).</t>
  </si>
  <si>
    <t xml:space="preserve">Произошла ошибка Транспортного Тракта по данным датчика GS405 в ходе операции Изменение Клиента (Customer Change).</t>
  </si>
  <si>
    <t xml:space="preserve">Произошла ошибка Возвращающего Транспортного Тракта (датчик GS405) в ходе операции Изменение Клиента (Customer Change).</t>
  </si>
  <si>
    <t xml:space="preserve">GS405 произошла ошибка порядка следования банкнот в ходе операции Изменение Клиента (Customer Change).</t>
  </si>
  <si>
    <t xml:space="preserve">594G100</t>
  </si>
  <si>
    <t xml:space="preserve">Не удалось вернуть банкноты в Кассету Рециркуляции RC4 в ходе операции Изменение Клиента (Customer Change).</t>
  </si>
  <si>
    <t xml:space="preserve">594G200</t>
  </si>
  <si>
    <t xml:space="preserve">Не удалось переместить Прижимную Пластину Кассеты Рециркуляции RC4 в укладывающее положение в ходе операции Изменение Клиента (Customer Change).</t>
  </si>
  <si>
    <t xml:space="preserve">594G400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</si>
  <si>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Изменение Клиента (Customer Change).</t>
  </si>
  <si>
    <t xml:space="preserve">594G500</t>
  </si>
  <si>
    <t xml:space="preserve">Сбой обратного хода укладывающего ролика Кассеты Рециркуляции RC4 в ходе операции Изменение Клиента (Customer Change).(ошибка датчика)</t>
  </si>
  <si>
    <t xml:space="preserve">594G600</t>
  </si>
  <si>
    <t xml:space="preserve">Превышен предел количества попыток перемещений укладывающего ролика Кассеты Рециркуляции RC4 в ходе операции Изменение Клиента (Customer Change).</t>
  </si>
  <si>
    <t xml:space="preserve">594G700</t>
  </si>
  <si>
    <t xml:space="preserve">Не удалось переместить подающий ролик Кассеты Рециркуляции RC4 в исходное положение в ходе операции Изменение Клиента (Customer Change).</t>
  </si>
  <si>
    <t xml:space="preserve">594G800</t>
  </si>
  <si>
    <t xml:space="preserve">Не удалось переместить Прижимную Пластину в прижимающее положение Кассеты Рециркуляции RC4 в ходе операции Изменение Клиента (Customer Change).</t>
  </si>
  <si>
    <t xml:space="preserve">594GA00</t>
  </si>
  <si>
    <t xml:space="preserve">Ошибка неправильного потока сообщений Кассеты Рециркуляции RC4 в ходе операции Изменение Клиента (Customer Change).</t>
  </si>
  <si>
    <t xml:space="preserve">594GB00</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</si>
  <si>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</si>
  <si>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594GC00</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</si>
  <si>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Изменение Клиента (Customer Change).</t>
  </si>
  <si>
    <t xml:space="preserve">594GD00</t>
  </si>
  <si>
    <t xml:space="preserve">Датчики GS401, GS402 обнаружили лишние банкноты в ходе операции Изменение Клиента (Customer Change).</t>
  </si>
  <si>
    <t xml:space="preserve">594GE00</t>
  </si>
  <si>
    <t xml:space="preserve">Обнаружено превышение кол-ва банкнот при перемещении FM в исходное положение по данным датчика GS408 (нажим при разделении) в ходе операции Изменение Клиента (Customer Change).</t>
  </si>
  <si>
    <t xml:space="preserve">594GG00</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</si>
  <si>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Изменение Клиента (Customer Change).</t>
  </si>
  <si>
    <t xml:space="preserve">594GH00</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</si>
  <si>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</si>
  <si>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594GJ00</t>
  </si>
  <si>
    <t xml:space="preserve">Сбой обратного хода укладывающего ролика Кассеты Рециркуляции RC4 в ходе операции Изменение Клиента (Customer Change).(Перерасход)</t>
  </si>
  <si>
    <t xml:space="preserve">594GK00</t>
  </si>
  <si>
    <t xml:space="preserve">Сбой обратного хода укладывающего ролика Кассеты Рециркуляции RC4 в ходе операции Изменение Клиента (Customer Change). (Ошибка состояния двигателя)</t>
  </si>
  <si>
    <t xml:space="preserve">594GL00</t>
  </si>
  <si>
    <t xml:space="preserve">Не удалось переместить подающий ролик Кассеты Рециркуляции RC4 в исходное положение в ходе операции Изменение Клиента (Customer Change).(Ошибка состояния двигателя)</t>
  </si>
  <si>
    <t xml:space="preserve">594J300</t>
  </si>
  <si>
    <t xml:space="preserve">Ошибка проверки переполнения Кассеты Рециркуляции RC4 в ходе операции Изменение Клиента (Customer Change).</t>
  </si>
  <si>
    <t xml:space="preserve">594R100</t>
  </si>
  <si>
    <t xml:space="preserve">Ошибка тайм-аута сообщения Кассеты Рециркуляции RC4 в ходе операции Начало Изменения Клиента (Customer Change Ready).</t>
  </si>
  <si>
    <t xml:space="preserve">594R200</t>
  </si>
  <si>
    <t xml:space="preserve">Ошибка тайм-аута сообщения Кассеты Рециркуляции RC4 в ходе операции Транзакция Изменение Клиента (Customer Change Transaction).</t>
  </si>
  <si>
    <t xml:space="preserve">594R300</t>
  </si>
  <si>
    <t xml:space="preserve">Ошибка тайм-аута сообщения Кассеты Рециркуляции RC4 в ходе постпроцессинга ошибки операции Изменение Клиента (Customer Change Error).</t>
  </si>
  <si>
    <t xml:space="preserve">594S100</t>
  </si>
  <si>
    <t xml:space="preserve">Кассета Рециркуляции RC4 возвратила неизвестное значение в ходе операции Изменение Клиента (Customer Change).</t>
  </si>
  <si>
    <t xml:space="preserve">594S200</t>
  </si>
  <si>
    <t xml:space="preserve">Неизвестная команда Кассеты Рециркуляции RC4 в ходе операции Изменение Клиента (Customer Change).</t>
  </si>
  <si>
    <t xml:space="preserve">GS501 замятие в области датчика в ходе операции Изменение Клиента (Customer Change).</t>
  </si>
  <si>
    <t xml:space="preserve">GS502 замятие в области датчика в ходе операции Изменение Клиента (Customer Change).</t>
  </si>
  <si>
    <t xml:space="preserve">GS505 замятие в области датчика в ходе операции Изменение Клиента (Customer Change).</t>
  </si>
  <si>
    <t xml:space="preserve">Произошла ошибка оставшихся банкнот в области датчика GS501 в ходе операции Изменение Клиента (Customer Change).</t>
  </si>
  <si>
    <t xml:space="preserve">Произошла ошибка оставшихся банкнот в области датчика GS505 в ходе операции Изменение Клиента (Customer Change).</t>
  </si>
  <si>
    <t xml:space="preserve">GS505 Произошла ошибка Транспортного Тракта по данным датчика в ходе операции Изменение Клиента (Customer Change).</t>
  </si>
  <si>
    <t xml:space="preserve">Произошла ошибка Возвращающего Транспортного Тракта (датчик GS505) в ходе операции Изменение Клиента (Customer Change).</t>
  </si>
  <si>
    <t xml:space="preserve">Произошла ошибка порядка следования банкнот в области датчика GS505 в ходе операции Изменение Клиента (Customer Change).</t>
  </si>
  <si>
    <t xml:space="preserve">595G100</t>
  </si>
  <si>
    <t xml:space="preserve">Не удалось вернуть банкноты в Кассету Рециркуляции RC5 в ходе операции Изменение Клиента (Customer Change).</t>
  </si>
  <si>
    <t xml:space="preserve">595G200</t>
  </si>
  <si>
    <t xml:space="preserve">Не удалось переместить Прижимную Пластину Кассеты Рециркуляции RC5 в укладывающее положение в ходе операции Изменение Клиента (Customer Change).</t>
  </si>
  <si>
    <t xml:space="preserve">595G400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</si>
  <si>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Изменение Клиента (Customer Change).</t>
  </si>
  <si>
    <t xml:space="preserve">595G500</t>
  </si>
  <si>
    <t xml:space="preserve">Сбой обратного хода укладывающего ролика Кассеты Рециркуляции RC5 в ходе операции Изменение Клиента (Customer Change).(ошибка датчика)</t>
  </si>
  <si>
    <t xml:space="preserve">595G600</t>
  </si>
  <si>
    <t xml:space="preserve">Превышен предел количества попыток перемещений укладывающего ролика Кассеты Рециркуляции RC5 в ходе операции Изменение Клиента (Customer Change).</t>
  </si>
  <si>
    <t xml:space="preserve">595G700</t>
  </si>
  <si>
    <t xml:space="preserve">Не удалось переместить подающий ролик Кассеты Рециркуляции RC5 в исходное положение в ходе операции Изменение Клиента (Customer Change).</t>
  </si>
  <si>
    <t xml:space="preserve">595G800</t>
  </si>
  <si>
    <t xml:space="preserve">Не удалось переместить Прижимную Пластину в прижимающее положение Кассеты Рециркуляции RC5 в ходе операции Изменение Клиента (Customer Change).</t>
  </si>
  <si>
    <t xml:space="preserve">595GA00</t>
  </si>
  <si>
    <t xml:space="preserve">Ошибка неправильного потока сообщений Кассеты Рециркуляции RC5 в ходе операции Изменение Клиента (Customer Change).</t>
  </si>
  <si>
    <t xml:space="preserve">595GB00</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</si>
  <si>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</si>
  <si>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595GC00</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</si>
  <si>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Изменение Клиента (Customer Change).</t>
  </si>
  <si>
    <t xml:space="preserve">595GD00</t>
  </si>
  <si>
    <t xml:space="preserve">Датчики GS501, GS502 обнаружили лишние банкноты в ходе операции Изменение Клиента (Customer Change).</t>
  </si>
  <si>
    <t xml:space="preserve">595GE00</t>
  </si>
  <si>
    <t xml:space="preserve">Обнаружено превышение кол-ва банкнот при перемещении FM в исходное положение по данным датчика GS508 (нажим при разделении) в ходе операции Изменение Клиента (Customer Change).</t>
  </si>
  <si>
    <t xml:space="preserve">595GG00</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</si>
  <si>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Изменение Клиента (Customer Change).</t>
  </si>
  <si>
    <t xml:space="preserve">595GH00</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</si>
  <si>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</si>
  <si>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595GJ00</t>
  </si>
  <si>
    <t xml:space="preserve">Сбой обратного хода укладывающего ролика Кассеты Рециркуляции RC5 в ходе операции Изменение Клиента (Customer Change).(Перерасход)</t>
  </si>
  <si>
    <t xml:space="preserve">595GK00</t>
  </si>
  <si>
    <t xml:space="preserve">Сбой обратного хода укладывающего ролика Кассеты Рециркуляции RC5 в ходе операции Изменение Клиента (Customer Change). (Ошибка состояния двигателя)</t>
  </si>
  <si>
    <t xml:space="preserve">595GL00</t>
  </si>
  <si>
    <t xml:space="preserve">Не удалось переместить подающий ролик Кассеты Рециркуляции RC5 в исходное положение в ходе операции Изменение Клиента (Customer Change).(Ошибка состояния двигателя)</t>
  </si>
  <si>
    <t xml:space="preserve">595J300</t>
  </si>
  <si>
    <t xml:space="preserve">Ошибка проверки переполнения Кассеты Рециркуляции RC5 в ходе операции Изменение Клиента (Customer Change).</t>
  </si>
  <si>
    <t xml:space="preserve">595R100</t>
  </si>
  <si>
    <t xml:space="preserve">Ошибка тайм-аута сообщения Кассеты Рециркуляции RC5 в ходе операции Начало Изменения Клиента (Customer Change Ready).</t>
  </si>
  <si>
    <t xml:space="preserve">595R200</t>
  </si>
  <si>
    <t xml:space="preserve">Ошибка тайм-аута сообщения Кассеты Рециркуляции RC5 в ходе операции Транзакция Изменение Клиента (Customer Change Transaction).</t>
  </si>
  <si>
    <t xml:space="preserve">595R300</t>
  </si>
  <si>
    <t xml:space="preserve">Ошибка тайм-аута сообщения Кассеты Рециркуляции RC5 в ходе постпроцессинга ошибки операции Изменение Клиента (Customer Change Error).</t>
  </si>
  <si>
    <t xml:space="preserve">595S100</t>
  </si>
  <si>
    <t xml:space="preserve">Неопределенные возвратные значения Кассеты Рециркуляции RC5 в ходе операции Изменение Клиента (Customer Change).</t>
  </si>
  <si>
    <t xml:space="preserve">595S200</t>
  </si>
  <si>
    <t xml:space="preserve">Неизвестная команда Кассеты Рециркуляции RC5 в ходе операции Изменение Клиента (Customer Change).</t>
  </si>
  <si>
    <t xml:space="preserve">Произошла ошибка оставшихся банкнот в Модуле обслуживания клиентов CSM в ходе операции Изменение Клиента (Customer Change).</t>
  </si>
  <si>
    <t xml:space="preserve">Неопределенная ошибка команды Модуля обслуживания клиентов CSM в ходе операции Изменение Клиента (Customer Change).</t>
  </si>
  <si>
    <t xml:space="preserve">596B100</t>
  </si>
  <si>
    <t xml:space="preserve">Ошибка получения и положения банкнот в ходе операции Изменение Клиента (Customer Change).</t>
  </si>
  <si>
    <t xml:space="preserve">596G100</t>
  </si>
  <si>
    <t xml:space="preserve">Ошибка перемещения Задней прижимной пластины BP в положение для укладывания банкнот в пачку в ходе операции Изменение Клиента (Customer Change).</t>
  </si>
  <si>
    <t xml:space="preserve">596G200</t>
  </si>
  <si>
    <t xml:space="preserve">Ошибка выдачи банкнот Задней прижимной пластины BP в ходе операции Изменение Клиента (Customer Change).</t>
  </si>
  <si>
    <t xml:space="preserve">596G300</t>
  </si>
  <si>
    <t xml:space="preserve">Ошибка перемещения Задней прижимной пластины BP в положение для разделения банкнот в ходе операции Изменение Клиента (Customer Change).</t>
  </si>
  <si>
    <t xml:space="preserve">596G400</t>
  </si>
  <si>
    <t xml:space="preserve">Ошибка контроля разделения банкнот Задней прижимной пластины BP в ходе операции Изменение Клиента (Customer Change).</t>
  </si>
  <si>
    <t xml:space="preserve">596G500</t>
  </si>
  <si>
    <t xml:space="preserve">Ошибка возврата банкнот Задней прижимной пластины BP в ходе операции Изменение Клиента (Customer Change).</t>
  </si>
  <si>
    <t xml:space="preserve">596G600</t>
  </si>
  <si>
    <t xml:space="preserve">Не удалось переместить слистывающий ролик в исходное положение в ходе операции Изменение Клиента (Customer Change).</t>
  </si>
  <si>
    <t xml:space="preserve">596G800</t>
  </si>
  <si>
    <t xml:space="preserve">Не удалось вернуть банкноты (Separate motor работает с ошибками) в ходе операции Изменение Клиента (Customer Change).</t>
  </si>
  <si>
    <t xml:space="preserve">596GA00</t>
  </si>
  <si>
    <t xml:space="preserve">Не удалось переместить укладывающий ролик в положение Выдача(укладка) в ходе операции Начало Депозита (Deposit Ready) Stack roller (GM605 работает с ошибками).</t>
  </si>
  <si>
    <t xml:space="preserve">596GB00</t>
  </si>
  <si>
    <t xml:space="preserve">Не удалось переместить в положение для депозита в ходе операции Изменение Клиента (Customer Change) (GM605 работает с ошибками).</t>
  </si>
  <si>
    <t xml:space="preserve">596GC00</t>
  </si>
  <si>
    <t xml:space="preserve">Сбой управления укладывающего ролика(GM605 работает с ошибками) в ходе операции Изменение Клиента (Customer Change).</t>
  </si>
  <si>
    <t xml:space="preserve">596GD00</t>
  </si>
  <si>
    <t xml:space="preserve">Не удалось выполнить Поднимание (Lift-up) в ходе операции Изменение Клиента (Customer Change).</t>
  </si>
  <si>
    <t xml:space="preserve">596GE00</t>
  </si>
  <si>
    <t xml:space="preserve">Не удалось выполнить Опускание (Lift-down) в ходе операции Изменение Клиента (Customer Change).</t>
  </si>
  <si>
    <t xml:space="preserve">596GF00</t>
  </si>
  <si>
    <t xml:space="preserve">Не удалось переместить ролик затвора в исходное положение в ходе операции Изменение Клиента (Customer Change).</t>
  </si>
  <si>
    <t xml:space="preserve">596H200</t>
  </si>
  <si>
    <t xml:space="preserve">Ошибка перемещения Передней Прижимной Пластины FP в положение депозита (датчик GS652 затенен) в ходе операции Изменение Клиента (Customer Change).</t>
  </si>
  <si>
    <t xml:space="preserve">596M100</t>
  </si>
  <si>
    <t xml:space="preserve">Ошибка инициализации ограничителя в ходе операции Изменение Клиента (Customer Change).</t>
  </si>
  <si>
    <t xml:space="preserve">596M300</t>
  </si>
  <si>
    <t xml:space="preserve">Ошибка закрытия Шаттера в ходе операции Изменение Клиента (Customer Change).</t>
  </si>
  <si>
    <t xml:space="preserve">596M400</t>
  </si>
  <si>
    <t xml:space="preserve">Ошибка опускания ограничителя в ходе операции Изменение Клиента (Customer Change).</t>
  </si>
  <si>
    <t xml:space="preserve">596M600</t>
  </si>
  <si>
    <t xml:space="preserve">Ошибка закрытия шаттера при инициализации ограничителя в ходе операции Изменение Клиента (Customer Change).</t>
  </si>
  <si>
    <t xml:space="preserve">596P100</t>
  </si>
  <si>
    <t xml:space="preserve">Ошибка перемещения Прижимной Пластины PP в положение Выдача (укладка) в ходе операции Изменение Клиента (Customer Change).</t>
  </si>
  <si>
    <t xml:space="preserve">596P200</t>
  </si>
  <si>
    <t xml:space="preserve">Ошибка перемещения Прижимной Пластины в положение депозита в ходе операции Изменение Клиента (Customer Change).</t>
  </si>
  <si>
    <t xml:space="preserve">596P300</t>
  </si>
  <si>
    <t xml:space="preserve">Ошибка перемещения Прижимной Пластины PP в положение разделения в ходе операции Изменение Клиента (Customer Change).</t>
  </si>
  <si>
    <t xml:space="preserve">596P400</t>
  </si>
  <si>
    <t xml:space="preserve">Ошибка перемещения Прижимной Пластины PP в положение lose return в ходе операции Изменение Клиента (Customer Change).</t>
  </si>
  <si>
    <t xml:space="preserve">596P500</t>
  </si>
  <si>
    <t xml:space="preserve">Ошибка перемещения Прижимной Пластины PP в положение выдачи банкнот в ходе операции Изменение Клиента (Customer Change).</t>
  </si>
  <si>
    <t xml:space="preserve">596P900</t>
  </si>
  <si>
    <t xml:space="preserve">Ошибка возврата банкнот в ходе операции Изменение Клиента (Customer Change).</t>
  </si>
  <si>
    <t xml:space="preserve">596PA00</t>
  </si>
  <si>
    <t xml:space="preserve">Ошибка preparation stop Прижимной Пластины PP в ходе операции Изменение Клиента (Customer Change).</t>
  </si>
  <si>
    <t xml:space="preserve">596R100</t>
  </si>
  <si>
    <t xml:space="preserve">Модуль обслуживания клиентов CSM вернул ошибку таймаута сообщения в ходе операции Начало Изменения Клиента (Customer Change Ready).</t>
  </si>
  <si>
    <t xml:space="preserve">596R200</t>
  </si>
  <si>
    <t xml:space="preserve">Модуль обслуживания клиентов CSM вернул ошибку таймаута сообщения в ходе операции Транзакция Изменение Клиента (Customer Change Transaction).</t>
  </si>
  <si>
    <t xml:space="preserve">596R300</t>
  </si>
  <si>
    <t xml:space="preserve">Модуль обслуживания клиентов CSM вернул ошибку таймаута сообщения в ходе постпроцессинга ошибки операции Изменение Клиента (Customer Change Error).</t>
  </si>
  <si>
    <t xml:space="preserve">GS703 замятие в области датчика по Темному типу в ходе операции Изменение Клиента (Customer Change).</t>
  </si>
  <si>
    <t xml:space="preserve">Произошла ошибка оставшихся банкнот в области датчика GS701 в ходе операции Изменение Клиента (Customer Change).</t>
  </si>
  <si>
    <t xml:space="preserve">Произошла ошибка оставшихся банкнот в области датчика GS702 в ходе операции Изменение Клиента (Customer Change).</t>
  </si>
  <si>
    <t xml:space="preserve">Произошла ошибка оставшихся банкнот в области датчика GS709 в ходе операции Изменение Клиента (Customer Change).</t>
  </si>
  <si>
    <t xml:space="preserve">597G100</t>
  </si>
  <si>
    <t xml:space="preserve">Нарушение работы двигателя в сторону укладки в ходе операции Изменение Клиента (Customer Change).</t>
  </si>
  <si>
    <t xml:space="preserve">597G200</t>
  </si>
  <si>
    <t xml:space="preserve">Нарушение работы двигателя в сторону разделения в ходе операции Изменение Клиента (Customer Change).</t>
  </si>
  <si>
    <t xml:space="preserve">597G300</t>
  </si>
  <si>
    <t xml:space="preserve">Нарушение остановки двигателя в ходе операции Изменение Клиента (Customer Change).</t>
  </si>
  <si>
    <t xml:space="preserve">597G400</t>
  </si>
  <si>
    <t xml:space="preserve">Не обнаружен передний конец ленты в ходе операции Изменение Клиента (Customer Change).</t>
  </si>
  <si>
    <t xml:space="preserve">597G500</t>
  </si>
  <si>
    <t xml:space="preserve">Обнаружен передний конец ленты в ходе операции Изменение Клиента (Customer Change).</t>
  </si>
  <si>
    <t xml:space="preserve">597G600</t>
  </si>
  <si>
    <t xml:space="preserve">Не обнаружен задний конец ленты в ходе операции Изменение Клиента (Customer Change).</t>
  </si>
  <si>
    <t xml:space="preserve">597G700</t>
  </si>
  <si>
    <t xml:space="preserve">Обнаружен задний конец ленты в ходе операции Изменение Клиента (Customer Change).</t>
  </si>
  <si>
    <t xml:space="preserve">597J100</t>
  </si>
  <si>
    <t xml:space="preserve">Полный барабан TE в ходе операции Изменение Клиента (Customer Change).</t>
  </si>
  <si>
    <t xml:space="preserve">597R100</t>
  </si>
  <si>
    <t xml:space="preserve">Модуль временного хранения_TE вернул ошибку таймаута сообщения в ходе готовности к операции Изменение Клиента (Customer Change).</t>
  </si>
  <si>
    <t xml:space="preserve">597R200</t>
  </si>
  <si>
    <t xml:space="preserve">Модуль временного хранения_TE вернул ошибку таймаута сообщения при проведении транзакции в ходе операции Изменение Клиента (Customer Change).</t>
  </si>
  <si>
    <t xml:space="preserve">597R300</t>
  </si>
  <si>
    <t xml:space="preserve">Модуль временного хранения_TE вернул ошибку таймаута сообщения в ходе постпроцессинга ошибки операции Изменение Клиента (Customer Change Error).</t>
  </si>
  <si>
    <t xml:space="preserve">598HA01</t>
  </si>
  <si>
    <t xml:space="preserve">Ошибка датчика GS801A в ходе операции Изменение Клиента (Customer Change).</t>
  </si>
  <si>
    <t xml:space="preserve">598HA02</t>
  </si>
  <si>
    <t xml:space="preserve">Ошибка датчика GS801B в ходе операции Изменение Клиента (Customer Change).</t>
  </si>
  <si>
    <t xml:space="preserve">598HA03</t>
  </si>
  <si>
    <t xml:space="preserve">Ошибка датчиков GS801A, GS801B в ходе операции Изменение Клиента (Customer Change).</t>
  </si>
  <si>
    <t xml:space="preserve">598HA04</t>
  </si>
  <si>
    <t xml:space="preserve">Ошибка датчика GS802A в ходе операции Изменение Клиента (Customer Change).</t>
  </si>
  <si>
    <t xml:space="preserve">598HA05</t>
  </si>
  <si>
    <t xml:space="preserve">Ошибка датчиков GS801A, GS802A в ходе операции Изменение Клиента (Customer Change).</t>
  </si>
  <si>
    <t xml:space="preserve">598HA06</t>
  </si>
  <si>
    <t xml:space="preserve">Ошибка датчиков GS801B, GS802A в ходе операции Изменение Клиента (Customer Change).</t>
  </si>
  <si>
    <t xml:space="preserve">598HA07</t>
  </si>
  <si>
    <t xml:space="preserve">Ошибка датчиков GS801A, GS801B, GS802A в ходе операции Изменение Клиента (Customer Change).</t>
  </si>
  <si>
    <t xml:space="preserve">598HA08</t>
  </si>
  <si>
    <t xml:space="preserve">Ошибка датчика GS802B в ходе операции Изменение Клиента (Customer Change).</t>
  </si>
  <si>
    <t xml:space="preserve">598HA09</t>
  </si>
  <si>
    <t xml:space="preserve">Ошибка датчиков GS801A, GS802B в ходе операции Изменение Клиента (Customer Change).</t>
  </si>
  <si>
    <t xml:space="preserve">598HA10</t>
  </si>
  <si>
    <t xml:space="preserve">Ошибка датчиков GS801B, GS802B в ходе операции Изменение Клиента (Customer Change).</t>
  </si>
  <si>
    <t xml:space="preserve">598HA11</t>
  </si>
  <si>
    <t xml:space="preserve">Ошибка датчиков GS801A, GS801B, GS802B в ходе операции Изменение Клиента (Customer Change).</t>
  </si>
  <si>
    <t xml:space="preserve">598HA12</t>
  </si>
  <si>
    <t xml:space="preserve">Ошибка датчиков GS802A, GS802B в ходе операции Изменение Клиента (Customer Change).</t>
  </si>
  <si>
    <t xml:space="preserve">598HA13</t>
  </si>
  <si>
    <t xml:space="preserve">Ошибка датчиков GS801A, GS802A, GS802B в ходе операции Изменение Клиента (Customer Change).</t>
  </si>
  <si>
    <t xml:space="preserve">598HA14</t>
  </si>
  <si>
    <t xml:space="preserve">Ошибка датчиков GS801B, GS802A, GS802B в ходе операции Изменение Клиента (Customer Change).</t>
  </si>
  <si>
    <t xml:space="preserve">598HA15</t>
  </si>
  <si>
    <t xml:space="preserve">Ошибка датчиков GS801A, GS801B, GS802A, GS802B в ходе операции Изменение Клиента (Customer Change).</t>
  </si>
  <si>
    <t xml:space="preserve">598HF03</t>
  </si>
  <si>
    <t xml:space="preserve">Ошибка загрузки данных шейдинга Контактного датчика изображения CIS в ходе операции Изменение Клиента (Customer Change).</t>
  </si>
  <si>
    <t xml:space="preserve">598HF04</t>
  </si>
  <si>
    <t xml:space="preserve">Ошибка загрузки таблицы БД распознавания в ходе операции Изменение Клиента (Customer Change).</t>
  </si>
  <si>
    <t xml:space="preserve">598HF05</t>
  </si>
  <si>
    <t xml:space="preserve">Ошибка контрольной суммы данных ПЛИС Модуля Валидатора банкнот BC в ходе операции Изменение Клиента (Customer Change).</t>
  </si>
  <si>
    <t xml:space="preserve">598HF06</t>
  </si>
  <si>
    <t xml:space="preserve">Ошибка конфигурации ПЛИС Модуля Валидатора банкнот BC в ходе операции Изменение Клиента (Customer Change).</t>
  </si>
  <si>
    <t xml:space="preserve">598HF07</t>
  </si>
  <si>
    <t xml:space="preserve">Ошибка загрузки данных заголовка ПЛИС Модуля Валидатора банкнот BC header в ходе операции Изменение Клиента (Customer Change).</t>
  </si>
  <si>
    <t xml:space="preserve">598HF08</t>
  </si>
  <si>
    <t xml:space="preserve">Ошибка инициализации FPGA в ходе операции Изменение Клиента (Customer Change).</t>
  </si>
  <si>
    <t xml:space="preserve">598HF09</t>
  </si>
  <si>
    <t xml:space="preserve">Ошибка чтения ПЛИС в ходе операции Изменение Клиента (Customer Change).</t>
  </si>
  <si>
    <t xml:space="preserve">598HF11</t>
  </si>
  <si>
    <t xml:space="preserve">Ошибка загрузки Базы Данных распознавания #01 в ходе операции Изменение Клиента (Customer Change).</t>
  </si>
  <si>
    <t xml:space="preserve">598HF12</t>
  </si>
  <si>
    <t xml:space="preserve">Ошибка загрузки Базы Данных распознавания #02 в ходе операции Изменение Клиента (Customer Change).</t>
  </si>
  <si>
    <t xml:space="preserve">598HF13</t>
  </si>
  <si>
    <t xml:space="preserve">Ошибка загрузки Базы Данных распознавания #03 в ходе операции Изменение Клиента (Customer Change).</t>
  </si>
  <si>
    <t xml:space="preserve">598HF14</t>
  </si>
  <si>
    <t xml:space="preserve">Ошибка загрузки Базы Данных распознавания #04 в ходе операции Изменение Клиента (Customer Change).</t>
  </si>
  <si>
    <t xml:space="preserve">598HF15</t>
  </si>
  <si>
    <t xml:space="preserve">Ошибка загрузки Базы Данных распознавания #05 в ходе операции Изменение Клиента (Customer Change).</t>
  </si>
  <si>
    <t xml:space="preserve">598HF16</t>
  </si>
  <si>
    <t xml:space="preserve">Ошибка загрузки Базы Данных распознавания #06 в ходе операции Изменение Клиента (Customer Change).</t>
  </si>
  <si>
    <t xml:space="preserve">598HF17</t>
  </si>
  <si>
    <t xml:space="preserve">Ошибка загрузки Базы Данных распознавания #07 в ходе операции Изменение Клиента (Customer Change).</t>
  </si>
  <si>
    <t xml:space="preserve">598HF18</t>
  </si>
  <si>
    <t xml:space="preserve">Ошибка загрузки Базы Данных распознавания #08 в ходе операции Изменение Клиента (Customer Change).</t>
  </si>
  <si>
    <t xml:space="preserve">598HF19</t>
  </si>
  <si>
    <t xml:space="preserve">Ошибка загрузки Базы Данных распознавания #09 в ходе операции Изменение Клиента (Customer Change).</t>
  </si>
  <si>
    <t xml:space="preserve">598HF20</t>
  </si>
  <si>
    <t xml:space="preserve">Ошибка загрузки Базы Данных распознавания #10 в ходе операции Изменение Клиента (Customer Change).</t>
  </si>
  <si>
    <t xml:space="preserve">598HG01</t>
  </si>
  <si>
    <t xml:space="preserve">Ошибка установки режима при выполнении команды BCU mode в ходе операции Изменение Клиента (Customer Change).</t>
  </si>
  <si>
    <t xml:space="preserve">598HG02</t>
  </si>
  <si>
    <t xml:space="preserve">Ошибка установленного уровня распознавания при выполнении команды BCU mode в ходе операции Изменение Клиента (Customer Change).</t>
  </si>
  <si>
    <t xml:space="preserve">598HG03</t>
  </si>
  <si>
    <t xml:space="preserve">Ошибка установки начала транзакции при выполнении команды BCU ready в ходе операции Изменение Клиента (Customer Change).</t>
  </si>
  <si>
    <t xml:space="preserve">598HG04</t>
  </si>
  <si>
    <t xml:space="preserve">Ошибка установки режима при выполнении команды BCU ready в ходе операции Изменение Клиента (Customer Change).</t>
  </si>
  <si>
    <t xml:space="preserve">598HG05</t>
  </si>
  <si>
    <t xml:space="preserve">Ошибка установленного уровня распознавания при выполнении команды BCU ready в ходе операции Изменение Клиента (Customer Change).</t>
  </si>
  <si>
    <t xml:space="preserve">598HG06</t>
  </si>
  <si>
    <t xml:space="preserve">Ошибка направления внесения Модуля Валидатора банкнот BC при выполнении команды BCU ready в ходе операции Изменение Клиента (Customer Change).</t>
  </si>
  <si>
    <t xml:space="preserve">598HG07</t>
  </si>
  <si>
    <t xml:space="preserve">Ошибка получения неопределенной команды Модуля Валидатора банкнот BCU в ходе операции Изменение Клиента (Customer Change).</t>
  </si>
  <si>
    <t xml:space="preserve">598HG08</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</si>
  <si>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Изменение Клиента (Customer Change).</t>
  </si>
  <si>
    <t xml:space="preserve">598HG09</t>
  </si>
  <si>
    <t xml:space="preserve">Ошибка настройки кода страны при выполнении команды записи данных в Модуль Валидатора банкнот BCUв ходе операции Изменение Клиента (Customer Change).</t>
  </si>
  <si>
    <t xml:space="preserve">598HG10</t>
  </si>
  <si>
    <t xml:space="preserve">Ошибка отсутствия БД распознавания для страны в процессе получения команды BCU data write в ходе операции Изменение Клиента (Customer Change).</t>
  </si>
  <si>
    <t xml:space="preserve">598HG11</t>
  </si>
  <si>
    <t xml:space="preserve">Не установлен код страны при получении команды BCU ready в ходе операции Изменение Клиента (Customer Change).</t>
  </si>
  <si>
    <t xml:space="preserve">598HG12</t>
  </si>
  <si>
    <t xml:space="preserve">Спецификация Модуля Валидатора банкнот BC отличается от параметра команды записи данных в ходе операции Изменение Клиента (Customer Change).</t>
  </si>
  <si>
    <t xml:space="preserve">598HG20</t>
  </si>
  <si>
    <t xml:space="preserve">Ошибка инициализации Контактного датчика изображения CIS при получении команды BCU ready в ходе операции Изменение Клиента (Customer Change).</t>
  </si>
  <si>
    <t xml:space="preserve">598HG21</t>
  </si>
  <si>
    <t xml:space="preserve">Ошибка включения при получении команды BCU ready в ходе операции Изменение Клиента (Customer Change).</t>
  </si>
  <si>
    <t xml:space="preserve">598HG22</t>
  </si>
  <si>
    <t xml:space="preserve">Ошибка инициализации датчика DD при получении команды BCU ready в ходе операции Изменение Клиента (Customer Change).</t>
  </si>
  <si>
    <t xml:space="preserve">598HG23</t>
  </si>
  <si>
    <t xml:space="preserve">Ошибка настройки ЦАП Датчика определения сдвоенных банкнот DD при получении команды BCU ready в ходе операции Изменение Клиента (Customer Change).</t>
  </si>
  <si>
    <t xml:space="preserve">598HG24</t>
  </si>
  <si>
    <t xml:space="preserve">Ошибка режима настройки энкодера при получении команды BCU ready в ходе операции Изменение Клиента (Customer Change).</t>
  </si>
  <si>
    <t xml:space="preserve">598HG36</t>
  </si>
  <si>
    <t xml:space="preserve">Ошибка режима распознавания при выполнении команды receiving BCU mode в ходе операции Изменение Клиента (Customer Change).</t>
  </si>
  <si>
    <t xml:space="preserve">598HG37</t>
  </si>
  <si>
    <t xml:space="preserve">Ошибка настроек транзакции при выполнении команды receiving BCU mode в ходе операции Изменение Клиента (Customer Change).</t>
  </si>
  <si>
    <t xml:space="preserve">598HI01</t>
  </si>
  <si>
    <t xml:space="preserve">Ошибка тайм-аута RecogTask Message в ходе операции Изменение Клиента (Customer Change).</t>
  </si>
  <si>
    <t xml:space="preserve">598HI02</t>
  </si>
  <si>
    <t xml:space="preserve">Ошибка тайм-аута ScanTask Message в ходе операции Изменение Клиента (Customer Change).</t>
  </si>
  <si>
    <t xml:space="preserve">598HI03</t>
  </si>
  <si>
    <t xml:space="preserve">Ошибка тайм-аута UartTask Message в ходе операции Изменение Клиента (Customer Change).</t>
  </si>
  <si>
    <t xml:space="preserve">598HI04</t>
  </si>
  <si>
    <t xml:space="preserve">Ошибка тайм-аута BcUsbTask Message в ходе операции Изменение Клиента (Customer Change).</t>
  </si>
  <si>
    <t xml:space="preserve">598HJ01</t>
  </si>
  <si>
    <t xml:space="preserve">Ошибка инициализации алгоритма распознавания в ходе операции Изменение Клиента (Customer Change).</t>
  </si>
  <si>
    <t xml:space="preserve">598HJ02</t>
  </si>
  <si>
    <t xml:space="preserve">Ошибка готовности Алгоритма Распознавания в ходе операции Изменение Клиента (Customer Change).</t>
  </si>
  <si>
    <t xml:space="preserve">598HJ03</t>
  </si>
  <si>
    <t xml:space="preserve">Ошибка алгоритма распознавания набора валют в ходе операции Изменение Клиента (Customer Change).</t>
  </si>
  <si>
    <t xml:space="preserve">598HS01</t>
  </si>
  <si>
    <t xml:space="preserve">Ошибка ПЛИС Write Scan Driver Init в ходе операции Изменение Клиента (Customer Change).</t>
  </si>
  <si>
    <t xml:space="preserve">598HS02</t>
  </si>
  <si>
    <t xml:space="preserve">Ошибка Sensor (MR/UV/DD/Gate) Power Off Scan Driver Init в ходе операции Изменение Клиента (Customer Change).</t>
  </si>
  <si>
    <t xml:space="preserve">598HS03</t>
  </si>
  <si>
    <t xml:space="preserve">Ошибка Контактного датчика изображения CIS Led On Value Set Fail Scan Driver Init в ходе операции Изменение Клиента (Customer Change).</t>
  </si>
  <si>
    <t xml:space="preserve">598HS04</t>
  </si>
  <si>
    <t xml:space="preserve">Ошибка Источника Света Set Fail Scan Driver Init в ходе операции Изменение Клиента (Customer Change).</t>
  </si>
  <si>
    <t xml:space="preserve">598HS05</t>
  </si>
  <si>
    <t xml:space="preserve">Ошибка Контактного датчика изображения CIS Shading Scan Driver Init в ходе операции Изменение Клиента (Customer Change).</t>
  </si>
  <si>
    <t xml:space="preserve">598HS08</t>
  </si>
  <si>
    <t xml:space="preserve">Ошибка ЦАП Set Fail Scan Driver Init в ходе операции Изменение Клиента (Customer Change).</t>
  </si>
  <si>
    <t xml:space="preserve">598HS11</t>
  </si>
  <si>
    <t xml:space="preserve">Ошибка ПЛИС Write BCU Ready в ходе операции Изменение Клиента (Customer Change).</t>
  </si>
  <si>
    <t xml:space="preserve">598HS12</t>
  </si>
  <si>
    <t xml:space="preserve">Ошибка Sensor (MR/UV/DD/Gate) Power Off BCU Ready в ходе операции Изменение Клиента (Customer Change).</t>
  </si>
  <si>
    <t xml:space="preserve">598HS13</t>
  </si>
  <si>
    <t xml:space="preserve">Ошибка Контактного датчика изображения CIS Led On Value Set Fail BCU Ready в ходе операции Изменение Клиента (Customer Change).</t>
  </si>
  <si>
    <t xml:space="preserve">598HS14</t>
  </si>
  <si>
    <t xml:space="preserve">Ошибка Источника Света Set Fail BCU Ready в ходе операции Изменение Клиента (Customer Change).</t>
  </si>
  <si>
    <t xml:space="preserve">598HS15</t>
  </si>
  <si>
    <t xml:space="preserve">Ошибка Контактного датчика изображения CIS Shading BCU Ready в ходе операции Изменение Клиента (Customer Change).</t>
  </si>
  <si>
    <t xml:space="preserve">598HS17</t>
  </si>
  <si>
    <t xml:space="preserve">Ошибка AFE Chip Set BCU Ready в ходе операции Изменение Клиента (Customer Change).</t>
  </si>
  <si>
    <t xml:space="preserve">598HS18</t>
  </si>
  <si>
    <t xml:space="preserve">Ошибка ЦАП Set Fail BCU Ready в ходе операции Изменение Клиента (Customer Change).</t>
  </si>
  <si>
    <t xml:space="preserve">598HS19</t>
  </si>
  <si>
    <t xml:space="preserve">Ошибка MR/UV/DD Sampling BCU Ready в ходе операции Изменение Клиента (Customer Change).</t>
  </si>
  <si>
    <t xml:space="preserve">598HS1A</t>
  </si>
  <si>
    <t xml:space="preserve">Ошибка ЦАП Датчика Холла Set Fail BCU Ready в ходе операции Изменение Клиента (Customer Change).</t>
  </si>
  <si>
    <t xml:space="preserve">598HS1B</t>
  </si>
  <si>
    <t xml:space="preserve">Ошибка Датчика Холла Shading Fail BCU Ready в ходе операции Изменение Клиента (Customer Change).</t>
  </si>
  <si>
    <t xml:space="preserve">598HS22</t>
  </si>
  <si>
    <t xml:space="preserve">Ошибка Модуля Валидатора BC Stop Sensor (MR/UV/DD/Gate) Power Off Scan Driver Init в ходе операции Изменение Клиента (Customer Change).</t>
  </si>
  <si>
    <t xml:space="preserve">598HS28</t>
  </si>
  <si>
    <t xml:space="preserve">Ошибка Модуля Валидатора BC Stop DAC Set Fail Scan Driver Init в ходе операции Изменение Клиента (Customer Change).</t>
  </si>
  <si>
    <t xml:space="preserve">598HS29</t>
  </si>
  <si>
    <t xml:space="preserve">Ошибка Модуля Валидатора BC Stop MR/UV/DD Sampling BCU Ready в ходе операции Изменение Клиента (Customer Change).</t>
  </si>
  <si>
    <t xml:space="preserve">598R100</t>
  </si>
  <si>
    <t xml:space="preserve">BC вернул ошибку таймаута сообщения в ходе операции Начало Изменения Клиента (Customer Change Ready).</t>
  </si>
  <si>
    <t xml:space="preserve">598R200</t>
  </si>
  <si>
    <t xml:space="preserve">Модуль Валидатора BC вернул ошибку таймаута сообщения в ходе операции Транзакция Изменение Клиента (Customer Change Transaction).</t>
  </si>
  <si>
    <t xml:space="preserve">598R300</t>
  </si>
  <si>
    <t xml:space="preserve">Возвращена ошибка таймаута сообщения в ходе постпроцессинга ошибки операции Изменение Клиента (Customer Change Error).</t>
  </si>
  <si>
    <t xml:space="preserve">598R900</t>
  </si>
  <si>
    <t xml:space="preserve">Модуль Валидатора BC вернул ошибку таймаута сообщения в ходе операции Изменение Клиента (Customer Change).</t>
  </si>
  <si>
    <t xml:space="preserve">598S100</t>
  </si>
  <si>
    <t xml:space="preserve">Получено нештатная информация памяти MI от Модуля Валидатора Банкнот BC в ходе операции Изменение Клиента (Customer Change).</t>
  </si>
  <si>
    <t xml:space="preserve">598S200</t>
  </si>
  <si>
    <t xml:space="preserve">Получен ненормальный BCC от Модуля Валидатора банкнот в ходе операции Изменение Клиента (Customer Change).</t>
  </si>
  <si>
    <t xml:space="preserve">598S400</t>
  </si>
  <si>
    <t xml:space="preserve">Получена ошибка ETC. от Модуля Валидатора банкнот BC в ходе операции Изменение Клиента (Customer Change).</t>
  </si>
  <si>
    <t xml:space="preserve">598S900</t>
  </si>
  <si>
    <t xml:space="preserve">Повторная попытка завершилась ошибкой Модуля Валидатора банкнот BC в ходе операции Изменение Клиента (Customer Change).</t>
  </si>
  <si>
    <t xml:space="preserve">Датчик Кассеты Отбраковки RJC GSA03 сообщил об ошибке замятия по Темному типу в ходе операции Изменение Клиента (Customer Change).</t>
  </si>
  <si>
    <t xml:space="preserve">Датчик Кассеты Отбраковки RJC GSA05 сообщил об ошибке замятия по Темному типу в ходе операции Изменение Клиента (Customer Change).</t>
  </si>
  <si>
    <t xml:space="preserve">599J100</t>
  </si>
  <si>
    <t xml:space="preserve">Переполненная Кассета Отбраковки RJC в ходе операции Изменение Клиента (Customer Change).</t>
  </si>
  <si>
    <t xml:space="preserve">599P100</t>
  </si>
  <si>
    <t xml:space="preserve">Ошибка мотора Кассеты Отбраковки RJC в ходе операции Изменение Клиента (Customer Change).</t>
  </si>
  <si>
    <t xml:space="preserve">599R100</t>
  </si>
  <si>
    <t xml:space="preserve">Кассета Отбраковки RJC вернула ошибку таймаута сообщения в ходе операции Начало Изменения Клиента (Customer Change Ready).</t>
  </si>
  <si>
    <t xml:space="preserve">599R200</t>
  </si>
  <si>
    <t xml:space="preserve">Ошибка тайм-аута сообщения Кассеты Отбраковки RJC в ходе операции Транзакция Изменение Клиента (Customer Change Transaction).</t>
  </si>
  <si>
    <t xml:space="preserve">599R300</t>
  </si>
  <si>
    <t xml:space="preserve">Ошибка тайм-аута сообщения Кассеты Отбраковки RJC в ходе постпроцессинга ошибки операции Изменение Клиента (Customer Change Error).</t>
  </si>
  <si>
    <t xml:space="preserve">59A2100</t>
  </si>
  <si>
    <t xml:space="preserve">Оставшиеся банкноты в Возвращающем Тракте (GS801) перед выполнением операции Изменение Клиента (Customer Change).</t>
  </si>
  <si>
    <t xml:space="preserve">59A2200</t>
  </si>
  <si>
    <t xml:space="preserve">Оставшиеся банкноты в Возвращающем Тракте (GS002) перед выполнением операции Изменение Клиента (Customer Change).</t>
  </si>
  <si>
    <t xml:space="preserve">59A2300</t>
  </si>
  <si>
    <t xml:space="preserve">Оставшиеся банкноты в Возвращающем Тракте (GS003) перед выполнением операции Изменение Клиента (Customer Change).</t>
  </si>
  <si>
    <t xml:space="preserve">59A2400</t>
  </si>
  <si>
    <t xml:space="preserve">Оставшиеся банкноты в Возвращающем Тракте (GS004) перед выполнением операции Изменение Клиента (Customer Change).</t>
  </si>
  <si>
    <t xml:space="preserve">59A2500</t>
  </si>
  <si>
    <t xml:space="preserve">Оставшиеся банкноты в Возвращающем Тракте (GS005) перед выполнением операции Изменение Клиента (Customer Change).</t>
  </si>
  <si>
    <t xml:space="preserve">59A2600</t>
  </si>
  <si>
    <t xml:space="preserve">Оставшиеся банкноты в Возвращающем Тракте (GS006) перед выполнением операции Изменение Клиента (Customer Change).</t>
  </si>
  <si>
    <t xml:space="preserve">59A2A00</t>
  </si>
  <si>
    <t xml:space="preserve">Оставшиеся банкноты в Возвращающем Тракте (GS021) перед выполнением операции Изменение Клиента (Customer Change).</t>
  </si>
  <si>
    <t xml:space="preserve">59A2B00</t>
  </si>
  <si>
    <t xml:space="preserve">Оставшиеся банкноты в Возвращающем Тракте (GS022) перед выполнением операции Изменение Клиента (Customer Change).</t>
  </si>
  <si>
    <t xml:space="preserve">59A2G00</t>
  </si>
  <si>
    <t xml:space="preserve">Оставшиеся банкноты в Возвращающем Тракте (GS614) перед выполнением операции Изменение Клиента (Customer Change).</t>
  </si>
  <si>
    <t xml:space="preserve">59A2H00</t>
  </si>
  <si>
    <t xml:space="preserve">Оставшиеся банкноты в Возвращающем Тракте (GS618) перед выполнением операции Изменение Клиента (Customer Change).</t>
  </si>
  <si>
    <t xml:space="preserve">59A2J00</t>
  </si>
  <si>
    <t xml:space="preserve">Оставшиеся банкноты в Возвращающем Тракте (GS619) перед выполнением операции Изменение Клиента (Customer Change).</t>
  </si>
  <si>
    <t xml:space="preserve">59A2K00</t>
  </si>
  <si>
    <t xml:space="preserve">Оставшиеся банкноты в Возвращающем Тракте (GS703) перед выполнением операции Изменение Клиента (Customer Change).</t>
  </si>
  <si>
    <t xml:space="preserve">59A2M00</t>
  </si>
  <si>
    <t xml:space="preserve">Оставшиеся банкноты в Возвращающем Тракте (GS031) перед выполнением операции Изменение Клиента (Customer Change).</t>
  </si>
  <si>
    <t xml:space="preserve">59A2N00</t>
  </si>
  <si>
    <t xml:space="preserve">Оставшиеся банкноты в Возвращающем Тракте (GS032) перед выполнением операции Изменение Клиента (Customer Change).</t>
  </si>
  <si>
    <t xml:space="preserve">59A2P00</t>
  </si>
  <si>
    <t xml:space="preserve">Оставшиеся банкноты в Возвращающем Тракте (GS033) перед выполнением операции Изменение Клиента (Customer Change).</t>
  </si>
  <si>
    <t xml:space="preserve">59A2Q00</t>
  </si>
  <si>
    <t xml:space="preserve">Оставшиеся банкноты в Возвращающем Тракте (GS034) перед выполнением операции Изменение Клиента (Customer Change).</t>
  </si>
  <si>
    <t xml:space="preserve">59A2W00</t>
  </si>
  <si>
    <t xml:space="preserve">Оставшиеся банкноты в Возвращающем Тракте (GS802) перед выполнением операции Изменение Клиента (Customer Change).</t>
  </si>
  <si>
    <t xml:space="preserve">59AA100</t>
  </si>
  <si>
    <t xml:space="preserve">Вынутое состояние Вспомогательной (невостребованных/фальшивых банкнот) Кассеты UTC перед выполнением операции Изменение Клиента (Customer Change).</t>
  </si>
  <si>
    <t xml:space="preserve">59AA200</t>
  </si>
  <si>
    <t xml:space="preserve">Модуль временного хранения открыт перед выполнением операции Изменение Клиента (Customer Change).</t>
  </si>
  <si>
    <t xml:space="preserve">59AA300</t>
  </si>
  <si>
    <t xml:space="preserve">Отстыкованное состояние концевого переключателя (inter lock) Верхней части Модуля Рециркуляции Банкнот BMU перед выполнением операции Восстановление Изменения Клиента (Repair Customer Change).</t>
  </si>
  <si>
    <t xml:space="preserve">59AA400</t>
  </si>
  <si>
    <t xml:space="preserve">Выдвинутое состояние Верхней части Модуля Рециркуляции Банкнот BMU перед выполнением операции Изменение Клиента (Customer Change).</t>
  </si>
  <si>
    <t xml:space="preserve">59AA600</t>
  </si>
  <si>
    <t xml:space="preserve">Открыт Модуль обслуживания клиентов CSM перед выполнением операции Изменение Клиента (Customer Change).</t>
  </si>
  <si>
    <t xml:space="preserve">59AA700</t>
  </si>
  <si>
    <t xml:space="preserve">Вынутое состояние Кассеты Отбраковки RJC перед выполнением операции Изменение Клиента (Customer Change).</t>
  </si>
  <si>
    <t xml:space="preserve">59AA800</t>
  </si>
  <si>
    <t xml:space="preserve">Отстыкованное состояние концевого переключателя (inter lock) Нижней части Модуля Рециркуляции Банкнот BMD перед выполнением операции Изменение Клиента (Customer Change).</t>
  </si>
  <si>
    <t xml:space="preserve">59AA900</t>
  </si>
  <si>
    <t xml:space="preserve">Выдвинутое состояние Нижней части Модуля Рециркуляции Банкнот BMD перед выполнением операции Изменение Клиента (Customer Change).</t>
  </si>
  <si>
    <t xml:space="preserve">59AAA00</t>
  </si>
  <si>
    <t xml:space="preserve">Модуль Валидатора банкнот BC открыт перед работой в ходе операции Изменение Клиента (Customer Change).</t>
  </si>
  <si>
    <t xml:space="preserve">59AAB00</t>
  </si>
  <si>
    <t xml:space="preserve">Переполненная Кассета Рециркуляции RC перед выполнением операции Изменение Клиента (Customer Change).</t>
  </si>
  <si>
    <t xml:space="preserve">59AAC00</t>
  </si>
  <si>
    <t xml:space="preserve">Переполненная Кассета Отбраковки RJC перед выполнением операции Изменение Клиента (Customer Change).</t>
  </si>
  <si>
    <t xml:space="preserve">59AE100</t>
  </si>
  <si>
    <t xml:space="preserve">Получена команда operation в ходе операции Изменение Клиента (Customer Change).</t>
  </si>
  <si>
    <t xml:space="preserve">59AE200</t>
  </si>
  <si>
    <t xml:space="preserve">Состояние not operation при получении команды в ходе операции Изменение Клиента (Customer Change).</t>
  </si>
  <si>
    <t xml:space="preserve">59AE300</t>
  </si>
  <si>
    <t xml:space="preserve">Получена операция без выполнения команды чтения системных данных (Sysrem Info Read) в ходе операции Изменение Клиента (Customer Change).</t>
  </si>
  <si>
    <t xml:space="preserve">59AE400</t>
  </si>
  <si>
    <t xml:space="preserve">Транзакция Ремонт Изменения Клиента (Customer Change Repair) была выполнена без Инициализации после включения питания.</t>
  </si>
  <si>
    <t xml:space="preserve">59AE600</t>
  </si>
  <si>
    <t xml:space="preserve">Ошибка обработки операции Изменение Клиента (Customer Change) в ходе операции Работа кнопки TE (TE Button Operating).</t>
  </si>
  <si>
    <t xml:space="preserve">59AEE00</t>
  </si>
  <si>
    <t xml:space="preserve">Нарушение последовательности сообщений интерфейса RS485 платы контроллера RBU в ходе операции Изменение Клиента (Customer Change).</t>
  </si>
  <si>
    <t xml:space="preserve">59AEF00</t>
  </si>
  <si>
    <t xml:space="preserve">Нарушение линии связи интерфейса RS485 платы контроллера RBU в ходе операции Изменение Клиента (Customer Change).</t>
  </si>
  <si>
    <t xml:space="preserve">59AH500</t>
  </si>
  <si>
    <t xml:space="preserve">Ошибка Чтения/Записи памяти NVRAM (128 деноминаций) в ходе операции Изменение Клиента (Customer Change).</t>
  </si>
  <si>
    <t xml:space="preserve">59AR100</t>
  </si>
  <si>
    <t xml:space="preserve">Возвращена ошибка таймаута сообщения в ходе готовности к операции Изменение Клиента (Customer Change).</t>
  </si>
  <si>
    <t xml:space="preserve">59AR200</t>
  </si>
  <si>
    <t xml:space="preserve">Возвращена ошибка таймаута сообщения при проведении транзакции в ходе операции Изменение Клиента (Customer Change).</t>
  </si>
  <si>
    <t xml:space="preserve">59AR300</t>
  </si>
  <si>
    <t xml:space="preserve">59AR700</t>
  </si>
  <si>
    <t xml:space="preserve">Контроллер RBU вернул ошибку таймаута сообщения в ходе операции Изменение Клиента (Customer Change).</t>
  </si>
  <si>
    <t xml:space="preserve">59AR800</t>
  </si>
  <si>
    <t xml:space="preserve">Датчик RBU/BC вернул ошибку таймаута сообщения автоматического затемнения в ходе операции Изменение Клиента (Customer Change).</t>
  </si>
  <si>
    <t xml:space="preserve">59BS000</t>
  </si>
  <si>
    <t xml:space="preserve">Ошибка таймаута связи контроллера RBU в ходе операции Изменение Клиента (Customer Change).</t>
  </si>
  <si>
    <t xml:space="preserve">59BS100</t>
  </si>
  <si>
    <t xml:space="preserve">Ошибка последовательности сообщений платы контроллера RBU в ходе операции Изменение Клиента (Customer Change).</t>
  </si>
  <si>
    <t xml:space="preserve">59BS200</t>
  </si>
  <si>
    <t xml:space="preserve">Ошибка Информации о памяти MI в ходе соединения контроллера RBU в ходе операции Изменение Клиента (Customer Change).</t>
  </si>
  <si>
    <t xml:space="preserve">59US100</t>
  </si>
  <si>
    <t xml:space="preserve">Ошибка дублирования номера последовательности USB в ходе операции Изменение Клиента (Customer Change).</t>
  </si>
  <si>
    <t xml:space="preserve">59US300</t>
  </si>
  <si>
    <t xml:space="preserve">Ошибка длины данных команды USB  в ходе операции Изменение Клиента (Customer Change).</t>
  </si>
  <si>
    <t xml:space="preserve">5A00100</t>
  </si>
  <si>
    <t xml:space="preserve">GS801 сообщил об ошибке замятия по Светлому типу в ходе операции Удержание из CSM (Retract CSM).</t>
  </si>
  <si>
    <t xml:space="preserve">5A00300</t>
  </si>
  <si>
    <t xml:space="preserve">GS003 сообщил об ошибке замятия по Светлому типу в ходе операции Удержание из CSM (Retract CSM).</t>
  </si>
  <si>
    <t xml:space="preserve">5A00500</t>
  </si>
  <si>
    <t xml:space="preserve">GS005 сообщил об ошибке замятия по Светлому типу в ходе операции Удержание из CSM (Retract CSM).</t>
  </si>
  <si>
    <t xml:space="preserve">5A00K00</t>
  </si>
  <si>
    <t xml:space="preserve">GS703 сообщил об ошибке замятия по Светлому типу в ходе операции Удержание из CSM (Retract CSM).</t>
  </si>
  <si>
    <t xml:space="preserve">5A00W00</t>
  </si>
  <si>
    <t xml:space="preserve">GS802 сообщил об ошибке замятия по Светлому типу в ходе операции Удержание из CSM (Retract CSM).</t>
  </si>
  <si>
    <t xml:space="preserve">1. Откройте верхнюю часть Модуля Рециркуляции Банкнот 2. Откройте Модуль обслуживания клиентов (CSM) 3. Откройте модуль Валидатора банкнот (5) 4. Удалите замятие между Модулем Валидатора BC (5) и Передним Транспортным Трактом (4).</t>
  </si>
  <si>
    <t xml:space="preserve">5A01100</t>
  </si>
  <si>
    <t xml:space="preserve">GS801 сообщил об ошибке замятия по Темному типу в ходе операции Удержание из CSM (Retract CSM).</t>
  </si>
  <si>
    <t xml:space="preserve">5A01200</t>
  </si>
  <si>
    <t xml:space="preserve">GS002 сообщил об ошибке замятия по Темному типу в ходе операции Удержание из CSM (Retract CSM).</t>
  </si>
  <si>
    <t xml:space="preserve">5A01300</t>
  </si>
  <si>
    <t xml:space="preserve">GS003 сообщил об ошибке замятия по Темному типу в ходе операции Удержание из CSM (Retract CSM).</t>
  </si>
  <si>
    <t xml:space="preserve">5A01400</t>
  </si>
  <si>
    <t xml:space="preserve">GS004 сообщил об ошибке замятия по Темному типу в ходе операции Удержание из CSM (Retract CSM).</t>
  </si>
  <si>
    <t xml:space="preserve">5A01500</t>
  </si>
  <si>
    <t xml:space="preserve">GS005 сообщил об ошибке замятия по Темному типу в ходе операции Удержание из CSM (Retract CSM).</t>
  </si>
  <si>
    <t xml:space="preserve">5A01600</t>
  </si>
  <si>
    <t xml:space="preserve">GS006 сообщил об ошибке замятия по Темному типу в ходе операции Удержание из CSM (Retract CSM).</t>
  </si>
  <si>
    <t xml:space="preserve">5A01A00</t>
  </si>
  <si>
    <t xml:space="preserve">GS021 сообщил об ошибке замятия по Темному типу в ходе операции Удержание из CSM (Retract CSM).</t>
  </si>
  <si>
    <t xml:space="preserve">5A01B00</t>
  </si>
  <si>
    <t xml:space="preserve">GS022 сообщил об ошибке замятия по Темному типу в ходе операции Удержание из CSM (Retract CSM).</t>
  </si>
  <si>
    <t xml:space="preserve">1. Откройте нижнюю часть Модуля Рециркуляции Банкнот 2. Откройте Средний Транспортный Тракт 3. Удалите посторонние предметы из Среднего Транспортного Тракта (19) 4. В случае отсутствия банкнот или посторонних предметов проверьте не загрязнен ли датчик.</t>
  </si>
  <si>
    <t xml:space="preserve">5A01G00</t>
  </si>
  <si>
    <t xml:space="preserve">GS614 сообщил об ошибке замятия по Темному типу в ходе операции Удержание из CSM (Retract CSM).</t>
  </si>
  <si>
    <t xml:space="preserve">5A01H00</t>
  </si>
  <si>
    <t xml:space="preserve">GS618 сообщил об ошибке замятия по Темному типу в ходе операции Удержание из CSM (Retract CSM).</t>
  </si>
  <si>
    <t xml:space="preserve">5A01J00</t>
  </si>
  <si>
    <t xml:space="preserve">GS619 сообщил об ошибке замятия по Темному типу в ходе операции Удержание из CSM (Retract CSM).</t>
  </si>
  <si>
    <t xml:space="preserve">5A01K00</t>
  </si>
  <si>
    <t xml:space="preserve">GS703 сообщил об ошибке замятия по Темному типу в ходе операции Удержание из CSM (Retract CSM).</t>
  </si>
  <si>
    <t xml:space="preserve">5A01M00</t>
  </si>
  <si>
    <t xml:space="preserve">GS031 сообщил об ошибке замятия по Темному типу в ходе операции Удержание из CSM (Retract CSM).</t>
  </si>
  <si>
    <t xml:space="preserve">1. Откройте нижнюю часть Модуля Рециркуляции Банкнот 2. Откройте Средний Транспортный Тракт 3. Удалите посторонние предметы из Среднего Транспортного тракта 4. В случае отсутствия банкнот или посторонних предметов проверьте не загрязнен ли датчик.</t>
  </si>
  <si>
    <t xml:space="preserve">5A01N00</t>
  </si>
  <si>
    <t xml:space="preserve">GS032 сообщил об ошибке замятия по Темному типу в ходе операции Удержание из CSM (Retract CSM).</t>
  </si>
  <si>
    <t xml:space="preserve">5A01P00</t>
  </si>
  <si>
    <t xml:space="preserve">GS033 сообщил об ошибке замятия по Темному типу в ходе операции Удержание из CSM (Retract CSM).</t>
  </si>
  <si>
    <t xml:space="preserve">5A01Q00</t>
  </si>
  <si>
    <t xml:space="preserve">GS034 сообщил об ошибке замятия по Темному типу в ходе операции Удержание из CSM (Retract CSM).</t>
  </si>
  <si>
    <t xml:space="preserve">5A01W00</t>
  </si>
  <si>
    <t xml:space="preserve">GS802 сообщил об ошибке замятия по Темному типу в ходе операции Удержание из CSM (Retract CSM).</t>
  </si>
  <si>
    <t xml:space="preserve">5A02100</t>
  </si>
  <si>
    <t xml:space="preserve">Произошла ошибка оставшихся банкнот в области датчика GS801 в ходе операции Удержание из CSM (Retract CSM).</t>
  </si>
  <si>
    <t xml:space="preserve">5A02200</t>
  </si>
  <si>
    <t xml:space="preserve">Произошла ошибка оставшихся банкнот в области датчика GS002 в ходе операции Удержание из CSM (Retract CSM).</t>
  </si>
  <si>
    <t xml:space="preserve">5A02300</t>
  </si>
  <si>
    <t xml:space="preserve">Произошла ошибка оставшихся банкнот в области датчика GS003 в ходе операции Удержание из CSM (Retract CSM).</t>
  </si>
  <si>
    <t xml:space="preserve">5A02400</t>
  </si>
  <si>
    <t xml:space="preserve">Произошла ошибка оставшихся банкнот в области датчика GS004 в ходе операции Удержание из CSM (Retract CSM).</t>
  </si>
  <si>
    <t xml:space="preserve">5A02500</t>
  </si>
  <si>
    <t xml:space="preserve">Произошла ошибка оставшихся банкнот в области датчика GS005 в ходе операции Удержание из CSM (Retract CSM).</t>
  </si>
  <si>
    <t xml:space="preserve">5A02600</t>
  </si>
  <si>
    <t xml:space="preserve">Произошла ошибка оставшихся банкнот в области датчика GS006 в ходе операции Удержание из CSM (Retract CSM).</t>
  </si>
  <si>
    <t xml:space="preserve">5A02A00</t>
  </si>
  <si>
    <t xml:space="preserve">Произошла ошибка оставшихся банкнот в области датчика GS021 в ходе операции Удержание из CSM (Retract CSM).</t>
  </si>
  <si>
    <t xml:space="preserve">5A02B00</t>
  </si>
  <si>
    <t xml:space="preserve">Произошла ошибка оставшихся банкнот в области датчика GS022 в ходе операции Удержание из CSM (Retract CSM).</t>
  </si>
  <si>
    <t xml:space="preserve">5A02G00</t>
  </si>
  <si>
    <t xml:space="preserve">Произошла ошибка оставшихся банкнот в области датчика GS614 в ходе операции Удержание из CSM (Retract CSM).</t>
  </si>
  <si>
    <t xml:space="preserve">5A02H00</t>
  </si>
  <si>
    <t xml:space="preserve">Произошла ошибка оставшихся банкнот в области датчика GS618 в ходе операции Удержание из CSM (Retract CSM).</t>
  </si>
  <si>
    <t xml:space="preserve">5A02J00</t>
  </si>
  <si>
    <t xml:space="preserve">Произошла ошибка оставшихся банкнот в области датчика GS619 в ходе операции Удержание из CSM (Retract CSM).</t>
  </si>
  <si>
    <t xml:space="preserve">5A02K00</t>
  </si>
  <si>
    <t xml:space="preserve">Произошла ошибка оставшихся банкнот в области датчика GS703 в ходе операции Удержание из CSM (Retract CSM).</t>
  </si>
  <si>
    <t xml:space="preserve">5A02M00</t>
  </si>
  <si>
    <t xml:space="preserve">Произошла ошибка оставшихся банкнот в области датчика GS031 в ходе операции Удержание из CSM (Retract CSM).</t>
  </si>
  <si>
    <t xml:space="preserve">5A02N00</t>
  </si>
  <si>
    <t xml:space="preserve">Произошла ошибка оставшихся банкнот в области датчика GS032 в ходе операции Удержание из CSM (Retract CSM).</t>
  </si>
  <si>
    <t xml:space="preserve">5A02P00</t>
  </si>
  <si>
    <t xml:space="preserve">Произошла ошибка оставшихся банкнот в области датчика GS033 в ходе операции Удержание из CSM (Retract CSM).</t>
  </si>
  <si>
    <t xml:space="preserve">5A02Q00</t>
  </si>
  <si>
    <t xml:space="preserve">Произошла ошибка оставшихся банкнот в области датчика GS034 в ходе операции Удержание из CSM (Retract CSM).</t>
  </si>
  <si>
    <t xml:space="preserve">5A02W00</t>
  </si>
  <si>
    <t xml:space="preserve">Произошла ошибка оставшихся банкнот в области датчика GS802 в ходе операции Удержание из CSM (Retract CSM).</t>
  </si>
  <si>
    <t xml:space="preserve">5A06200</t>
  </si>
  <si>
    <t xml:space="preserve">Произошла ошибка Возвращающего Транспортного Тракта (датчик GS002) в ходе операции Удержание из CSM (Retract CSM).</t>
  </si>
  <si>
    <t xml:space="preserve">5A06400</t>
  </si>
  <si>
    <t xml:space="preserve">Произошла ошибка Возвращающего Транспортного Тракта (датчик GS004) в ходе операции Удержание из CSM (Retract CSM).</t>
  </si>
  <si>
    <t xml:space="preserve">5A06600</t>
  </si>
  <si>
    <t xml:space="preserve">Произошла ошибка Возвращающего Транспортного Тракта (датчик GS006) в ходе операции Удержание из CSM (Retract CSM).</t>
  </si>
  <si>
    <t xml:space="preserve">5A06A00</t>
  </si>
  <si>
    <t xml:space="preserve">Произошла ошибка Возвращающего Транспортного Тракта (датчик GS021) в ходе операции Удержание из CSM (Retract CSM).</t>
  </si>
  <si>
    <t xml:space="preserve">5A06B00</t>
  </si>
  <si>
    <t xml:space="preserve">Произошла ошибка Возвращающего Транспортного Тракта (датчик GS022) в ходе операции Удержание из CSM (Retract CSM).</t>
  </si>
  <si>
    <t xml:space="preserve">5A06G00</t>
  </si>
  <si>
    <t xml:space="preserve">Произошла ошибка Возвращающего Транспортного Тракта (датчик GS614) в ходе операции Удержание из CSM (Retract CSM).</t>
  </si>
  <si>
    <t xml:space="preserve">5A06H00</t>
  </si>
  <si>
    <t xml:space="preserve">Произошла ошибка Возвращающего Транспортного Тракта (датчик GS618) в ходе операции Удержание из CSM (Retract CSM).</t>
  </si>
  <si>
    <t xml:space="preserve">5A06J00</t>
  </si>
  <si>
    <t xml:space="preserve">Произошла ошибка Возвращающего Транспортного Тракта (датчик GS619) в ходе операции Удержание из CSM (Retract CSM).</t>
  </si>
  <si>
    <t xml:space="preserve">5A06M00</t>
  </si>
  <si>
    <t xml:space="preserve">Произошла ошибка Возвращающего Транспортного Тракта (датчик GS031) в ходе операции Удержание из CSM (Retract CSM).</t>
  </si>
  <si>
    <t xml:space="preserve">5A06N00</t>
  </si>
  <si>
    <t xml:space="preserve">Произошла ошибка Возвращающего Транспортного Тракта (датчик GS032) в ходе операции Удержание из CSM (Retract CSM).</t>
  </si>
  <si>
    <t xml:space="preserve">5A06P00</t>
  </si>
  <si>
    <t xml:space="preserve">Произошла ошибка Возвращающего Транспортного Тракта (датчик GS033) в ходе операции Удержание из CSM (Retract CSM).</t>
  </si>
  <si>
    <t xml:space="preserve">5A06Q00</t>
  </si>
  <si>
    <t xml:space="preserve">Произошла ошибка Возвращающего Транспортного Тракта (датчик GS034) в ходе операции Удержание из CSM (Retract CSM).</t>
  </si>
  <si>
    <t xml:space="preserve">5A07100</t>
  </si>
  <si>
    <t xml:space="preserve">Произошла ошибка порядка следования банкнот в области датчика GS801 в ходе операции Удержание из CSM (Retract CSM).</t>
  </si>
  <si>
    <t xml:space="preserve">5A07200</t>
  </si>
  <si>
    <t xml:space="preserve">Произошла ошибка порядка следования банкнот в области датчика GS002 в ходе операции Удержание из CSM (Retract CSM).</t>
  </si>
  <si>
    <t xml:space="preserve">5A07300</t>
  </si>
  <si>
    <t xml:space="preserve">Произошла ошибка порядка следования банкнот в области датчика GS003 в ходе операции Удержание из CSM (Retract CSM).</t>
  </si>
  <si>
    <t xml:space="preserve">5A07400</t>
  </si>
  <si>
    <t xml:space="preserve">Произошла ошибка порядка следования банкнот в области датчика GS004 в ходе операции Удержание из CSM (Retract CSM).</t>
  </si>
  <si>
    <t xml:space="preserve">5A07500</t>
  </si>
  <si>
    <t xml:space="preserve">Произошла ошибка порядка следования банкнот в области датчика GS005 в ходе операции Удержание из CSM (Retract CSM).</t>
  </si>
  <si>
    <t xml:space="preserve">5A07600</t>
  </si>
  <si>
    <t xml:space="preserve">Произошла ошибка порядка следования банкнот в области датчика GS066 в ходе операции Удержание из CSM (Retract CSM).</t>
  </si>
  <si>
    <t xml:space="preserve">5A07A00</t>
  </si>
  <si>
    <t xml:space="preserve">Произошла ошибка порядка следования банкнот в области датчика GS021 в ходе операции Удержание из CSM (Retract CSM).</t>
  </si>
  <si>
    <t xml:space="preserve">5A07B00</t>
  </si>
  <si>
    <t xml:space="preserve">Произошла ошибка порядка следования банкнот в области датчика GS022 в ходе операции Удержание из CSM (Retract CSM).</t>
  </si>
  <si>
    <t xml:space="preserve">5A07G00</t>
  </si>
  <si>
    <t xml:space="preserve">Произошла ошибка порядка следования банкнот в области датчика GS614 в ходе операции Удержание из CSM (Retract CSM).</t>
  </si>
  <si>
    <t xml:space="preserve">5A07H00</t>
  </si>
  <si>
    <t xml:space="preserve">Произошла ошибка порядка следования банкнот в области датчика GS618 в ходе операции Удержание из CSM (Retract CSM).</t>
  </si>
  <si>
    <t xml:space="preserve">5A07J00</t>
  </si>
  <si>
    <t xml:space="preserve">Произошла ошибка порядка следования банкнот в области датчика GS619 в ходе операции Удержание из CSM (Retract CSM).</t>
  </si>
  <si>
    <t xml:space="preserve">5A07K00</t>
  </si>
  <si>
    <t xml:space="preserve">Произошла ошибка порядка следования банкнот в области датчика GS703 в ходе операции Удержание из CSM (Retract CSM).</t>
  </si>
  <si>
    <t xml:space="preserve">5A07M00</t>
  </si>
  <si>
    <t xml:space="preserve">Произошла ошибка порядка следования банкнот в области датчика GS031 в ходе операции Удержание из CSM (Retract CSM).</t>
  </si>
  <si>
    <t xml:space="preserve">5A07N00</t>
  </si>
  <si>
    <t xml:space="preserve">Произошла ошибка порядка следования банкнот в области датчика GS032 в ходе операции Удержание из CSM (Retract CSM).</t>
  </si>
  <si>
    <t xml:space="preserve">5A07P00</t>
  </si>
  <si>
    <t xml:space="preserve">Произошла ошибка порядка следования банкнот в области датчика GS033 в ходе операции Удержание из CSM (Retract CSM).</t>
  </si>
  <si>
    <t xml:space="preserve">5A07Q00</t>
  </si>
  <si>
    <t xml:space="preserve">Произошла ошибка порядка следования банкнот в области датчика GS034 в ходе операции Удержание из CSM (Retract CSM).</t>
  </si>
  <si>
    <t xml:space="preserve">5A07W00</t>
  </si>
  <si>
    <t xml:space="preserve">GS802 error occurred by the notes disorder on the в ходе операции Удержание из CSM (Retract CSM).</t>
  </si>
  <si>
    <t xml:space="preserve">5A0DR00</t>
  </si>
  <si>
    <t xml:space="preserve">Ошибка синхронизации распознованияв ходе операции Удержание из CSM (Retract CSM).</t>
  </si>
  <si>
    <t xml:space="preserve">5A0DS00</t>
  </si>
  <si>
    <t xml:space="preserve">5A0DT00</t>
  </si>
  <si>
    <t xml:space="preserve">5A0DU00</t>
  </si>
  <si>
    <t xml:space="preserve">5A0DV00</t>
  </si>
  <si>
    <t xml:space="preserve">5A0DW00</t>
  </si>
  <si>
    <t xml:space="preserve">5A0DX00</t>
  </si>
  <si>
    <t xml:space="preserve">5A0DY00</t>
  </si>
  <si>
    <t xml:space="preserve">5A0F100</t>
  </si>
  <si>
    <t xml:space="preserve">Ошибка motor step out return error двигателя GM001 в ходе операции Удержание из CSM (Retract CSM).</t>
  </si>
  <si>
    <t xml:space="preserve">5A0F200</t>
  </si>
  <si>
    <t xml:space="preserve">Ошибка motor step out return error двигателя GM002 в ходе операции Удержание из CSM (Retract CSM).</t>
  </si>
  <si>
    <t xml:space="preserve">5A0F400</t>
  </si>
  <si>
    <t xml:space="preserve">Ошибка motor step out return двигателя GM004 в ходе операции Удержание из CSM (Retract CSM).</t>
  </si>
  <si>
    <t xml:space="preserve">5A0F500</t>
  </si>
  <si>
    <t xml:space="preserve">Снижено кол-во счетов энкодера двигателя GM001 относительно предыдущих значений в ходе операции Удержание из CSM (Retract CSM).</t>
  </si>
  <si>
    <t xml:space="preserve">5A0F600</t>
  </si>
  <si>
    <t xml:space="preserve">Снижено кол-во счетов энкодера двигателя GM002 относительно предыдущих значений в ходе операции Удержание из CSM (Retract CSM).</t>
  </si>
  <si>
    <t xml:space="preserve">5A0F700</t>
  </si>
  <si>
    <t xml:space="preserve">Снижено кол-во счетов энкодера двигателя GM004 относительно предыдущих значений в ходе операции Удержание из CSM (Retract CSM).</t>
  </si>
  <si>
    <t xml:space="preserve">5A0G100</t>
  </si>
  <si>
    <t xml:space="preserve">Не удалось переключить 3-х направленный Затвор Тракта в режим 0-го градуса в ходе операции Удержание из CSM (Retract CSM).</t>
  </si>
  <si>
    <t xml:space="preserve">5A0G200</t>
  </si>
  <si>
    <t xml:space="preserve">Не удалось переключить 3-х направленный Затвор Тракта в 120 градусный режим в ходе операции Удержание из CSM (Retract CSM).</t>
  </si>
  <si>
    <t xml:space="preserve">5A0K100</t>
  </si>
  <si>
    <t xml:space="preserve">Ошибка дублирования серийного номера в ходе операции Удержание из CSM (Retract CSM)..</t>
  </si>
  <si>
    <t xml:space="preserve">5A0N900</t>
  </si>
  <si>
    <t xml:space="preserve">Кол-во набранных банкнот не совпадает с кол-вом уложенных банкнот при завершении разделения в ходе операции Удержание из CSM (Retract CSM).</t>
  </si>
  <si>
    <t xml:space="preserve">5A0NC00</t>
  </si>
  <si>
    <t xml:space="preserve">Не удалось проверить последнюю банкноту в окончании Среднего Транспортного Тракта в ходе операции Удержание из CSM (Retract CSM).</t>
  </si>
  <si>
    <t xml:space="preserve">5A0NK00</t>
  </si>
  <si>
    <t xml:space="preserve">Ошибка No gate for insertion в ходе операции Удержание из CSM (Retract CSM).</t>
  </si>
  <si>
    <t xml:space="preserve">5A0Q100</t>
  </si>
  <si>
    <t xml:space="preserve">Ошибка установки Вспомогательной Кассеты UTC в ходе операции Удержание из CSM (Retract CSM).</t>
  </si>
  <si>
    <t xml:space="preserve">5A0Q200</t>
  </si>
  <si>
    <t xml:space="preserve">Ошибка открытого Модуля временного хранения (TE) в ходе операции Удержание из CSM (Retract CSM).</t>
  </si>
  <si>
    <t xml:space="preserve">5A0Q300</t>
  </si>
  <si>
    <t xml:space="preserve">Ошибка концевого переключателя BMU в ходе операции Удержание из CSM (Retract CSM).</t>
  </si>
  <si>
    <t xml:space="preserve">5A0Q400</t>
  </si>
  <si>
    <t xml:space="preserve">Ошибка установки BMU в ходе операции Удержание из CSM (Retract CSM).</t>
  </si>
  <si>
    <t xml:space="preserve">5A0Q600</t>
  </si>
  <si>
    <t xml:space="preserve">Ошибка открытия CSM в ходе операции Удержание из CSM (Retract CSM).</t>
  </si>
  <si>
    <t xml:space="preserve">5A0Q700</t>
  </si>
  <si>
    <t xml:space="preserve">Ошибка вынутой Кассеты Отбраковки RJC в ходе операции Удержание из CSM (Retract CSM).</t>
  </si>
  <si>
    <t xml:space="preserve">5A0Q800</t>
  </si>
  <si>
    <t xml:space="preserve">Ошибка концевого переключателя BMD в ходе операции Удержание из CSM (Retract CSM).</t>
  </si>
  <si>
    <t xml:space="preserve">5A0Q900</t>
  </si>
  <si>
    <t xml:space="preserve">Ошибка положения BMD в ходе операции Удержание из CSM (Retract CSM).</t>
  </si>
  <si>
    <t xml:space="preserve">5A0QA00</t>
  </si>
  <si>
    <t xml:space="preserve">Ошибка открытия BC в ходе операции Удержание из CSM (Retract CSM).</t>
  </si>
  <si>
    <t xml:space="preserve">5A0R100</t>
  </si>
  <si>
    <t xml:space="preserve">BM вернул ошибку таймаута сообщения в ходе операции Удержание из CSM (Retract CSM).</t>
  </si>
  <si>
    <t xml:space="preserve">5A0R200</t>
  </si>
  <si>
    <t xml:space="preserve">BM вернул ошибку таймаута сообщения в ходе операции Транзакция Удержание из CSM (Retract CSM Transaction).</t>
  </si>
  <si>
    <t xml:space="preserve">5A0R300</t>
  </si>
  <si>
    <t xml:space="preserve">BM вернул ошибку таймаута сообщения в ходе постпроцессинга ошибки операции Удержание из CSM (Retract CSM Error).</t>
  </si>
  <si>
    <t xml:space="preserve">5A12500</t>
  </si>
  <si>
    <t xml:space="preserve">Произошла ошибка оставшихся банкнот в области датчика GS105 в ходе операции Удержание из CSM (Retract CSM).</t>
  </si>
  <si>
    <t xml:space="preserve">5A15500</t>
  </si>
  <si>
    <t xml:space="preserve">Произошла ошибка Транспортного Тракта (датчик GS205) в ходе операции Удержание из CSM (Retract CSM).</t>
  </si>
  <si>
    <t xml:space="preserve">5A16500</t>
  </si>
  <si>
    <t xml:space="preserve">Произошла ошибка Возвращающего Транспортного Тракта (датчик GS105) в ходе операции Удержание из CSM (Retract CSM).</t>
  </si>
  <si>
    <t xml:space="preserve">5A17500</t>
  </si>
  <si>
    <t xml:space="preserve">Произошла ошибка порядка следования банкнот в области датчика GS105 в ходе операции Удержание из CSM (Retract CSM).</t>
  </si>
  <si>
    <t xml:space="preserve">5A1GB00</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</si>
  <si>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Удержание из CSM (Retract CSM).</t>
  </si>
  <si>
    <t xml:space="preserve">5A1GC00</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</si>
  <si>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Удержание из CSM (Retract CSM).</t>
  </si>
  <si>
    <t xml:space="preserve">5A1GG00</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</si>
  <si>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Удержание из CSM (Retract CSM).</t>
  </si>
  <si>
    <t xml:space="preserve">5A1GH00</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</si>
  <si>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Удержание из CSM (Retract CSM).</t>
  </si>
  <si>
    <t xml:space="preserve">5A22500</t>
  </si>
  <si>
    <t xml:space="preserve">Произошла ошибка оставшихся банкнот в области датчика GS205 в ходе операции Удержание из CSM (Retract CSM).</t>
  </si>
  <si>
    <t xml:space="preserve">5A25500</t>
  </si>
  <si>
    <t xml:space="preserve">5A26500</t>
  </si>
  <si>
    <t xml:space="preserve">Произошла ошибка Возвращающего Транспортного Тракта (датчик GS205) в ходе операции Удержание из CSM (Retract CSM).</t>
  </si>
  <si>
    <t xml:space="preserve">5A27500</t>
  </si>
  <si>
    <t xml:space="preserve">Произошла ошибка порядка следования банкнот в области датчика GS305 в ходе операции Удержание из CSM (Retract CSM).</t>
  </si>
  <si>
    <t xml:space="preserve">5A2GB00</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</si>
  <si>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Удержание из CSM (Retract CSM).</t>
  </si>
  <si>
    <t xml:space="preserve">5A2GC00</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</si>
  <si>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Удержание из CSM (Retract CSM).</t>
  </si>
  <si>
    <t xml:space="preserve">5A2GG00</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</si>
  <si>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Удержание из CSM (Retract CSM).</t>
  </si>
  <si>
    <t xml:space="preserve">5A2GH00</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</si>
  <si>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Удержание из CSM (Retract CSM).</t>
  </si>
  <si>
    <t xml:space="preserve">5A32500</t>
  </si>
  <si>
    <t xml:space="preserve">Произошла ошибка оставшихся банкнот в области датчика GS305 в ходе операции Удержание из CSM (Retract CSM).</t>
  </si>
  <si>
    <t xml:space="preserve">5A35500</t>
  </si>
  <si>
    <t xml:space="preserve">Произошла ошибка Транспортного Тракта по данным датчика GS305 в ходе операции Удержание из CSM (Retract CSM).</t>
  </si>
  <si>
    <t xml:space="preserve">5A36500</t>
  </si>
  <si>
    <t xml:space="preserve">Произошла ошибка Возвращающего Транспортного Тракта (датчик GS305) в ходе операции Удержание из CSM (Retract CSM).</t>
  </si>
  <si>
    <t xml:space="preserve">5A37500</t>
  </si>
  <si>
    <t xml:space="preserve">5A3GB00</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</si>
  <si>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Удержание из CSM (Retract CSM).</t>
  </si>
  <si>
    <t xml:space="preserve">5A3GC00</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</si>
  <si>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Удержание из CSM (Retract CSM).</t>
  </si>
  <si>
    <t xml:space="preserve">5A3GG00</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</si>
  <si>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Удержание из CSM (Retract CSM).</t>
  </si>
  <si>
    <t xml:space="preserve">5A3GH00</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</si>
  <si>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Удержание из CSM (Retract CSM).</t>
  </si>
  <si>
    <t xml:space="preserve">5A42500</t>
  </si>
  <si>
    <t xml:space="preserve">Произошла ошибка оставшихся банкнот в области датчика GS405 в ходе операции Удержание из CSM (Retract CSM).</t>
  </si>
  <si>
    <t xml:space="preserve">5A45500</t>
  </si>
  <si>
    <t xml:space="preserve">Произошла ошибка Транспортного Тракта (датчик GS405) в ходе операции Удержание из CSM (Retract CSM).</t>
  </si>
  <si>
    <t xml:space="preserve">5A46500</t>
  </si>
  <si>
    <t xml:space="preserve">Произошла ошибка Возвращающего Транспортного Тракта (датчик GS405) в ходе операции Удержание из CSM (Retract CSM).</t>
  </si>
  <si>
    <t xml:space="preserve">5A47500</t>
  </si>
  <si>
    <t xml:space="preserve">Произошла ошибка порядка следования банкнот в области датчика GS405 в ходе операции Удержание из CSM (Retract CSM).</t>
  </si>
  <si>
    <t xml:space="preserve">5A4GB00</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</si>
  <si>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Удержание из CSM (Retract CSM).</t>
  </si>
  <si>
    <t xml:space="preserve">5A4GC00</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</si>
  <si>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Удержание из CSM (Retract CSM).</t>
  </si>
  <si>
    <t xml:space="preserve">5A4GG00</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</si>
  <si>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Удержание из CSM (Retract CSM).</t>
  </si>
  <si>
    <t xml:space="preserve">5A4GH00</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</si>
  <si>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Удержание из CSM (Retract CSM).</t>
  </si>
  <si>
    <t xml:space="preserve">5A52500</t>
  </si>
  <si>
    <t xml:space="preserve">Произошла ошибка оставшихся банкнот в области датчика GS505 в ходе операции Удержание из CSM (Retract CSM).</t>
  </si>
  <si>
    <t xml:space="preserve">5A55500</t>
  </si>
  <si>
    <t xml:space="preserve">Произошла ошибка Транспортного Тракта (датчик GS505) в ходе операции Удержание из CSM (Retract CSM).</t>
  </si>
  <si>
    <t xml:space="preserve">5A56500</t>
  </si>
  <si>
    <t xml:space="preserve">Произошла ошибка Возвращающего Транспортного Тракта (датчик GS505) в ходе операции Удержание из CSM (Retract CSM).</t>
  </si>
  <si>
    <t xml:space="preserve">5A57500</t>
  </si>
  <si>
    <t xml:space="preserve">Произошла ошибка порядка следования банкнот в области датчика GS505 в ходе операции Удержание из CSM (Retract CSM).</t>
  </si>
  <si>
    <t xml:space="preserve">5A5GB00</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</si>
  <si>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Удержание из CSM (Retract CSM).</t>
  </si>
  <si>
    <t xml:space="preserve">5A5GC00</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</si>
  <si>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Удержание из CSM (Retract CSM).</t>
  </si>
  <si>
    <t xml:space="preserve">5A5GG00</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</si>
  <si>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Удержание из CSM (Retract CSM).</t>
  </si>
  <si>
    <t xml:space="preserve">5A5GH00</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</si>
  <si>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Удержание из CSM (Retract CSM).</t>
  </si>
  <si>
    <t xml:space="preserve">5A62100</t>
  </si>
  <si>
    <t xml:space="preserve">Ошибка оставшихся банкнот в ходе операции Удержание из CSM (Retract CSM).</t>
  </si>
  <si>
    <t xml:space="preserve">5A62200</t>
  </si>
  <si>
    <t xml:space="preserve">Ошибка отсутствия банкнот в ходе операции Удержание из CSM (Retract CSM).</t>
  </si>
  <si>
    <t xml:space="preserve">1. Откройте верхнюю часть Модуля Рециркуляции Банкнот 2. Откройте Модуль обслуживания клиентов CSM (1) 3. Вставьте банкноты в Модуль обслуживания клиентов CSM (1).</t>
  </si>
  <si>
    <t xml:space="preserve">5A62300</t>
  </si>
  <si>
    <t xml:space="preserve">Ошибка превышения кол-ва внесенных банкнот в ходе операции Удержание из CSM (Retract CSM).</t>
  </si>
  <si>
    <t xml:space="preserve">5A62400</t>
  </si>
  <si>
    <t xml:space="preserve">Неизвестная команда Модуля обслуживания клиентов CSM в ходе операции Удержание из CSM (Retract CSM).</t>
  </si>
  <si>
    <t xml:space="preserve">5A6B100</t>
  </si>
  <si>
    <t xml:space="preserve">Ошибка получения и положения банкнот в ходе операции Удержание из CSM (Retract CSM).</t>
  </si>
  <si>
    <t xml:space="preserve">5A6B200</t>
  </si>
  <si>
    <t xml:space="preserve">Ошибка ненормальных банкнот в ходе операции Удержание из CSM (Retract CSM).</t>
  </si>
  <si>
    <t xml:space="preserve">5A6B300</t>
  </si>
  <si>
    <t xml:space="preserve">Неудачное разделение банкнот в Модуле обслуживания клиентов в ходе операции Удержание из CSM (Retract CSM).</t>
  </si>
  <si>
    <t xml:space="preserve">5A6B400</t>
  </si>
  <si>
    <t xml:space="preserve">Замятие из-за нарушения процесса разделения (Фронтальный перекос) в ходе операции Удержание из CSM (Retract CSM).</t>
  </si>
  <si>
    <t xml:space="preserve">5A6B500</t>
  </si>
  <si>
    <t xml:space="preserve">Замятие из-за нарушения процесса разделения (Задний перекос) в ходе операции Удержание из CSM (Retract CSM).</t>
  </si>
  <si>
    <t xml:space="preserve">5A6B600</t>
  </si>
  <si>
    <t xml:space="preserve">Замятие из-за нарушения процесса разделения (Превышение макс. длины) в ходе операции Удержание из CSM (Retract CSM).</t>
  </si>
  <si>
    <t xml:space="preserve">5A6B700</t>
  </si>
  <si>
    <t xml:space="preserve">Замятие из-за нарушения процесса разделения (Превышение мин. длины) в ходе операции Удержание из CSM (Retract CSM).</t>
  </si>
  <si>
    <t xml:space="preserve">5A6B800</t>
  </si>
  <si>
    <t xml:space="preserve">Замятие из-за нарушения процесса разделения по Темному типу в ходе операции Удержание из CSM (Retract CSM).</t>
  </si>
  <si>
    <t xml:space="preserve">5A6B900</t>
  </si>
  <si>
    <t xml:space="preserve">Обнаружено 2 случая нарушения разделения в ходе операции Удержание из CSM (Retract CSM).</t>
  </si>
  <si>
    <t xml:space="preserve">5A6BA00</t>
  </si>
  <si>
    <t xml:space="preserve">Ошибка превышения предела счетчика в 200 банкнот в ходе операции Удержание из CSM (Retract CSM).</t>
  </si>
  <si>
    <t xml:space="preserve">5A6BC00</t>
  </si>
  <si>
    <t xml:space="preserve">Замятие из-за нарушения процесса разделенияа по Светлому типу в ходе операции Удержание из CSM (Retract CSM).</t>
  </si>
  <si>
    <t xml:space="preserve">5A6BE00</t>
  </si>
  <si>
    <t xml:space="preserve">Разделённые банкноты не обнаружены в Модуле обслуживания клиентов CSM после полного разделения  в ходе операции Удержание из CSM (Retract CSM)</t>
  </si>
  <si>
    <t xml:space="preserve">Разделённые банкноты не обнаружены в Модуле обслуживания клиентов CSM после полного разделения  в ходе операции Удержание из CSM (Retract CSM).</t>
  </si>
  <si>
    <t xml:space="preserve">1. Откройте верхнюю часть Модуля Рециркуляции Банкнот 2. Откройте Модуль обслуживания клиентов CSM (1) 3. Удалите банкноты и посторонние предметы из Модуля обслуживания клиентов CSM(1) 4. Проверьте загрязненность датчика в случае отсутствия банкнот или посторонних предметов</t>
  </si>
  <si>
    <t xml:space="preserve">5A6G100</t>
  </si>
  <si>
    <t xml:space="preserve">Ошибка перемещения Задней Прижимной Пластины BP в положение для укладки в ходе операции Deposit Удержание из CSM (Retract CSM).</t>
  </si>
  <si>
    <t xml:space="preserve">5A6G200</t>
  </si>
  <si>
    <t xml:space="preserve">Ошибка выдачи банкнот Задней прижимной пластины BP в ходе операции Удержание из CSM (Retract CSM).</t>
  </si>
  <si>
    <t xml:space="preserve">5A6G300</t>
  </si>
  <si>
    <t xml:space="preserve">Ошибка перемещения Задней прижимной пластины BP в положение для разделения банкнот в ходе операции Удержание из CSM (Retract CSM).</t>
  </si>
  <si>
    <t xml:space="preserve">5A6G400</t>
  </si>
  <si>
    <t xml:space="preserve">Ошибка контроля разделения банкнот Задней прижимной пластины BP в ходе операции Удержание из CSM (Retract CSM).</t>
  </si>
  <si>
    <t xml:space="preserve">5A6G500</t>
  </si>
  <si>
    <t xml:space="preserve">Ошибка положения Задней прижимной пластины BP при выдаче банкнот в ходе операции Удержание из CSM (Retract CSM).</t>
  </si>
  <si>
    <t xml:space="preserve">5A6G600</t>
  </si>
  <si>
    <t xml:space="preserve">Не удалось переместить слистывающий ролик в исходное положение в ходе операции Удержание из CSM (Retract CSM).</t>
  </si>
  <si>
    <t xml:space="preserve">5A6G700</t>
  </si>
  <si>
    <t xml:space="preserve">Ошибка контроля зазаора при разделении в ходе операции Удержание из CSM (Retract CSM).</t>
  </si>
  <si>
    <t xml:space="preserve">1. Откройте верхнюю часть Модуля Рециркуляции Банкнот 2. Удалите банкноты и посторонние предметы из Модуля обслуживания клиентов CSM (2) 3. Проверьте, что круглая ручка Модуля обслуживания клиентов CSM вращается свободно (2) </t>
  </si>
  <si>
    <t xml:space="preserve">5A6G800</t>
  </si>
  <si>
    <t xml:space="preserve">Не удалось вернуть банкноты (Separate motor работает с ошибками) в ходе операции Удержание из CSM (Retract CSM).</t>
  </si>
  <si>
    <t xml:space="preserve">5A6G900</t>
  </si>
  <si>
    <t xml:space="preserve">Ошибка завершения разделения в ходе операции Удержание из CSM (Retract CSM).</t>
  </si>
  <si>
    <t xml:space="preserve">5A6GA00</t>
  </si>
  <si>
    <t xml:space="preserve">Не удалось переместить укладывающий ролик в положение Выдача(укладка) (GM605 работает с ошибками) в ходе операции Удержание из CSM (Retract CSM).</t>
  </si>
  <si>
    <t xml:space="preserve">5A6GB00</t>
  </si>
  <si>
    <t xml:space="preserve">Не удалось переместить в положение для депозита в ходе операции Удержание из CSM (Retract CSM) (GM605 работает с ошибками).</t>
  </si>
  <si>
    <t xml:space="preserve">5A6GD00</t>
  </si>
  <si>
    <t xml:space="preserve">Не удалось выполнить Поднимание (Lift-up) в ходе операции Удержание из CSM (Retract CSM).</t>
  </si>
  <si>
    <t xml:space="preserve">5A6GE00</t>
  </si>
  <si>
    <t xml:space="preserve">Не удалось выполнить Опускание (Lift-down) в ходе операции Удержание из CSM (Retract CSM).</t>
  </si>
  <si>
    <t xml:space="preserve">5A6GF00</t>
  </si>
  <si>
    <t xml:space="preserve">Не удалось переместить ролик затвора в исходное положение в ходе операции Удержание из CSM (Retract CSM).</t>
  </si>
  <si>
    <t xml:space="preserve">5A6H100</t>
  </si>
  <si>
    <t xml:space="preserve">Не удалось вернуть банкноты (BP/PP работает с ошибками) в ходе операции Удержание из CSM (Retract CSM).</t>
  </si>
  <si>
    <t xml:space="preserve">5A6H200</t>
  </si>
  <si>
    <t xml:space="preserve">Ошибка возвращения банкнот Передней и Задней Прижимных пластин FP и BP при возвращении банкнот в ходе операции Удержание из CSM (Retract CSM).</t>
  </si>
  <si>
    <t xml:space="preserve">5A6M100</t>
  </si>
  <si>
    <t xml:space="preserve">Ошибка инициализации ограничителя в ходе операции Удержание из CSM (Retract CSM).</t>
  </si>
  <si>
    <t xml:space="preserve">5A6M300</t>
  </si>
  <si>
    <t xml:space="preserve">Ошибка закрытия Шаттера в ходе операции Удержание из CSM (Retract CSM).</t>
  </si>
  <si>
    <t xml:space="preserve">5A6M400</t>
  </si>
  <si>
    <t xml:space="preserve">Ошибка опускания ограничителя в ходе операции Удержание из CSM (Retract CSM).</t>
  </si>
  <si>
    <t xml:space="preserve">5A6M500</t>
  </si>
  <si>
    <t xml:space="preserve">Ошибка поднятия ограничителя в ходе операции Удержание из CSM (Retract CSM).</t>
  </si>
  <si>
    <t xml:space="preserve">5A6M600</t>
  </si>
  <si>
    <t xml:space="preserve">Ошибка закрытия шаттера при инициализации ограничителя в ходе операции Удержание из CSM (Retract CSM).</t>
  </si>
  <si>
    <t xml:space="preserve">5A6P100</t>
  </si>
  <si>
    <t xml:space="preserve">Ошибка перемещения Прижимной Пластины PP в положение Выдача (укладка) в ходе операции Удержание из CSM (Retract CSM).</t>
  </si>
  <si>
    <t xml:space="preserve">5A6P200</t>
  </si>
  <si>
    <t xml:space="preserve">Ошибка перемещения Прижимной Пластины в положение депозита в ходе операции Удержание из CSM (Retract CSM).</t>
  </si>
  <si>
    <t xml:space="preserve">5A6P300</t>
  </si>
  <si>
    <t xml:space="preserve">Ошибка перемещения Прижимной Пластины PP в положение разделения в ходе операции Удержание из CSM (Retract CSM).</t>
  </si>
  <si>
    <t xml:space="preserve">5A6P400</t>
  </si>
  <si>
    <t xml:space="preserve">Ошибка перемещения Прижимной Пластины PP в положение lose return в ходе операции Удержание из CSM (Retract CSM).</t>
  </si>
  <si>
    <t xml:space="preserve">5A6P500</t>
  </si>
  <si>
    <t xml:space="preserve">Ошибка перемещения Прижимной Пластины PP в положение выдачи банкнот в ходе операции Удержание из CSM (Retract CSM).</t>
  </si>
  <si>
    <t xml:space="preserve">5A6P600</t>
  </si>
  <si>
    <t xml:space="preserve">Ошибка выравнивания банкнот Прижимной Пластины PP в ходе операции Удержание из CSM (Retract CSM).</t>
  </si>
  <si>
    <t xml:space="preserve">5A6P700</t>
  </si>
  <si>
    <t xml:space="preserve">Ошибка контроля разделения (во время сепарации) Прижимной Пластины PP в ходе операции Удержание из CSM (Retract CSM).</t>
  </si>
  <si>
    <t xml:space="preserve">5A6P800</t>
  </si>
  <si>
    <t xml:space="preserve">Ошибка контроля укладки (во время укладывания) Прижимной Пластины PP в ходе операции Удержание из CSM (Retract CSM).</t>
  </si>
  <si>
    <t xml:space="preserve">5A6P900</t>
  </si>
  <si>
    <t xml:space="preserve">Ошибка возврата банкнот в ходе операции Удержание из CSM (Retract CSM).</t>
  </si>
  <si>
    <t xml:space="preserve">5A6PA00</t>
  </si>
  <si>
    <t xml:space="preserve">Ошибка preparation stop Прижимной Пластины PP в ходе операции Удержание из CSM (Retract CSM).</t>
  </si>
  <si>
    <t xml:space="preserve">5A6R100</t>
  </si>
  <si>
    <t xml:space="preserve">Модуль обслуживания клиентов CSM вернул ошибку таймаута сообщения в ходе операции Удержание из CSM (Retract CSM).</t>
  </si>
  <si>
    <t xml:space="preserve">5A6R200</t>
  </si>
  <si>
    <t xml:space="preserve">Модуль обслуживания клиентов CSM вернул ошибку таймаута сообщения в ходе операции Транзакция Удержание из CSM (Retract CSM Transaction).</t>
  </si>
  <si>
    <t xml:space="preserve">5A6R300</t>
  </si>
  <si>
    <t xml:space="preserve">Модуль обслуживания клиентов CSM вернул ошибку таймаута сообщения в ходе постпроцессинга ошибки операции Удержание из CSM (Retract CSM Error).</t>
  </si>
  <si>
    <t xml:space="preserve">5A71300</t>
  </si>
  <si>
    <t xml:space="preserve">GS703 замятие в области датчика по Темному типу в ходе операции Удержание из CSM (Retract CSM).</t>
  </si>
  <si>
    <t xml:space="preserve">5A72100</t>
  </si>
  <si>
    <t xml:space="preserve">Произошла ошибка оставшихся банкнот в области датчика GS701 в ходе операции Удержание из CSM (Retract CSM).</t>
  </si>
  <si>
    <t xml:space="preserve">5A72200</t>
  </si>
  <si>
    <t xml:space="preserve">Произошла ошибка оставшихся банкнот в области датчика GS702 в ходе операции Удержание из CSM (Retract CSM).</t>
  </si>
  <si>
    <t xml:space="preserve">5A72300</t>
  </si>
  <si>
    <t xml:space="preserve">5A72800</t>
  </si>
  <si>
    <t xml:space="preserve">Произошла ошибка оставшихся банкнот в области датчика GS709 в ходе операции Удержание из CSM (Retract CSM).</t>
  </si>
  <si>
    <t xml:space="preserve">5A7G100</t>
  </si>
  <si>
    <t xml:space="preserve">Нарушение работы двигателя в сторону укладки в ходе операции Удержание из CSM (Retract CSM).</t>
  </si>
  <si>
    <t xml:space="preserve">5A7G200</t>
  </si>
  <si>
    <t xml:space="preserve">Нарушение работы двигателя в сторону разделения в ходе операции Удержание из CSM (Retract CSM).</t>
  </si>
  <si>
    <t xml:space="preserve">5A7G300</t>
  </si>
  <si>
    <t xml:space="preserve">Нарушение остановки двигателя в ходе операции Удержание из CSM (Retract CSM).</t>
  </si>
  <si>
    <t xml:space="preserve">5A7G400</t>
  </si>
  <si>
    <t xml:space="preserve">Не обнаружен передний конец ленты в ходе операции Удержание из CSM (Retract CSM).</t>
  </si>
  <si>
    <t xml:space="preserve">5A7G500</t>
  </si>
  <si>
    <t xml:space="preserve">Обнаружен передний конец ленты в ходе операции Удержание из CSM (Retract CSM).</t>
  </si>
  <si>
    <t xml:space="preserve">5A7G600</t>
  </si>
  <si>
    <t xml:space="preserve">Не обнаружен задний конец ленты в ходе операции Удержание из CSM (Retract CSM).</t>
  </si>
  <si>
    <t xml:space="preserve">5A7G700</t>
  </si>
  <si>
    <t xml:space="preserve">Обнаружен задний конец ленты в ходе операции Удержание из CSM (Retract CSM).</t>
  </si>
  <si>
    <t xml:space="preserve">5A7J100</t>
  </si>
  <si>
    <t xml:space="preserve">Полный барабан TE в ходе операции Удержание из CSM (Retract CSM).</t>
  </si>
  <si>
    <t xml:space="preserve">5A7R100</t>
  </si>
  <si>
    <t xml:space="preserve">Модуль временного хранения_TE вернул ошибку таймаута сообщения в ходе операции Удержание из CSM (Retract CSM).</t>
  </si>
  <si>
    <t xml:space="preserve">5A7R200</t>
  </si>
  <si>
    <t xml:space="preserve">Модуль временного хранения_TE вернул ошибку таймаута сообщения в ходе операции Транзакция Удержание из CSM (Retract CSM Transaction).</t>
  </si>
  <si>
    <t xml:space="preserve">5A7R300</t>
  </si>
  <si>
    <t xml:space="preserve">Модуль временного хранения_TE вернул ошибку таймаута сообщения в ходе постпроцессинга ошибки операции Удержание из CSM (Retract CSM Error).</t>
  </si>
  <si>
    <t xml:space="preserve">5A8HA01</t>
  </si>
  <si>
    <t xml:space="preserve">Ошибка датчика GS801A в ходе операции Удержание из CSM (Retract CSM).</t>
  </si>
  <si>
    <t xml:space="preserve">5A8HA02</t>
  </si>
  <si>
    <t xml:space="preserve">Ошибка датчика GS801B в ходе операции Удержание из CSM (Retract CSM).</t>
  </si>
  <si>
    <t xml:space="preserve">5A8HA03</t>
  </si>
  <si>
    <t xml:space="preserve">Ошибка датчиков GS801A, GS801B в ходе операции Удержание из CSM (Retract CSM).</t>
  </si>
  <si>
    <t xml:space="preserve">5A8HA04</t>
  </si>
  <si>
    <t xml:space="preserve">Ошибка датчика GS802A в ходе операции Удержание из CSM (Retract CSM).</t>
  </si>
  <si>
    <t xml:space="preserve">5A8HA05</t>
  </si>
  <si>
    <t xml:space="preserve">Ошибка датчиков GS801A, GS802A в ходе операции Удержание из CSM (Retract CSM).</t>
  </si>
  <si>
    <t xml:space="preserve">5A8HA06</t>
  </si>
  <si>
    <t xml:space="preserve">Ошибка датчиков GS801B, GS802A в ходе операции Удержание из CSM (Retract CSM).</t>
  </si>
  <si>
    <t xml:space="preserve">5A8HA07</t>
  </si>
  <si>
    <t xml:space="preserve">Ошибка датчиков GS801A, GS801B, GS802A в ходе операции Удержание из CSM (Retract CSM).</t>
  </si>
  <si>
    <t xml:space="preserve">5A8HA08</t>
  </si>
  <si>
    <t xml:space="preserve">Ошибка датчика GS802B в ходе операции Удержание из CSM (Retract CSM).</t>
  </si>
  <si>
    <t xml:space="preserve">5A8HA09</t>
  </si>
  <si>
    <t xml:space="preserve">Ошибка датчиков GS801A, GS802B в ходе операции Удержание из CSM (Retract CSM).</t>
  </si>
  <si>
    <t xml:space="preserve">5A8HA10</t>
  </si>
  <si>
    <t xml:space="preserve">Ошибка датчиков GS801B, GS802B в ходе операции Удержание из CSM (Retract CSM).</t>
  </si>
  <si>
    <t xml:space="preserve">5A8HA11</t>
  </si>
  <si>
    <t xml:space="preserve">Ошибка датчиков GS801A, GS801B, GS802B в ходе операции Удержание из CSM (Retract CSM).</t>
  </si>
  <si>
    <t xml:space="preserve">5A8HA12</t>
  </si>
  <si>
    <t xml:space="preserve">Ошибка датчиков GS802A, GS802B в ходе операции Удержание из CSM (Retract CSM).</t>
  </si>
  <si>
    <t xml:space="preserve">5A8HA13</t>
  </si>
  <si>
    <t xml:space="preserve">Ошибка датчиков GS801A, GS802A, GS802B в ходе операции Удержание из CSM (Retract CSM).</t>
  </si>
  <si>
    <t xml:space="preserve">5A8HA14</t>
  </si>
  <si>
    <t xml:space="preserve">Ошибка датчиков GS801B, GS802A, GS802B в ходе операции Удержание из CSM (Retract CSM).</t>
  </si>
  <si>
    <t xml:space="preserve">5A8HA15</t>
  </si>
  <si>
    <t xml:space="preserve">Ошибка датчиков GS801A, GS801B, GS802A, GS802B в ходе операции Удержание из CSM (Retract CSM).</t>
  </si>
  <si>
    <t xml:space="preserve">5A8HF03</t>
  </si>
  <si>
    <t xml:space="preserve">Ошибка загрузки данных шейдинга Контактного датчика изображения CIS в ходе операции Удержание из CSM (Retract CSM).</t>
  </si>
  <si>
    <t xml:space="preserve">5A8HF04</t>
  </si>
  <si>
    <t xml:space="preserve">Ошибка загрузки таблицы БД распознавания в ходе операции Удержание из CSM (Retract CSM).</t>
  </si>
  <si>
    <t xml:space="preserve">5A8HF05</t>
  </si>
  <si>
    <t xml:space="preserve">Ошибка контрольной суммы данных ПЛИС Модуля Валидатора банкнот BC в ходе операции Удержание из CSM (Retract CSM).</t>
  </si>
  <si>
    <t xml:space="preserve">5A8HF06</t>
  </si>
  <si>
    <t xml:space="preserve">Ошибка конфигурации ПЛИС Модуля Валидатора банкнот BC в ходе операции Удержание из CSM (Retract CSM).</t>
  </si>
  <si>
    <t xml:space="preserve">5A8HF07</t>
  </si>
  <si>
    <t xml:space="preserve">Ошибка загрузки данных заголовка ПЛИС Модуля Валидатора банкнот BC header в ходе операции Удержание из CSM (Retract CSM).</t>
  </si>
  <si>
    <t xml:space="preserve">5A8HF08</t>
  </si>
  <si>
    <t xml:space="preserve">Ошибка инициализации ПЛИС в ходе операции Удержание из CSM (Retract CSM).</t>
  </si>
  <si>
    <t xml:space="preserve">5A8HF09</t>
  </si>
  <si>
    <t xml:space="preserve">Ошибка чтения ПЛИС в ходе операции Удержание из CSM (Retract CSM).</t>
  </si>
  <si>
    <t xml:space="preserve">5A8HF11</t>
  </si>
  <si>
    <t xml:space="preserve">Ошибка загрузки Базы Данных распознавания #01 в ходе операции Удержание из CSM (Retract CSM).</t>
  </si>
  <si>
    <t xml:space="preserve">5A8HF12</t>
  </si>
  <si>
    <t xml:space="preserve">Ошибка загрузки Базы Данных распознавания #02 в ходе операции Удержание из CSM (Retract CSM).</t>
  </si>
  <si>
    <t xml:space="preserve">5A8HF13</t>
  </si>
  <si>
    <t xml:space="preserve">Ошибка загрузки Базы Данных распознавания #03 в ходе операции Удержание из CSM (Retract CSM).</t>
  </si>
  <si>
    <t xml:space="preserve">5A8HF14</t>
  </si>
  <si>
    <t xml:space="preserve">Ошибка загрузки Базы Данных распознавания #04 в ходе операции Удержание из CSM (Retract CSM).</t>
  </si>
  <si>
    <t xml:space="preserve">5A8HF15</t>
  </si>
  <si>
    <t xml:space="preserve">Ошибка загрузки Базы Данных распознавания #05 в ходе операции Удержание из CSM (Retract CSM).</t>
  </si>
  <si>
    <t xml:space="preserve">5A8HF16</t>
  </si>
  <si>
    <t xml:space="preserve">Ошибка загрузки Базы Данных распознавания #06 в ходе операции Удержание из CSM (Retract CSM).</t>
  </si>
  <si>
    <t xml:space="preserve">5A8HF17</t>
  </si>
  <si>
    <t xml:space="preserve">Ошибка загрузки Базы Данных распознавания #07 в ходе операции Удержание из CSM (Retract CSM).</t>
  </si>
  <si>
    <t xml:space="preserve">5A8HF18</t>
  </si>
  <si>
    <t xml:space="preserve">Ошибка загрузки Базы Данных распознавания #08 в ходе операции Удержание из CSM (Retract CSM).</t>
  </si>
  <si>
    <t xml:space="preserve">5A8HF19</t>
  </si>
  <si>
    <t xml:space="preserve">Ошибка загрузки Базы Данных распознавания #09 в ходе операции Удержание из CSM (Retract CSM).</t>
  </si>
  <si>
    <t xml:space="preserve">5A8HF20</t>
  </si>
  <si>
    <t xml:space="preserve">Ошибка загрузки Базы Данных распознавания #10 в ходе операции Удержание из CSM (Retract CSM).</t>
  </si>
  <si>
    <t xml:space="preserve">5A8HG01</t>
  </si>
  <si>
    <t xml:space="preserve">Ошибка установки режима при выполнении команды BCU mode в ходе операции Удержание из CSM (Retract CSM).</t>
  </si>
  <si>
    <t xml:space="preserve">5A8HG02</t>
  </si>
  <si>
    <t xml:space="preserve">Ошибка установленного уровня распознавания при выполнении команды BCU mode в ходе операции Удержание из CSM (Retract CSM).</t>
  </si>
  <si>
    <t xml:space="preserve">5A8HG03</t>
  </si>
  <si>
    <t xml:space="preserve">Ошибка установки начала транзакции при выполнении команды BCU ready в ходе операции Удержание из CSM (Retract CSM).</t>
  </si>
  <si>
    <t xml:space="preserve">5A8HG04</t>
  </si>
  <si>
    <t xml:space="preserve">Ошибка установки режима при выполнении команды BCU ready в ходе операции Удержание из CSM (Retract CSM).</t>
  </si>
  <si>
    <t xml:space="preserve">5A8HG05</t>
  </si>
  <si>
    <t xml:space="preserve">Ошибка установленного уровня распознавания при выполнении команды BCU ready в ходе операции Удержание из CSM (Retract CSM).</t>
  </si>
  <si>
    <t xml:space="preserve">5A8HG06</t>
  </si>
  <si>
    <t xml:space="preserve">Ошибка направления внесения Модуля Валидатора банкнот BC при выполнении команды BCU ready в ходе операции Удержание из CSM (Retract CSM).</t>
  </si>
  <si>
    <t xml:space="preserve">5A8HG07</t>
  </si>
  <si>
    <t xml:space="preserve">Ошибка получения неопределенной команды Модуля Валидатора банкнот BCU в ходе операции Удержание из CSM (Retract CSM).</t>
  </si>
  <si>
    <t xml:space="preserve">5A8HG08</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</si>
  <si>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Удержание из CSM (Retract CSM).</t>
  </si>
  <si>
    <t xml:space="preserve">5A8HG09</t>
  </si>
  <si>
    <t xml:space="preserve">Ошибка настройки кода страны при выполнении команды записи данных в Модуль Валидатора банкнот BCUв ходе операции Удержание из CSM (Retract CSM).</t>
  </si>
  <si>
    <t xml:space="preserve">5A8HG10</t>
  </si>
  <si>
    <t xml:space="preserve">Ошибка отсутствия БД распознавания для страны в процессе получения команды BCU data write в ходе операции Удержание из CSM (Retract CSM).</t>
  </si>
  <si>
    <t xml:space="preserve">5A8HG11</t>
  </si>
  <si>
    <t xml:space="preserve">Не установлен код страны при получении команды BCU ready в ходе операции Удержание из CSM (Retract CSM).</t>
  </si>
  <si>
    <t xml:space="preserve">5A8HG12</t>
  </si>
  <si>
    <t xml:space="preserve">Спецификация Модуля Валидатора банкнот BC отличается от параметра команды записи данных в ходе операции Удержание из CSM (Retract CSM).</t>
  </si>
  <si>
    <t xml:space="preserve">5A8HG20</t>
  </si>
  <si>
    <t xml:space="preserve">Ошибка инициализации Контактного датчика изображения CIS при получении команды BCU ready в ходе операции Удержание из CSM (Retract CSM).</t>
  </si>
  <si>
    <t xml:space="preserve">5A8HG21</t>
  </si>
  <si>
    <t xml:space="preserve">Ошибка включения при получении команды BCU ready в ходе операции Удержание из CSM (Retract CSM).</t>
  </si>
  <si>
    <t xml:space="preserve">5A8HG22</t>
  </si>
  <si>
    <t xml:space="preserve">Ошибка инициализации датчика определения сдвоенных банкнот DD при получении команды BCU ready в ходе операции Удержание из CSM (Retract CSM).</t>
  </si>
  <si>
    <t xml:space="preserve">5A8HG23</t>
  </si>
  <si>
    <t xml:space="preserve">Ошибка настройки ЦАП Датчика определения сдвоенных банкнот DD при получении команды BCU ready в ходе операции Удержание из CSM (Retract CSM).</t>
  </si>
  <si>
    <t xml:space="preserve">5A8HG24</t>
  </si>
  <si>
    <t xml:space="preserve">Ошибка режима настройки энкодера при получении команды BCU ready в ходе операции Удержание из CSM (Retract CSM).</t>
  </si>
  <si>
    <t xml:space="preserve">5A8HG36</t>
  </si>
  <si>
    <t xml:space="preserve">Ошибка режима распознавания при выполнении команды receiving BCU mode в ходе операции Удержание из CSM (Retract CSM).</t>
  </si>
  <si>
    <t xml:space="preserve">5A8HG37</t>
  </si>
  <si>
    <t xml:space="preserve">Ошибка настроек транзакции при выполнении команды receiving BCU mode в ходе операции Удержание из CSM (Retract CSM).</t>
  </si>
  <si>
    <t xml:space="preserve">5A8HI01</t>
  </si>
  <si>
    <t xml:space="preserve">Ошибка тайм-аута RecogTask Message в ходе операции Удержание из CSM (Retract CSM).</t>
  </si>
  <si>
    <t xml:space="preserve">5A8HI02</t>
  </si>
  <si>
    <t xml:space="preserve">Ошибка тайм-аута ScanTask Message в ходе операции Удержание из CSM (Retract CSM).</t>
  </si>
  <si>
    <t xml:space="preserve">5A8HI03</t>
  </si>
  <si>
    <t xml:space="preserve">Ошибка тайм-аута UartTask Message в ходе операции Удержание из CSM (Retract CSM).</t>
  </si>
  <si>
    <t xml:space="preserve">5A8HI04</t>
  </si>
  <si>
    <t xml:space="preserve">Ошибка тайм-аута BcUsbTask Message в ходе операции Удержание из CSM (Retract CSM).</t>
  </si>
  <si>
    <t xml:space="preserve">5A8HJ01</t>
  </si>
  <si>
    <t xml:space="preserve">Ошибка инициализации алгоритма распознавания в ходе операции Удержание из CSM (Retract CSM).</t>
  </si>
  <si>
    <t xml:space="preserve">5A8HJ02</t>
  </si>
  <si>
    <t xml:space="preserve">Ошибка готовности Алгоритма Распознавания в ходе операции Удержание из CSM (Retract CSM).</t>
  </si>
  <si>
    <t xml:space="preserve">5A8HJ03</t>
  </si>
  <si>
    <t xml:space="preserve">Ошибка алгоритма распознавания набора валют в ходе операции Удержание из CSM (Retract CSM).</t>
  </si>
  <si>
    <t xml:space="preserve">5A8HS01</t>
  </si>
  <si>
    <t xml:space="preserve">Ошибка ПЛИС Write Scan Driver Init в ходе операции Удержание из CSM (Retract CSM).</t>
  </si>
  <si>
    <t xml:space="preserve">5A8HS02</t>
  </si>
  <si>
    <t xml:space="preserve">Ошибка Sensor (MR/UV/DD/Gate) Power Off Scan Driver Init в ходе операции Удержание из CSM (Retract CSM).</t>
  </si>
  <si>
    <t xml:space="preserve">5A8HS03</t>
  </si>
  <si>
    <t xml:space="preserve">Ошибка Контактного датчика изображения CIS Led On Value Set Fail Scan Driver Init в ходе операции Удержание из CSM (Retract CSM).</t>
  </si>
  <si>
    <t xml:space="preserve">5A8HS04</t>
  </si>
  <si>
    <t xml:space="preserve">Ошибка Источника Света Set Fail Scan Driver Init в ходе операции Удержание из CSM (Retract CSM).</t>
  </si>
  <si>
    <t xml:space="preserve">5A8HS05</t>
  </si>
  <si>
    <t xml:space="preserve">Ошибка Контактного датчика изображения CIS Shading Scan Driver Init в ходе операции Удержание из CSM (Retract CSM).</t>
  </si>
  <si>
    <t xml:space="preserve">5A8HS08</t>
  </si>
  <si>
    <t xml:space="preserve">Ошибка ЦАП Set Fail Scan Driver Init в ходе операции Удержание из CSM (Retract CSM).</t>
  </si>
  <si>
    <t xml:space="preserve">5A8HS11</t>
  </si>
  <si>
    <t xml:space="preserve">Ошибка ПЛИС Write BCU Ready в ходе операции Удержание из CSM (Retract CSM).</t>
  </si>
  <si>
    <t xml:space="preserve">5A8HS12</t>
  </si>
  <si>
    <t xml:space="preserve">Ошибка Sensor (MR/UV/DD/Gate) Power Off BCU Ready в ходе операции Удержание из CSM (Retract CSM).</t>
  </si>
  <si>
    <t xml:space="preserve">5A8HS13</t>
  </si>
  <si>
    <t xml:space="preserve">Ошибка Контактного датчика изображения CIS Led On Value Set Fail BCU Ready в ходе операции Удержание из CSM (Retract CSM).</t>
  </si>
  <si>
    <t xml:space="preserve">5A8HS14</t>
  </si>
  <si>
    <t xml:space="preserve">Ошибка Источника Света Set Fail BCU Ready в ходе операции Удержание из CSM (Retract CSM).</t>
  </si>
  <si>
    <t xml:space="preserve">5A8HS15</t>
  </si>
  <si>
    <t xml:space="preserve">Ошибка Контактного датчика изображения CIS Shading BCU Ready в ходе операции Удержание из CSM (Retract CSM).</t>
  </si>
  <si>
    <t xml:space="preserve">5A8HS17</t>
  </si>
  <si>
    <t xml:space="preserve">Ошибка AFE Chip Set BCU Ready в ходе операции Удержание из CSM (Retract CSM).</t>
  </si>
  <si>
    <t xml:space="preserve">5A8HS18</t>
  </si>
  <si>
    <t xml:space="preserve">Ошибка ЦАП Set Fail BCU Ready в ходе операции Удержание из CSM (Retract CSM).</t>
  </si>
  <si>
    <t xml:space="preserve">5A8HS19</t>
  </si>
  <si>
    <t xml:space="preserve">Ошибка MR/UV/DD Sampling BCU Ready в ходе операции Удержание из CSM (Retract CSM).</t>
  </si>
  <si>
    <t xml:space="preserve">5A8HS1A</t>
  </si>
  <si>
    <t xml:space="preserve">Ошибка ЦАП Датчика Холла Set Fail BCU Ready в ходе операции Удержание из CSM (Retract CSM).</t>
  </si>
  <si>
    <t xml:space="preserve">5A8HS1B</t>
  </si>
  <si>
    <t xml:space="preserve">Ошибка Датчика Холла Shading Fail BCU Ready в ходе операции Удержание из CSM (Retract CSM).</t>
  </si>
  <si>
    <t xml:space="preserve">5A8HS22</t>
  </si>
  <si>
    <t xml:space="preserve">Ошибка Модуля Валидатора BC Stop Sensor (MR/UV/DD/Gate) Power Off Scan Driver Init в ходе операции Удержание из CSM (Retract CSM).</t>
  </si>
  <si>
    <t xml:space="preserve">5A8HS28</t>
  </si>
  <si>
    <t xml:space="preserve">Ошибка Модуля Валидатора BC Stop DAC Set Fail Scan Driver Init в ходе операции Удержание из CSM (Retract CSM).</t>
  </si>
  <si>
    <t xml:space="preserve">5A8HS29</t>
  </si>
  <si>
    <t xml:space="preserve">Ошибка Модуля Валидатора BC Stop MR/UV/DD Sampling BCU Ready в ходе операции Удержание из CSM (Retract CSM).</t>
  </si>
  <si>
    <t xml:space="preserve">5A8R100</t>
  </si>
  <si>
    <t xml:space="preserve">Модуль Валидатора BC вернул ошибку таймаута сообщения в ходе операции Удержание из CSM (Retract CSM Ready).</t>
  </si>
  <si>
    <t xml:space="preserve">5A8R200</t>
  </si>
  <si>
    <t xml:space="preserve">Модуль Валидатора BC вернул ошибку таймаута сообщения в ходе операции Транзакция Удержание из CSM (Retract CSM Transaction).</t>
  </si>
  <si>
    <t xml:space="preserve">5A8R300</t>
  </si>
  <si>
    <t xml:space="preserve">Модуль Валидатора BC вернул ошибку таймаута сообщения в ходе постпроцессинга ошибки операции Удержание из CSM (Retract CSM Error).</t>
  </si>
  <si>
    <t xml:space="preserve">5A8R900</t>
  </si>
  <si>
    <t xml:space="preserve">Модуль Валидатора BC вернул ошибку таймаута сообщения в ходе операции Удержание из CSM (Retract CSM).</t>
  </si>
  <si>
    <t xml:space="preserve">5A8S100</t>
  </si>
  <si>
    <t xml:space="preserve">Получена неправильная Информация о памяти MI от Модуля Валидатора банкнот BC в ходе операции Удержание из CSM (Retract CSM).</t>
  </si>
  <si>
    <t xml:space="preserve">5A8S200</t>
  </si>
  <si>
    <t xml:space="preserve">Получен ненормальный BCC от Модуля Валидатора банкнот в ходе операции Удержание из CSM (Retract CSM).</t>
  </si>
  <si>
    <t xml:space="preserve">5A8S400</t>
  </si>
  <si>
    <t xml:space="preserve">Получена ошибка ETC. от Модуля Валидатора банкнот BC в ходе операции Удержание из CSM (Retract CSM).</t>
  </si>
  <si>
    <t xml:space="preserve">5A8S900</t>
  </si>
  <si>
    <t xml:space="preserve">Повторная попытка завершилась ошибкой Модуля Валидатора банкнот BC в ходе операции Удержание из CSM (Retract CSM).</t>
  </si>
  <si>
    <t xml:space="preserve">5AA2100</t>
  </si>
  <si>
    <t xml:space="preserve">Оставшиеся банкноты в Возвращающем Тракте (GS801) перед выполнением операции Удержание из CSM (Retract CSM).</t>
  </si>
  <si>
    <t xml:space="preserve">5AA2200</t>
  </si>
  <si>
    <t xml:space="preserve">Оставшиеся банкноты в Возвращающем Тракте (GS002) перед выполнением операции Удержание из CSM (Retract CSM).</t>
  </si>
  <si>
    <t xml:space="preserve">5AA2300</t>
  </si>
  <si>
    <t xml:space="preserve">Оставшиеся банкноты в Возвращающем Тракте (GS003) перед выполнением операции Удержание из CSM (Retract CSM).</t>
  </si>
  <si>
    <t xml:space="preserve">5AA2400</t>
  </si>
  <si>
    <t xml:space="preserve">Оставшиеся банкноты в Возвращающем Тракте (GS004) перед выполнением операции Удержание из CSM (Retract CSM).</t>
  </si>
  <si>
    <t xml:space="preserve">5AA2500</t>
  </si>
  <si>
    <t xml:space="preserve">Оставшиеся банкноты в Возвращающем Тракте (GS005) перед выполнением операции Удержание из CSM (Retract CSM).</t>
  </si>
  <si>
    <t xml:space="preserve">5AA2600</t>
  </si>
  <si>
    <t xml:space="preserve">Оставшиеся банкноты в Возвращающем Тракте (GS006) перед выполнением операции Удержание из CSM (Retract CSM).</t>
  </si>
  <si>
    <t xml:space="preserve">5AA2A00</t>
  </si>
  <si>
    <t xml:space="preserve">Оставшиеся банкноты в Возвращающем Тракте (GS021) перед выполнением операции Удержание из CSM (Retract CSM).</t>
  </si>
  <si>
    <t xml:space="preserve">5AA2B00</t>
  </si>
  <si>
    <t xml:space="preserve">Оставшиеся банкноты в Возвращающем Тракте (GS022) перед выполнением операции Удержание из CSM (Retract CSM).</t>
  </si>
  <si>
    <t xml:space="preserve">5AA2C00</t>
  </si>
  <si>
    <t xml:space="preserve">Произошла ошибка оставшихся банкнот в Модуле Валидатора банкнот BCU (Контактный датчик изображения CIS) в ходе операции Удержание из CSM (Retract CSM).</t>
  </si>
  <si>
    <t xml:space="preserve">5AA2G00</t>
  </si>
  <si>
    <t xml:space="preserve">Оставшиеся банкноты в Возвращающем Тракте (GS614) перед выполнением операции Удержание из CSM (Retract CSM).</t>
  </si>
  <si>
    <t xml:space="preserve">5AA2H00</t>
  </si>
  <si>
    <t xml:space="preserve">Оставшиеся банкноты в Возвращающем Тракте (GS618) перед выполнением операции Удержание из CSM (Retract CSM).</t>
  </si>
  <si>
    <t xml:space="preserve">5AA2J00</t>
  </si>
  <si>
    <t xml:space="preserve">Оставшиеся банкноты в Возвращающем Тракте (GS619) перед выполнением операции Удержание из CSM (Retract CSM).</t>
  </si>
  <si>
    <t xml:space="preserve">5AA2K00</t>
  </si>
  <si>
    <t xml:space="preserve">Оставшиеся банкноты в Возвращающем Тракте (GS703) перед выполнением операции Удержание из CSM (Retract CSM).</t>
  </si>
  <si>
    <t xml:space="preserve">5AA2M00</t>
  </si>
  <si>
    <t xml:space="preserve">Оставшиеся банкноты в Возвращающем Тракте (GS031) перед выполнением операции Удержание из CSM (Retract CSM).</t>
  </si>
  <si>
    <t xml:space="preserve">5AA2N00</t>
  </si>
  <si>
    <t xml:space="preserve">Оставшиеся банкноты в Возвращающем Тракте (GS032) перед выполнением операции Удержание из CSM (Retract CSM).</t>
  </si>
  <si>
    <t xml:space="preserve">5AA2P00</t>
  </si>
  <si>
    <t xml:space="preserve">Оставшиеся банкноты в Возвращающем Тракте (GS033) перед выполнением операции Удержание из CSM (Retract CSM).</t>
  </si>
  <si>
    <t xml:space="preserve">5AA2Q00</t>
  </si>
  <si>
    <t xml:space="preserve">Оставшиеся банкноты в Возвращающем Тракте (GS034) перед выполнением операции Удержание из CSM (Retract CSM).</t>
  </si>
  <si>
    <t xml:space="preserve">5AA2W00</t>
  </si>
  <si>
    <t xml:space="preserve">Оставшиеся банкноты в Возвращающем Тракте (GS802) перед выполнением операции Удержание из CSM (Retract CSM).</t>
  </si>
  <si>
    <t xml:space="preserve">5AAA100</t>
  </si>
  <si>
    <t xml:space="preserve">Вынутое состояние Вспомогательной (невостребованных/фальшивых банкнот) Кассеты UTC перед выполнением операции Удержание из CSM (Retract CSM).</t>
  </si>
  <si>
    <t xml:space="preserve">5AAA200</t>
  </si>
  <si>
    <t xml:space="preserve">Модуль временного хранения открыт перед выполнением операции Удержание из CSM (Retract CSM).</t>
  </si>
  <si>
    <t xml:space="preserve">5AAA300</t>
  </si>
  <si>
    <t xml:space="preserve">Отстыкованное состояние концевого переключателя (inter lock) Верхней части Модуля Рециркуляции Банкнот BMU перед выполнением операции Удержание из CSM (Retract CSM).</t>
  </si>
  <si>
    <t xml:space="preserve">5AAA400</t>
  </si>
  <si>
    <t xml:space="preserve">Выдвинутое состояние Верхней части Модуля Рециркуляции Банкнот BMU перед выполнением операции Удержание из CSM (Retract CSM).</t>
  </si>
  <si>
    <t xml:space="preserve">5AAA600</t>
  </si>
  <si>
    <t xml:space="preserve">Открыт Модуль обслуживания клиентов CSM перед выполнением операции Удержание из CSM (Retract CSM).</t>
  </si>
  <si>
    <t xml:space="preserve">5AAA700</t>
  </si>
  <si>
    <t xml:space="preserve">Вынутое состояние Кассеты Отбраковки RJC перед выполнением операции Удержание из CSM (Retract CSM).</t>
  </si>
  <si>
    <t xml:space="preserve">5AAA800</t>
  </si>
  <si>
    <t xml:space="preserve">Отстыкованное состояние концевого переключателя (inter lock) Нижней части Модуля Рециркуляции Банкнот BMD перед выполнением операции Удержание из CSM (Retract CSM).</t>
  </si>
  <si>
    <t xml:space="preserve">5AAA900</t>
  </si>
  <si>
    <t xml:space="preserve">Выдвинутое состояние Нижней части Модуля Рециркуляции Банкнот BMD перед выполнением операции Удержание из CSM (Retract CSM).</t>
  </si>
  <si>
    <t xml:space="preserve">5AAAA00</t>
  </si>
  <si>
    <t xml:space="preserve">Модуль Валидатора банкнот BC открыт перед работой в ходе операции Удержание из CSM (Retract CSM).</t>
  </si>
  <si>
    <t xml:space="preserve">5AAE100</t>
  </si>
  <si>
    <t xml:space="preserve">Получена операция без выполнения команды установки начальных данных (Initail Info Set) в ходе операции Удержание из CSM (Retract CSM).</t>
  </si>
  <si>
    <t xml:space="preserve">5AAE200</t>
  </si>
  <si>
    <t xml:space="preserve">Состояние not operation при получении команды в ходе операции Удержание из CSM (Retract CSM).</t>
  </si>
  <si>
    <t xml:space="preserve">5AAE300</t>
  </si>
  <si>
    <t xml:space="preserve">Получена операция без выполнения команды чтения системных данных (Sysrem Info Read) в ходе операции Удержание из CSM (Retract CSM).</t>
  </si>
  <si>
    <t xml:space="preserve">5AAE400</t>
  </si>
  <si>
    <t xml:space="preserve">Транзакция Удержание из CSM (Retract CSM) была выполнена без Инициализации после включения питания .</t>
  </si>
  <si>
    <t xml:space="preserve">5AAE600</t>
  </si>
  <si>
    <t xml:space="preserve">Ошибка обработки операции Удержание из CSM (Retract CSM) в ходе операции Работа кнопки TE (TE Button Operating).</t>
  </si>
  <si>
    <t xml:space="preserve">5AAEE00</t>
  </si>
  <si>
    <t xml:space="preserve">Ошибка последовательности сообщений интерфейса RS485 платы контроллера RBU в ходе операции Удержание из CSM (Retract CSM).</t>
  </si>
  <si>
    <t xml:space="preserve">5AAEF00</t>
  </si>
  <si>
    <t xml:space="preserve">Нарушение линии связи интерфейса RS485 платы контроллера RBU error в ходе операции Удержание из CSM (Retract CSM).</t>
  </si>
  <si>
    <t xml:space="preserve">5AAH500</t>
  </si>
  <si>
    <t xml:space="preserve">Ошибка Чтения/Записи памяти NVRAM (128 деноминаций) в ходе операции Удержание из CSM (Retract CSM).</t>
  </si>
  <si>
    <t xml:space="preserve">5AAL100</t>
  </si>
  <si>
    <t xml:space="preserve">Банкноты отсутствуют в Модуле обслуживания клиентов CSM при повторной попытке операции Retract CSM из-за ошибки в ходе операции Удержание из CSM (Retract CSM).</t>
  </si>
  <si>
    <t xml:space="preserve">5AAR100</t>
  </si>
  <si>
    <t xml:space="preserve">Возвращена ошибка таймаута сообщения в ходе готовности к операции Удержание из CSM (Retract CSM).</t>
  </si>
  <si>
    <t xml:space="preserve">5AAR200</t>
  </si>
  <si>
    <t xml:space="preserve">Возвращена ошибка таймаута сообщения при проведении транзакции в ходе операции Удержание из CSM (Retract CSM).</t>
  </si>
  <si>
    <t xml:space="preserve">5AAR300</t>
  </si>
  <si>
    <t xml:space="preserve">Возвращена ошибка таймаута сообщения в ходе постпроцессинга ошибки операции Удержание из CSM (Retract CSM Error).</t>
  </si>
  <si>
    <t xml:space="preserve">5AAR700</t>
  </si>
  <si>
    <t xml:space="preserve">Контроллер RBU вернул ошибку таймаута сообщения в ходе операции Удержание из CSM (Retract CSM).</t>
  </si>
  <si>
    <t xml:space="preserve">5AAR900</t>
  </si>
  <si>
    <t xml:space="preserve">Ошибка таймаута сообщения готовности к укладке в процессе автовосстановления в ходе операции Удержание из CSM (Retract CSM).</t>
  </si>
  <si>
    <t xml:space="preserve">5AARA00</t>
  </si>
  <si>
    <t xml:space="preserve">Ошибка таймаута сообщения возврата банкнот BM в процессе автовосстановления в ходе операции Удержание из CSM (Retract CSM)Error.</t>
  </si>
  <si>
    <t xml:space="preserve">5AARB00</t>
  </si>
  <si>
    <t xml:space="preserve">Ошибка таймаута сообщения процесса оставшихся банкнот в ходе операции Удержание из CSM (Retract CSM).</t>
  </si>
  <si>
    <t xml:space="preserve">5AARJ00</t>
  </si>
  <si>
    <t xml:space="preserve">Возвращена ошибка таймаута сообщения при операции Начало Остановки (Stop Ready) в ходе операции Удержание из CSM (Retract CSM).</t>
  </si>
  <si>
    <t xml:space="preserve">5AAS800</t>
  </si>
  <si>
    <t xml:space="preserve">Значение счетчика набранных банкнот больше значения счетчика Оставшихся банкнот в процессе обновления счетчиков банкнот duringв ходе операции Удержание из CSM (Retract CSM).</t>
  </si>
  <si>
    <t xml:space="preserve">5ABS000</t>
  </si>
  <si>
    <t xml:space="preserve">Ошибка таймаута связи контроллера RBU в ходе операции Удержание из CSM (Retract CSM).</t>
  </si>
  <si>
    <t xml:space="preserve">5ABS100</t>
  </si>
  <si>
    <t xml:space="preserve">Ошибка последовательности сообщений платы контроллера RBU в ходе операции Удержание из CSM (Retract CSM).</t>
  </si>
  <si>
    <t xml:space="preserve">5ABS200</t>
  </si>
  <si>
    <t xml:space="preserve">Ошибка Информации о памяти MI в ходе соединения контроллера RBU в ходе операции Удержание из CSM (Retract CSM).</t>
  </si>
  <si>
    <t xml:space="preserve">5AUS100</t>
  </si>
  <si>
    <t xml:space="preserve">Ошибка дублирования номера последовательности USB в ходе операции Удержание из CSM (Retract CSM).</t>
  </si>
  <si>
    <t xml:space="preserve">5AUS300</t>
  </si>
  <si>
    <t xml:space="preserve">Ошибка длины данных команды USB  в ходе операции Удержание из CSM (Retract CSM).</t>
  </si>
  <si>
    <t xml:space="preserve">5B00100</t>
  </si>
  <si>
    <t xml:space="preserve">GS801 сообщил об ошибке замятия по Светлому типу в ходе операции Удержание из TE (Retract TE).</t>
  </si>
  <si>
    <t xml:space="preserve">5B00200</t>
  </si>
  <si>
    <t xml:space="preserve">GS002 сообщил об ошибке замятия по Светлому типу в ходе операции Удержание из TE (Retract TE).</t>
  </si>
  <si>
    <t xml:space="preserve">5B00300</t>
  </si>
  <si>
    <t xml:space="preserve">GS003 сообщил об ошибке замятия по Светлому типу в ходе операции Удержание из TE (Retract TE).</t>
  </si>
  <si>
    <t xml:space="preserve">5B00400</t>
  </si>
  <si>
    <t xml:space="preserve">GS004 сообщил об ошибке замятия по Светлому типу в ходе операции Удержание из TE (Retract TE).</t>
  </si>
  <si>
    <t xml:space="preserve">5B00500</t>
  </si>
  <si>
    <t xml:space="preserve">GS005 сообщил об ошибке замятия по Светлому типу в ходе операции Удержание из TE (Retract TE).</t>
  </si>
  <si>
    <t xml:space="preserve">5B00600</t>
  </si>
  <si>
    <t xml:space="preserve">GS006 сообщил об ошибке замятия по Светлому типу в ходе операции Удержание из TE (Retract TE).</t>
  </si>
  <si>
    <t xml:space="preserve">5B00A00</t>
  </si>
  <si>
    <t xml:space="preserve">GS021 сообщил об ошибке замятия по Светлому типу в ходе операции Удержание из TE (Retract TE).</t>
  </si>
  <si>
    <t xml:space="preserve">5B00B00</t>
  </si>
  <si>
    <t xml:space="preserve">GS022 сообщил об ошибке замятия по Светлому типу в ходе операции Удержание из TE (Retract TE).</t>
  </si>
  <si>
    <t xml:space="preserve">5B00M00</t>
  </si>
  <si>
    <t xml:space="preserve">GS031 сообщил об ошибке замятия по Светлому типу в ходе операции Удержание из TE (Retract TE).</t>
  </si>
  <si>
    <t xml:space="preserve">5B00N00</t>
  </si>
  <si>
    <t xml:space="preserve">GS032 сообщил об ошибке замятия по Светлому типу в ходе операции Удержание из TE (Retract TE).</t>
  </si>
  <si>
    <t xml:space="preserve">5B00P00</t>
  </si>
  <si>
    <t xml:space="preserve">GS033 сообщил об ошибке замятия по Светлому типу в ходе операции Удержание из TE (Retract TE).</t>
  </si>
  <si>
    <t xml:space="preserve">5B00Q00</t>
  </si>
  <si>
    <t xml:space="preserve">GS034 сообщил об ошибке замятия по Светлому типу в ходе операции Удержание из TE (Retract TE).</t>
  </si>
  <si>
    <t xml:space="preserve">5B00W00</t>
  </si>
  <si>
    <t xml:space="preserve">GS802 сообщил об ошибке замятия по Светлому типу в ходе операции Удержание из TE (Retract TE).</t>
  </si>
  <si>
    <t xml:space="preserve">5B01100</t>
  </si>
  <si>
    <t xml:space="preserve">GS801 сообщил об ошибке замятия по Темному типу в ходе операции Удержание из TE (Retract TE).</t>
  </si>
  <si>
    <t xml:space="preserve">5B01200</t>
  </si>
  <si>
    <t xml:space="preserve">GS002 сообщил об ошибке замятия по Темному типу в ходе операции Удержание из TE (Retract TE).</t>
  </si>
  <si>
    <t xml:space="preserve">5B01300</t>
  </si>
  <si>
    <t xml:space="preserve">GS003 сообщил об ошибке замятия по Темному типу в ходе операции Удержание из TE (Retract TE).</t>
  </si>
  <si>
    <t xml:space="preserve">5B01400</t>
  </si>
  <si>
    <t xml:space="preserve">GS004 сообщил об ошибке замятия по Темному типу в ходе операции Удержание из TE (Retract TE).</t>
  </si>
  <si>
    <t xml:space="preserve">5B01500</t>
  </si>
  <si>
    <t xml:space="preserve">GS005 сообщил об ошибке замятия по Темному типу в ходе операции Удержание из TE (Retract TE).</t>
  </si>
  <si>
    <t xml:space="preserve">5B01600</t>
  </si>
  <si>
    <t xml:space="preserve">GS006 сообщил об ошибке замятия по Темному типу в ходе операции Удержание из TE (Retract TE).</t>
  </si>
  <si>
    <t xml:space="preserve">5B01A00</t>
  </si>
  <si>
    <t xml:space="preserve">GS021 сообщил об ошибке замятия по Темному типу в ходе операции Удержание из TE (Retract TE).</t>
  </si>
  <si>
    <t xml:space="preserve">5B01B00</t>
  </si>
  <si>
    <t xml:space="preserve">GS022 сообщил об ошибке замятия по Темному типу в ходе операции Удержание из TE (Retract TE).</t>
  </si>
  <si>
    <t xml:space="preserve">5B01G00</t>
  </si>
  <si>
    <t xml:space="preserve">GS614 сообщил об ошибке замятия по Темному типу в ходе операции Удержание из TE (Retract TE).</t>
  </si>
  <si>
    <t xml:space="preserve">5B01H00</t>
  </si>
  <si>
    <t xml:space="preserve">GS618 сообщил об ошибке замятия по Темному типу в ходе операции Удержание из TE (Retract TE).</t>
  </si>
  <si>
    <t xml:space="preserve">5B01J00</t>
  </si>
  <si>
    <t xml:space="preserve">GS619 сообщил об ошибке замятия по Темному типу в ходе операции Удержание из TE (Retract TE).</t>
  </si>
  <si>
    <t xml:space="preserve">5B01K00</t>
  </si>
  <si>
    <t xml:space="preserve">GS703 сообщил об ошибке замятия по Темному типу в ходе операции Удержание из TE (Retract TE).</t>
  </si>
  <si>
    <t xml:space="preserve">5B01M00</t>
  </si>
  <si>
    <t xml:space="preserve">GS031 сообщил об ошибке замятия по Темному типу в ходе операции Удержание из TE (Retract TE).</t>
  </si>
  <si>
    <t xml:space="preserve">5B01N00</t>
  </si>
  <si>
    <t xml:space="preserve">GS032 сообщил об ошибке замятия по Темному типу в ходе операции Удержание из TE (Retract TE).</t>
  </si>
  <si>
    <t xml:space="preserve">5B01P00</t>
  </si>
  <si>
    <t xml:space="preserve">GS033 сообщил об ошибке замятия по Темному типу в ходе операции Удержание из TE (Retract TE).</t>
  </si>
  <si>
    <t xml:space="preserve">5B01Q00</t>
  </si>
  <si>
    <t xml:space="preserve">GS034 сообщил об ошибке замятия по Темному типу в ходе операции Удержание из TE (Retract TE).</t>
  </si>
  <si>
    <t xml:space="preserve">5B01W00</t>
  </si>
  <si>
    <t xml:space="preserve">GS802 сообщил об ошибке замятия по Темному типу в ходе операции Удержание из TE (Retract TE).</t>
  </si>
  <si>
    <t xml:space="preserve">5B02100</t>
  </si>
  <si>
    <t xml:space="preserve">Произошла ошибка оставшихся банкнот в области датчика GS801 в ходе операции Удержание из TE (Retract TE).</t>
  </si>
  <si>
    <t xml:space="preserve">5B02200</t>
  </si>
  <si>
    <t xml:space="preserve">Произошла ошибка оставшихся банкнот в области датчика GS002 в ходе операции Удержание из TE (Retract TE).</t>
  </si>
  <si>
    <t xml:space="preserve">5B02300</t>
  </si>
  <si>
    <t xml:space="preserve">Произошла ошибка оставшихся банкнот в области датчика GS003 в ходе операции Удержание из TE (Retract TE).</t>
  </si>
  <si>
    <t xml:space="preserve">5B02400</t>
  </si>
  <si>
    <t xml:space="preserve">Произошла ошибка оставшихся банкнот в области датчика GS004 в ходе операции Удержание из TE (Retract TE).</t>
  </si>
  <si>
    <t xml:space="preserve">5B02500</t>
  </si>
  <si>
    <t xml:space="preserve">Произошла ошибка оставшихся банкнот в области датчика GS005 в ходе операции Удержание из TE (Retract TE).</t>
  </si>
  <si>
    <t xml:space="preserve">5B02600</t>
  </si>
  <si>
    <t xml:space="preserve">Произошла ошибка оставшихся банкнот в области датчика GS006 в ходе операции Удержание из TE (Retract TE).</t>
  </si>
  <si>
    <t xml:space="preserve">5B02A00</t>
  </si>
  <si>
    <t xml:space="preserve">Произошла ошибка оставшихся банкнот в области датчика GS021 в ходе операции Удержание из TE (Retract TE).</t>
  </si>
  <si>
    <t xml:space="preserve">5B02B00</t>
  </si>
  <si>
    <t xml:space="preserve">Произошла ошибка оставшихся банкнот в области датчика GS022 в ходе операции Удержание из TE (Retract TE).</t>
  </si>
  <si>
    <t xml:space="preserve">5B02G00</t>
  </si>
  <si>
    <t xml:space="preserve">Произошла ошибка оставшихся банкнот в области датчика GS614 в ходе операции Удержание из TE (Retract TE).</t>
  </si>
  <si>
    <t xml:space="preserve">5B02H00</t>
  </si>
  <si>
    <t xml:space="preserve">Произошла ошибка оставшихся банкнот в области датчика GS618 в ходе операции Удержание из TE (Retract TE).</t>
  </si>
  <si>
    <t xml:space="preserve">5B02J00</t>
  </si>
  <si>
    <t xml:space="preserve">Произошла ошибка оставшихся банкнот в области датчика GS619 в ходе операции Удержание из TE (Retract TE).</t>
  </si>
  <si>
    <t xml:space="preserve">5B02K00</t>
  </si>
  <si>
    <t xml:space="preserve">Произошла ошибка оставшихся банкнот в области датчика GS703 в ходе операции Удержание из TE (Retract TE).</t>
  </si>
  <si>
    <t xml:space="preserve">5B02M00</t>
  </si>
  <si>
    <t xml:space="preserve">Произошла ошибка оставшихся банкнот в области датчика GS031 в ходе операции Удержание из TE (Retract TE).</t>
  </si>
  <si>
    <t xml:space="preserve">5B02N00</t>
  </si>
  <si>
    <t xml:space="preserve">Произошла ошибка оставшихся банкнот в области датчика GS032 в ходе операции Удержание из TE (Retract TE).</t>
  </si>
  <si>
    <t xml:space="preserve">5B02P00</t>
  </si>
  <si>
    <t xml:space="preserve">Произошла ошибка оставшихся банкнот в области датчика GS033 в ходе операции Удержание из TE (Retract TE).</t>
  </si>
  <si>
    <t xml:space="preserve">5B02Q00</t>
  </si>
  <si>
    <t xml:space="preserve">Произошла ошибка оставшихся банкнот в области датчика GS034 в ходе операции Удержание из TE (Retract TE).</t>
  </si>
  <si>
    <t xml:space="preserve">5B02W00</t>
  </si>
  <si>
    <t xml:space="preserve">Произошла ошибка оставшихся банкнот в области датчика GS802 в ходе операции Удержание из TE (Retract TE).</t>
  </si>
  <si>
    <t xml:space="preserve">5B05100</t>
  </si>
  <si>
    <t xml:space="preserve">Произошла ошибка Транспортного Тракта по данным датчика GS801 в ходе операции Удержание из TE (Retract TE).</t>
  </si>
  <si>
    <t xml:space="preserve">5B05200</t>
  </si>
  <si>
    <t xml:space="preserve">Произошла ошибка Транспортного Тракта по данным датчика GS002 в ходе операции Удержание из TE (Retract TE).</t>
  </si>
  <si>
    <t xml:space="preserve">5B05300</t>
  </si>
  <si>
    <t xml:space="preserve">Произошла ошибка Транспортного Тракта по данным датчика GS003 в ходе операции Удержание из TE (Retract TE).</t>
  </si>
  <si>
    <t xml:space="preserve">5B05400</t>
  </si>
  <si>
    <t xml:space="preserve">Произошла ошибка Транспортного Тракта по данным датчика GS004 в ходе операции Удержание из TE (Retract TE).</t>
  </si>
  <si>
    <t xml:space="preserve">1. Откройте верхнюю часть Модуля Рециркуляции Банкнот 2. Откройте модуль Временного хранения_TE (Временный Эскроу) (12) 3. Выньте Вспомогательную (невостребованных/фальшивых банкнот) каcсету (9) 4. Удалите посторонние предметы из Заднего Транспортного Тракта (8) 5. В случае отсутствия банкнот или посторонних предметов проверьте не загрязнен ли датчик.</t>
  </si>
  <si>
    <t xml:space="preserve">5B05600</t>
  </si>
  <si>
    <t xml:space="preserve">Произошла ошибка Транспортного Тракта по данным датчика GS006 в ходе операции Удержание из TE (Retract TE).</t>
  </si>
  <si>
    <t xml:space="preserve">5B05A00</t>
  </si>
  <si>
    <t xml:space="preserve">Произошла ошибка Транспортного Тракта по данным датчика GS021 в ходе операции Удержание из TE (Retract TE).</t>
  </si>
  <si>
    <t xml:space="preserve">5B05B00</t>
  </si>
  <si>
    <t xml:space="preserve">Произошла ошибка Транспортного Тракта по данным датчика GS022 в ходе операции Удержание из TE (Retract TE).</t>
  </si>
  <si>
    <t xml:space="preserve">5B05M00</t>
  </si>
  <si>
    <t xml:space="preserve">Произошла ошибка Транспортного Тракта по данным датчика GS031 в ходе операции Удержание из TE (Retract TE).</t>
  </si>
  <si>
    <t xml:space="preserve">5B05N00</t>
  </si>
  <si>
    <t xml:space="preserve">Произошла ошибка Транспортного Тракта по данным датчика GS032 в ходе операции Удержание из TE (Retract TE).</t>
  </si>
  <si>
    <t xml:space="preserve">5B05P00</t>
  </si>
  <si>
    <t xml:space="preserve">Произошла ошибка Транспортного Тракта по данным датчика GS033 в ходе операции Удержание из TE (Retract TE).</t>
  </si>
  <si>
    <t xml:space="preserve">5B05Q00</t>
  </si>
  <si>
    <t xml:space="preserve">Произошла ошибка Транспортного Тракта по данным датчика GS034 в ходе операции Удержание из TE (Retract TE).</t>
  </si>
  <si>
    <t xml:space="preserve">5B05W00</t>
  </si>
  <si>
    <t xml:space="preserve">Произошла ошибка Транспортного Тракта по данным датчика GS802 в ходе операции Удержание из TE (Retract TE).</t>
  </si>
  <si>
    <t xml:space="preserve">5B06G00</t>
  </si>
  <si>
    <t xml:space="preserve">Произошла ошибка Возвращающего Транспортного Тракта (датчик GS614) в ходе операции Удержание из TE (Retract TE).</t>
  </si>
  <si>
    <t xml:space="preserve">5B06H00</t>
  </si>
  <si>
    <t xml:space="preserve">Произошла ошибка Возвращающего Транспортного Тракта (датчик GS618) в ходе операции Удержание из TE (Retract TE).</t>
  </si>
  <si>
    <t xml:space="preserve">5B06J00</t>
  </si>
  <si>
    <t xml:space="preserve">Произошла ошибка Возвращающего Транспортного Тракта (датчик GS619) в ходе операции Удержание из TE (Retract TE).</t>
  </si>
  <si>
    <t xml:space="preserve">5B07100</t>
  </si>
  <si>
    <t xml:space="preserve">Произошла ошибка порядка следования банкнот в области датчика GS801 в ходе операции Удержание из TE (Retract TE).</t>
  </si>
  <si>
    <t xml:space="preserve">5B07200</t>
  </si>
  <si>
    <t xml:space="preserve">Произошла ошибка порядка следования банкнот в области датчика GS002 в ходе операции Удержание из TE (Retract TE).</t>
  </si>
  <si>
    <t xml:space="preserve">5B07300</t>
  </si>
  <si>
    <t xml:space="preserve">Произошла ошибка порядка следования банкнот в области датчика GS003 в ходе операции Удержание из TE (Retract TE).</t>
  </si>
  <si>
    <t xml:space="preserve">5B07400</t>
  </si>
  <si>
    <t xml:space="preserve">Произошла ошибка порядка следования банкнот в области датчика GS004 в ходе операции Удержание из TE (Retract TE).</t>
  </si>
  <si>
    <t xml:space="preserve">5B07500</t>
  </si>
  <si>
    <t xml:space="preserve">Произошла ошибка порядка следования банкнот в области датчика GS005 в ходе операции Удержание из TE (Retract TE).</t>
  </si>
  <si>
    <t xml:space="preserve">5B07600</t>
  </si>
  <si>
    <t xml:space="preserve">Произошла ошибка порядка следования банкнот в области датчика GS006 в ходе операции Удержание из TE (Retract TE).</t>
  </si>
  <si>
    <t xml:space="preserve">5B07A00</t>
  </si>
  <si>
    <t xml:space="preserve">Произошла ошибка порядка следования банкнот в области датчика GS021 в ходе операции Удержание из TE (Retract TE).</t>
  </si>
  <si>
    <t xml:space="preserve">5B07B00</t>
  </si>
  <si>
    <t xml:space="preserve">Произошла ошибка порядка следования банкнот в области датчика GS022 в ходе операции Удержание из TE (Retract TE).</t>
  </si>
  <si>
    <t xml:space="preserve">5B07G00</t>
  </si>
  <si>
    <t xml:space="preserve">Произошла ошибка порядка следования банкнот в области датчика GS614 в ходе операции Удержание из TE (Retract TE).</t>
  </si>
  <si>
    <t xml:space="preserve">5B07H00</t>
  </si>
  <si>
    <t xml:space="preserve">Произошла ошибка порядка следования банкнот в области датчика GS618 в ходе операции Удержание из TE (Retract TE).</t>
  </si>
  <si>
    <t xml:space="preserve">5B07J00</t>
  </si>
  <si>
    <t xml:space="preserve">Произошла ошибка порядка следования банкнот в области датчика GS619 в ходе операции Удержание из TE (Retract TE).</t>
  </si>
  <si>
    <t xml:space="preserve">5B07K00</t>
  </si>
  <si>
    <t xml:space="preserve">Произошла ошибка порядка следования банкнот в области датчика GS703 в ходе операции Удержание из TE (Retract TE).</t>
  </si>
  <si>
    <t xml:space="preserve">5B07M00</t>
  </si>
  <si>
    <t xml:space="preserve">Произошла ошибка порядка следования банкнот в области датчика GS031 в ходе операции Удержание из TE (Retract TE).</t>
  </si>
  <si>
    <t xml:space="preserve">5B07N00</t>
  </si>
  <si>
    <t xml:space="preserve">Произошла ошибка порядка следования банкнот в области датчика GS032 в ходе операции Удержание из TE (Retract TE).</t>
  </si>
  <si>
    <t xml:space="preserve">5B07P00</t>
  </si>
  <si>
    <t xml:space="preserve">Произошла ошибка порядка следования банкнот в области датчика GS033 в ходе операции Удержание из TE (Retract TE).</t>
  </si>
  <si>
    <t xml:space="preserve">5B07Q00</t>
  </si>
  <si>
    <t xml:space="preserve">Произошла ошибка порядка следования банкнот в области датчика GS034 в ходе операции Удержание из TE (Retract TE).</t>
  </si>
  <si>
    <t xml:space="preserve">5B07W00</t>
  </si>
  <si>
    <t xml:space="preserve">Произошла ошибка порядка следования банкнот в области датчика GS802 в ходе операции Удержание из TE (Retract TE).</t>
  </si>
  <si>
    <t xml:space="preserve">5B0DR00</t>
  </si>
  <si>
    <t xml:space="preserve">Ошибка синхронизации распознованияв ходе операции Удержание из TE (Retract TE).</t>
  </si>
  <si>
    <t xml:space="preserve">5B0DS00</t>
  </si>
  <si>
    <t xml:space="preserve">5B0DT00</t>
  </si>
  <si>
    <t xml:space="preserve">5B0DU00</t>
  </si>
  <si>
    <t xml:space="preserve">5B0DV00</t>
  </si>
  <si>
    <t xml:space="preserve">5B0DW00</t>
  </si>
  <si>
    <t xml:space="preserve">5B0DX00</t>
  </si>
  <si>
    <t xml:space="preserve">5B0DY00</t>
  </si>
  <si>
    <t xml:space="preserve">5B0F100</t>
  </si>
  <si>
    <t xml:space="preserve">Ошибка motor step out return error двигателя GM001 в ходе операции Удержание из TE (Retract TE).</t>
  </si>
  <si>
    <t xml:space="preserve">5B0F200</t>
  </si>
  <si>
    <t xml:space="preserve">Ошибка motor step out return error двигателя GM002 в ходе операции Удержание из TE (Retract TE).</t>
  </si>
  <si>
    <t xml:space="preserve">5B0F400</t>
  </si>
  <si>
    <t xml:space="preserve">Ошибка motor step out return двигателя GM004 в ходе операции Удержание из TE (Retract TE).</t>
  </si>
  <si>
    <t xml:space="preserve">5B0F500</t>
  </si>
  <si>
    <t xml:space="preserve">Снижено кол-во счетов энкодера двигателя GM001 относительно предыдущих значений в ходе операции Удержание из TE (Retract TE).</t>
  </si>
  <si>
    <t xml:space="preserve">5B0F600</t>
  </si>
  <si>
    <t xml:space="preserve">Снижено кол-во счетов энкодера двигателя GM002 относительно предыдущих значений в ходе операции Удержание из TE (Retract TE).</t>
  </si>
  <si>
    <t xml:space="preserve">5B0F700</t>
  </si>
  <si>
    <t xml:space="preserve">Снижено кол-во счетов энкодера двигателя GM004 относительно предыдущих значений в ходе операции Удержание из TE (Retract TE).</t>
  </si>
  <si>
    <t xml:space="preserve">5B0G100</t>
  </si>
  <si>
    <t xml:space="preserve">Не удалось переключить 3-х направленный Затвор Тракта в режим 0-го градуса в ходе операции Удержание из TE (Retract TE).</t>
  </si>
  <si>
    <t xml:space="preserve">5B0G200</t>
  </si>
  <si>
    <t xml:space="preserve">Не удалось переключить 3-х направленный Затвор Тракта в 120 градусный режим в ходе операции Удержание из TE (Retract TE).</t>
  </si>
  <si>
    <t xml:space="preserve">5B0K100</t>
  </si>
  <si>
    <t xml:space="preserve">Ошибка дублирования серийного номера в ходе операции Удержание из TE (Retract TE)..</t>
  </si>
  <si>
    <t xml:space="preserve">5B0K200</t>
  </si>
  <si>
    <t xml:space="preserve">Переполненная Вспомогательная кассета UTC1 и UTC2 в ходе операции Удержание из TE (Retract TE).</t>
  </si>
  <si>
    <t xml:space="preserve">5B0N900</t>
  </si>
  <si>
    <t xml:space="preserve">Кол-во набранных банкнот не совпадает с кол-вом уложенных банкнот при завершении разделения в ходе операции Удержание из TE (Retract TE).</t>
  </si>
  <si>
    <t xml:space="preserve">5B0NA00</t>
  </si>
  <si>
    <t xml:space="preserve">Ошибка контрольной суммы при разделении банкнот Модуля временного хранения_TE в ходе операции Удержание из TE (Retract TE).</t>
  </si>
  <si>
    <t xml:space="preserve">5B0NC00</t>
  </si>
  <si>
    <t xml:space="preserve">Не удалось проверить последнюю банкноту в окончании Среднего Транспортного Тракта в ходе операции Удержание из TE (Retract TE).</t>
  </si>
  <si>
    <t xml:space="preserve">5B0NK00</t>
  </si>
  <si>
    <t xml:space="preserve">Ошибка No gate for insertion в ходе операции Удержание из TE (Retract TE).</t>
  </si>
  <si>
    <t xml:space="preserve">5B0Q100</t>
  </si>
  <si>
    <t xml:space="preserve">Ошибка установки Вспомогательной Кассеты UTC в ходе операции Удержание из TE (Retract TE).</t>
  </si>
  <si>
    <t xml:space="preserve">5B0Q200</t>
  </si>
  <si>
    <t xml:space="preserve">Ошибка открытого Модуля временного хранения (TE) в ходе операции Удержание из TE (Retract TE).</t>
  </si>
  <si>
    <t xml:space="preserve">5B0Q300</t>
  </si>
  <si>
    <t xml:space="preserve">Ошибка концевого переключателя BMU в ходе операции Удержание из TE (Retract TE).</t>
  </si>
  <si>
    <t xml:space="preserve">5B0Q400</t>
  </si>
  <si>
    <t xml:space="preserve">Ошибка установки BMU в ходе операции Удержание из TE (Retract TE).</t>
  </si>
  <si>
    <t xml:space="preserve">5B0Q500</t>
  </si>
  <si>
    <t xml:space="preserve">Сейфовая дверь открыта в ходе операции Удержание из TE (Retract TE).</t>
  </si>
  <si>
    <t xml:space="preserve">5B0Q600</t>
  </si>
  <si>
    <t xml:space="preserve">Ошибка открытия CSM в ходе операции Удержание из TE (Retract TE).</t>
  </si>
  <si>
    <t xml:space="preserve">5B0Q700</t>
  </si>
  <si>
    <t xml:space="preserve">Ошибка вынутой Кассеты Отбраковки RJC в ходе операции Удержание из TE (Retract TE).</t>
  </si>
  <si>
    <t xml:space="preserve">5B0Q800</t>
  </si>
  <si>
    <t xml:space="preserve">Ошибка концевого переключателя BMD в ходе операции Удержание из TE (Retract TE).</t>
  </si>
  <si>
    <t xml:space="preserve">5B0Q900</t>
  </si>
  <si>
    <t xml:space="preserve">Ошибка положения BMD в ходе операции Удержание из TE (Retract TE).</t>
  </si>
  <si>
    <t xml:space="preserve">5B0QA00</t>
  </si>
  <si>
    <t xml:space="preserve">Ошибка открытия BC в ходе операции Удержание из TE (Retract TE).</t>
  </si>
  <si>
    <t xml:space="preserve">5B0R100</t>
  </si>
  <si>
    <t xml:space="preserve">BM вернул ошибку таймаута сообщения в ходе готовности к операции Удержание из TE (Retract TE).</t>
  </si>
  <si>
    <t xml:space="preserve">5B0R200</t>
  </si>
  <si>
    <t xml:space="preserve">BM вернул ошибку таймаута сообщения при проведении транзакции в ходе операции Транзакция Удержание из TE (Retract TE Transaction).</t>
  </si>
  <si>
    <t xml:space="preserve">5B0R300</t>
  </si>
  <si>
    <t xml:space="preserve">BM вернул ошибку таймаута сообщения в ходе постпроцессинга ошибки операции Удержание из TE (Retract TE Error).</t>
  </si>
  <si>
    <t xml:space="preserve">5B10500</t>
  </si>
  <si>
    <t xml:space="preserve">GS105 сообщил об ошибке замятия по Светлому типу в ходе операции Удержание из TE (Retract TE).</t>
  </si>
  <si>
    <t xml:space="preserve">5B11100</t>
  </si>
  <si>
    <t xml:space="preserve">GS101 замятие в области датчика в ходе операции Удержание из TE (Retract TE).</t>
  </si>
  <si>
    <t xml:space="preserve">5B11200</t>
  </si>
  <si>
    <t xml:space="preserve">GS102 замятие в области датчика в ходе операции Удержание из TE (Retract TE).</t>
  </si>
  <si>
    <t xml:space="preserve">5B11500</t>
  </si>
  <si>
    <t xml:space="preserve">GS105 замятие в области датчика в ходе операции Удержание из TE (Retract TE).</t>
  </si>
  <si>
    <t xml:space="preserve">5B12100</t>
  </si>
  <si>
    <t xml:space="preserve">Произошла ошибка оставшихся банкнот в области датчика GS101 в ходе операции Удержание из TE (Retract TE).</t>
  </si>
  <si>
    <t xml:space="preserve">5B12200</t>
  </si>
  <si>
    <t xml:space="preserve">Произошла ошибка оставшихся банкнот в области датчика GS102 в ходе операции Удержание из TE (Retract TE).</t>
  </si>
  <si>
    <t xml:space="preserve">5B12500</t>
  </si>
  <si>
    <t xml:space="preserve">Произошла ошибка оставшихся банкнот в области датчика GS105 в ходе операции Удержание из TE (Retract TE).</t>
  </si>
  <si>
    <t xml:space="preserve">5B15500</t>
  </si>
  <si>
    <t xml:space="preserve">Произошла ошибка Транспортного Тракта по данным датчика GS105 в ходе операции Удержание из TE (Retract TE).</t>
  </si>
  <si>
    <t xml:space="preserve">5B16500</t>
  </si>
  <si>
    <t xml:space="preserve">Произошла ошибка Возвращающего Транспортного Тракта (датчик GS105) в ходе операции Удержание из TE (Retract TE).</t>
  </si>
  <si>
    <t xml:space="preserve">5B17500</t>
  </si>
  <si>
    <t xml:space="preserve">Произошла ошибка порядка следования банкнот в области датчика GS105 в ходе операции Удержание из TE (Retract TE).</t>
  </si>
  <si>
    <t xml:space="preserve">5B1G100</t>
  </si>
  <si>
    <t xml:space="preserve">Не удалось вернуть банкноты в Кассету Рециркуляции RC1 в ходе операции Удержание из TE (Retract TE).</t>
  </si>
  <si>
    <t xml:space="preserve">5B1G200</t>
  </si>
  <si>
    <t xml:space="preserve">Не удалось переместить Прижимную Пластину Кассеты Рециркуляции RC1 в укладывающее положение в ходе операции Удержание из TE (Retract TE).</t>
  </si>
  <si>
    <t xml:space="preserve">5B1G400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</si>
  <si>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Удержание из TE (Retract TE).</t>
  </si>
  <si>
    <t xml:space="preserve">5B1G500</t>
  </si>
  <si>
    <t xml:space="preserve">Сбой обратного хода укладывающего ролика Кассеты Рециркуляции RC1 в ходе операции Удержание из TE (Retract TE).(ошибка датчика)</t>
  </si>
  <si>
    <t xml:space="preserve">5B1G600</t>
  </si>
  <si>
    <t xml:space="preserve">Превышен предел количества попыток перемещений укладывающего ролика Кассеты Рециркуляции RC1 в ходе операции Удержание из TE (Retract TE).</t>
  </si>
  <si>
    <t xml:space="preserve">5B1G800</t>
  </si>
  <si>
    <t xml:space="preserve">Не удалось переместить Прижимную Пластину в прижимающее положение Кассеты Рециркуляции RC1 в ходе операции Удержание из TE (Retract TE).</t>
  </si>
  <si>
    <t xml:space="preserve">5B1GA00</t>
  </si>
  <si>
    <t xml:space="preserve">Ошибка неправильного потока сообщений Кассеты Рециркуляции RC1 в ходе операции Удержание из TE (Retract TE).</t>
  </si>
  <si>
    <t xml:space="preserve">5B1GB00</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</si>
  <si>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Удержание из TE (Retract TE).</t>
  </si>
  <si>
    <t xml:space="preserve">5B1GC00</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</si>
  <si>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Удержание из TE (Retract TE).</t>
  </si>
  <si>
    <t xml:space="preserve">5B1GG00</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</si>
  <si>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Удержание из TE (Retract TE).</t>
  </si>
  <si>
    <t xml:space="preserve">5B1GH00</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</si>
  <si>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Удержание из TE (Retract TE).</t>
  </si>
  <si>
    <t xml:space="preserve">5B1GJ00</t>
  </si>
  <si>
    <t xml:space="preserve">Сбой обратного хода укладывающего ролика Кассеты Рециркуляции RC1 в ходе операции Удержание из TE (Retract TE).(Перерасход)</t>
  </si>
  <si>
    <t xml:space="preserve">5B1GK00</t>
  </si>
  <si>
    <t xml:space="preserve">Сбой обратного хода укладывающего ролика Кассеты Рециркуляции RC1 в ходе операции Удержание из TE (Retract TE). (Ошибка состояния двигателя)</t>
  </si>
  <si>
    <t xml:space="preserve">5B1GL00</t>
  </si>
  <si>
    <t xml:space="preserve">Не удалось переместить подающий ролик Кассеты Рециркуляции RC1 в исходное положение в ходе операции Удержание из TE (Retract TE).(Ошибка состояния двигателя)</t>
  </si>
  <si>
    <t xml:space="preserve">5B1J300</t>
  </si>
  <si>
    <t xml:space="preserve">Ошибка проверки переполнения Кассеты Рециркуляции RC1 в ходе операции Удержание из TE (Retract TE).</t>
  </si>
  <si>
    <t xml:space="preserve">5B1R100</t>
  </si>
  <si>
    <t xml:space="preserve">Ошибка тайм-аута сообщения готовности Кассеты Рециркуляции RC1.</t>
  </si>
  <si>
    <t xml:space="preserve">5B1R200</t>
  </si>
  <si>
    <t xml:space="preserve">Ошибка тайм-аута сообщения Кассеты Рециркуляции RC1 в ходе операции Транзакция (Transaction).</t>
  </si>
  <si>
    <t xml:space="preserve">5B1R300</t>
  </si>
  <si>
    <t xml:space="preserve">Ошибка тайм-аута сообщения Кассеты Рециркуляции RC1 в ходе постпроцессинга ошибки операции Удержание из TE (Retract TE Error).</t>
  </si>
  <si>
    <t xml:space="preserve">5B1S100</t>
  </si>
  <si>
    <t xml:space="preserve">Возвращено неизвестное значение Кассеты Рециркуляции RC1 в ходе операции Удержание из TE (Retract TE).</t>
  </si>
  <si>
    <t xml:space="preserve">5B1S200</t>
  </si>
  <si>
    <t xml:space="preserve">Неизвестная команда RC1 в ходе операции Удержание из TE (Retract TE).</t>
  </si>
  <si>
    <t xml:space="preserve">5B20500</t>
  </si>
  <si>
    <t xml:space="preserve">GS205 сообщил об ошибке замятия по Светлому типу в ходе операции Удержание из TE (Retract TE).</t>
  </si>
  <si>
    <t xml:space="preserve">5B21100</t>
  </si>
  <si>
    <t xml:space="preserve">GS201 замятие в области датчика в ходе операции Удержание из TE (Retract TE).</t>
  </si>
  <si>
    <t xml:space="preserve">5B21200</t>
  </si>
  <si>
    <t xml:space="preserve">GS202 замятие в области датчика в ходе операции Удержание из TE (Retract TE).</t>
  </si>
  <si>
    <t xml:space="preserve">5B21500</t>
  </si>
  <si>
    <t xml:space="preserve">GS205 замятие в области датчика в ходе операции Удержание из TE (Retract TE).</t>
  </si>
  <si>
    <t xml:space="preserve">5B22100</t>
  </si>
  <si>
    <t xml:space="preserve">Произошла ошибка оставшихся банкнот в области датчика GS201 в ходе операции Удержание из TE (Retract TE).</t>
  </si>
  <si>
    <t xml:space="preserve">5B22200</t>
  </si>
  <si>
    <t xml:space="preserve">Произошла ошибка оставшихся банкнот в области датчика GS202 в ходе операции Удержание из TE (Retract TE).</t>
  </si>
  <si>
    <t xml:space="preserve">5B22500</t>
  </si>
  <si>
    <t xml:space="preserve">Произошла ошибка оставшихся банкнот в области датчика GS205 в ходе операции Удержание из TE (Retract TE).</t>
  </si>
  <si>
    <t xml:space="preserve">5B25500</t>
  </si>
  <si>
    <t xml:space="preserve">Произошла ошибка Транспортного Тракта по данным датчика GS205 в ходе операции Удержание из TE (Retract TE).</t>
  </si>
  <si>
    <t xml:space="preserve">5B26500</t>
  </si>
  <si>
    <t xml:space="preserve">Произошла ошибка Возвращающего Транспортного Тракта (датчик GS205) в ходе операции Удержание из TE (Retract TE).</t>
  </si>
  <si>
    <t xml:space="preserve">5B27500</t>
  </si>
  <si>
    <t xml:space="preserve">Произошла ошибка порядка следования банкнот в области датчика GS205 в ходе операции Удержание из TE (Retract TE).</t>
  </si>
  <si>
    <t xml:space="preserve">5B2G100</t>
  </si>
  <si>
    <t xml:space="preserve">Не удалось вернуть банкноты в Кассету Рециркуляции RC2 в ходе операции Удержание из TE (Retract TE).</t>
  </si>
  <si>
    <t xml:space="preserve">5B2G200</t>
  </si>
  <si>
    <t xml:space="preserve">Не удалось переместить Прижимную Пластину Кассеты Рециркуляции RC2 в укладывающее положение.</t>
  </si>
  <si>
    <t xml:space="preserve">5B2G400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</si>
  <si>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Удержание из TE (Retract TE).</t>
  </si>
  <si>
    <t xml:space="preserve">5B2G500</t>
  </si>
  <si>
    <t xml:space="preserve">Сбой обратного хода укладывающего ролика Кассеты Рециркуляции RC2 в ходе операции Удержание из TE (Retract TE).(ошибка датчика)</t>
  </si>
  <si>
    <t xml:space="preserve">5B2G600</t>
  </si>
  <si>
    <t xml:space="preserve">Превышен предел количества попыток перемещений укладывающего ролика Кассеты Рециркуляции RC2 в ходе операции Удержание из TE (Retract TE).</t>
  </si>
  <si>
    <t xml:space="preserve">5B2G800</t>
  </si>
  <si>
    <t xml:space="preserve">Не удалось переместить Прижимную Пластину в прижимающее положение Кассеты Рециркуляции RC2 в ходе операции Удержание из TE (Retract TE).</t>
  </si>
  <si>
    <t xml:space="preserve">5B2GA00</t>
  </si>
  <si>
    <t xml:space="preserve">Ошибка неправильного потока сообщений Кассеты Рециркуляции RC2 в ходе операции Удержание из TE (Retract TE).</t>
  </si>
  <si>
    <t xml:space="preserve">5B2GB00</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</si>
  <si>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Удержание из TE (Retract TE).</t>
  </si>
  <si>
    <t xml:space="preserve">5B2GC00</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</si>
  <si>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Удержание из TE (Retract TE).</t>
  </si>
  <si>
    <t xml:space="preserve">5B2GG00</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</si>
  <si>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Удержание из TE (Retract TE).</t>
  </si>
  <si>
    <t xml:space="preserve">5B2GH00</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</si>
  <si>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Удержание из TE (Retract TE).</t>
  </si>
  <si>
    <t xml:space="preserve">5B2GJ00</t>
  </si>
  <si>
    <t xml:space="preserve">Сбой обратного хода укладывающего ролика Кассеты Рециркуляции RC2 в ходе операции Удержание из TE (Retract TE).(Перерасход)</t>
  </si>
  <si>
    <t xml:space="preserve">5B2GK00</t>
  </si>
  <si>
    <t xml:space="preserve">Сбой обратного хода укладывающего ролика Кассеты Рециркуляции RC2 в ходе операции Удержание из TE (Retract TE). (Ошибка состояния двигателя)</t>
  </si>
  <si>
    <t xml:space="preserve">5B2GL00</t>
  </si>
  <si>
    <t xml:space="preserve">Не удалось переместить подающий ролик Кассеты Рециркуляции RC2 в исходное положение в ходе операции Удержание из TE (Retract TE).(Ошибка состояния двигателя)</t>
  </si>
  <si>
    <t xml:space="preserve">5B2J300</t>
  </si>
  <si>
    <t xml:space="preserve">Ошибка проверки переполнения Кассеты Рециркуляции RC2 в ходе операции Удержание из TE (Retract TE).</t>
  </si>
  <si>
    <t xml:space="preserve">5B2R100</t>
  </si>
  <si>
    <t xml:space="preserve">Ошибка тайм-аута сообщения Кассеты Рециркуляции RC2 в ходе готовности к операции Удержание из TE (Retract TE).</t>
  </si>
  <si>
    <t xml:space="preserve">5B2R200</t>
  </si>
  <si>
    <t xml:space="preserve">Ошибка тайм-аута сообщения Кассеты Рециркуляции RC2 при проведении транзакции в ходе операции Транзакция Удержание из TE (Retract TE Transaction).</t>
  </si>
  <si>
    <t xml:space="preserve">5B2R300</t>
  </si>
  <si>
    <t xml:space="preserve">Ошибка тайм-аута сообщения Кассеты Рециркуляции RC2 в ходе постпроцессинга ошибки операции Удержание из TE (Retract TE Error).</t>
  </si>
  <si>
    <t xml:space="preserve">5B2S100</t>
  </si>
  <si>
    <t xml:space="preserve">Возвращено неизвестное значение Кассеты Рециркуляции RC2 в ходе операции Удержание из TE (Retract TE).</t>
  </si>
  <si>
    <t xml:space="preserve">5B2S200</t>
  </si>
  <si>
    <t xml:space="preserve">Неизвестная команда RC2 в ходе операции Удержание из TE (Retract TE).</t>
  </si>
  <si>
    <t xml:space="preserve">5B30500</t>
  </si>
  <si>
    <t xml:space="preserve">GS305 сообщил об ошибке замятия по Светлому типу в ходе операции Удержание из TE (Retract TE).</t>
  </si>
  <si>
    <t xml:space="preserve">5B31100</t>
  </si>
  <si>
    <t xml:space="preserve">GS301 замятие в области датчика в ходе операции Удержание из TE (Retract TE).</t>
  </si>
  <si>
    <t xml:space="preserve">5B31200</t>
  </si>
  <si>
    <t xml:space="preserve">GS302 замятие в области датчика в ходе операции Удержание из TE (Retract TE).</t>
  </si>
  <si>
    <t xml:space="preserve">5B31500</t>
  </si>
  <si>
    <t xml:space="preserve">GS305 замятие в области датчика в ходе операции Удержание из TE (Retract TE).</t>
  </si>
  <si>
    <t xml:space="preserve">5B32100</t>
  </si>
  <si>
    <t xml:space="preserve">Произошла ошибка оставшихся банкнот в области датчика GS301 в ходе операции Удержание из TE (Retract TE).</t>
  </si>
  <si>
    <t xml:space="preserve">5B32200</t>
  </si>
  <si>
    <t xml:space="preserve">Произошла ошибка оставшихся банкнот в области датчика GS302 в ходе операции Удержание из TE (Retract TE).</t>
  </si>
  <si>
    <t xml:space="preserve">5B32500</t>
  </si>
  <si>
    <t xml:space="preserve">Произошла ошибка оставшихся банкнот в области датчика GS305 в ходе операции Удержание из TE (Retract TE).</t>
  </si>
  <si>
    <t xml:space="preserve">5B35500</t>
  </si>
  <si>
    <t xml:space="preserve">Произошла ошибка Транспортного Тракта по данным датчика GS305 в ходе операции Удержание из TE (Retract TE).</t>
  </si>
  <si>
    <t xml:space="preserve">5B36500</t>
  </si>
  <si>
    <t xml:space="preserve">Произошла ошибка Возвращающего Транспортного Тракта (датчик GS305) в ходе операции Удержание из TE (Retract TE).</t>
  </si>
  <si>
    <t xml:space="preserve">5B37500</t>
  </si>
  <si>
    <t xml:space="preserve">Произошла ошибка порядка следования банкнот в области датчика GS305 в ходе операции Удержание из TE (Retract TE).</t>
  </si>
  <si>
    <t xml:space="preserve">5B3G100</t>
  </si>
  <si>
    <t xml:space="preserve">Не удалось вернуть банкноты из Кассеты Рециркуляции RC3 в ходе операции Удержание из TE (Retract TE).</t>
  </si>
  <si>
    <t xml:space="preserve">5B3G200</t>
  </si>
  <si>
    <t xml:space="preserve">Не удалось переместить Прижимную Пластину Кассеты Рециркуляции RC3 в укладывающее положение в ходе операции Удержание из TE (Retract TE).</t>
  </si>
  <si>
    <t xml:space="preserve">5B3G400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</si>
  <si>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Удержание из TE (Retract TE).</t>
  </si>
  <si>
    <t xml:space="preserve">5B3G500</t>
  </si>
  <si>
    <t xml:space="preserve">Сбой обратного хода укладывающего ролика Кассеты Рециркуляции RC3 в ходе операции Удержание из TE (Retract TE).(ошибка датчика)</t>
  </si>
  <si>
    <t xml:space="preserve">5B3G600</t>
  </si>
  <si>
    <t xml:space="preserve">Превышен предел количества попыток перемещений укладывающего ролика Кассеты Рециркуляции RC3 в ходе операции Удержание из TE (Retract TE).</t>
  </si>
  <si>
    <t xml:space="preserve">5B3G800</t>
  </si>
  <si>
    <t xml:space="preserve">Не удалось переместить Прижимную Пластину в прижимающее положение Кассеты Рециркуляции RC3 в ходе операции Удержание из TE (Retract TE).</t>
  </si>
  <si>
    <t xml:space="preserve">5B3GA00</t>
  </si>
  <si>
    <t xml:space="preserve">Ошибка неправильного потока сообщений Кассеты Рециркуляции RC3 в ходе операции Удержание из TE (Retract TE).</t>
  </si>
  <si>
    <t xml:space="preserve">5B3GB00</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</si>
  <si>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Удержание из TE (Retract TE).</t>
  </si>
  <si>
    <t xml:space="preserve">5B3GC00</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</si>
  <si>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Удержание из TE (Retract TE).</t>
  </si>
  <si>
    <t xml:space="preserve">5B3GG00</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</si>
  <si>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Удержание из TE (Retract TE).</t>
  </si>
  <si>
    <t xml:space="preserve">5B3GH00</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</si>
  <si>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Удержание из TE (Retract TE).</t>
  </si>
  <si>
    <t xml:space="preserve">5B3GJ00</t>
  </si>
  <si>
    <t xml:space="preserve">Сбой обратного хода укладывающего ролика Кассеты Рециркуляции RC3 в ходе операции Удержание из TE (Retract TE).(Перерасход)</t>
  </si>
  <si>
    <t xml:space="preserve">5B3GK00</t>
  </si>
  <si>
    <t xml:space="preserve">Сбой обратного хода укладывающего ролика Кассеты Рециркуляции RC3 в ходе операции Удержание из TE (Retract TE). (Ошибка состояния двигателя)</t>
  </si>
  <si>
    <t xml:space="preserve">5B3GL00</t>
  </si>
  <si>
    <t xml:space="preserve">Не удалось переместить подающий ролик Кассеты Рециркуляции RC3 в исходное положение в ходе операции Удержание из TE (Retract TE).(Ошибка состояния двигателя)</t>
  </si>
  <si>
    <t xml:space="preserve">5B3J300</t>
  </si>
  <si>
    <t xml:space="preserve">Ошибка проверки переполнения Кассеты Рециркуляции RC3 в ходе операции Удержание из TE (Retract TE).</t>
  </si>
  <si>
    <t xml:space="preserve">5B3R100</t>
  </si>
  <si>
    <t xml:space="preserve">Ошибка тайм-аута сообщения Кассеты Рециркуляции RC3 в ходе готовности к операции Удержание из TE (Retract TE).</t>
  </si>
  <si>
    <t xml:space="preserve">5B3R200</t>
  </si>
  <si>
    <t xml:space="preserve">Ошибка тайм-аута сообщения Кассеты Рециркуляции RC3 при проведении транзакции в ходе операции Удержание из TE (Retract TE).</t>
  </si>
  <si>
    <t xml:space="preserve">5B3R300</t>
  </si>
  <si>
    <t xml:space="preserve">Ошибка тайм-аута сообщения Кассеты Рециркуляции RC3 в ходе постпроцессинга ошибки операции Удержание из TE (Retract TE Error).</t>
  </si>
  <si>
    <t xml:space="preserve">5B3S100</t>
  </si>
  <si>
    <t xml:space="preserve">Возвращено неизвестное значение Кассеты Рециркуляции RC3 в ходе операции Удержание из TE (Retract TE).</t>
  </si>
  <si>
    <t xml:space="preserve">5B3S200</t>
  </si>
  <si>
    <t xml:space="preserve">Неизвестная команда RC3 в ходе операции Удержание из TE (Retract TE).</t>
  </si>
  <si>
    <t xml:space="preserve">5B40500</t>
  </si>
  <si>
    <t xml:space="preserve">GS405 сообщил об ошибке замятия по Светлому типу в ходе операции Удержание из TE (Retract TE).</t>
  </si>
  <si>
    <t xml:space="preserve">5B41100</t>
  </si>
  <si>
    <t xml:space="preserve">GS401 замятие в области датчика в ходе операции Удержание из TE (Retract TE).</t>
  </si>
  <si>
    <t xml:space="preserve">5B41200</t>
  </si>
  <si>
    <t xml:space="preserve">GS402 замятие в области датчика в ходе операции Удержание из TE (Retract TE).</t>
  </si>
  <si>
    <t xml:space="preserve">5B41500</t>
  </si>
  <si>
    <t xml:space="preserve">GS405 замятие в области датчика в ходе операции Удержание из TE (Retract TE).</t>
  </si>
  <si>
    <t xml:space="preserve">5B42100</t>
  </si>
  <si>
    <t xml:space="preserve">Произошла ошибка оставшихся банкнот в области датчика GS401 в ходе операции Удержание из TE (Retract TE).</t>
  </si>
  <si>
    <t xml:space="preserve">5B42200</t>
  </si>
  <si>
    <t xml:space="preserve">Произошла ошибка оставшихся банкнот в области датчика GS402 в ходе операции Удержание из TE (Retract TE).</t>
  </si>
  <si>
    <t xml:space="preserve">5B42500</t>
  </si>
  <si>
    <t xml:space="preserve">Произошла ошибка оставшихся банкнот в области датчика GS405 в ходе операции Удержание из TE (Retract TE).</t>
  </si>
  <si>
    <t xml:space="preserve">5B45500</t>
  </si>
  <si>
    <t xml:space="preserve">Произошла ошибка Транспортного Тракта по данным датчика GS405 в ходе операции Удержание из TE (Retract TE).</t>
  </si>
  <si>
    <t xml:space="preserve">5B46500</t>
  </si>
  <si>
    <t xml:space="preserve">Произошла ошибка Возвращающего Транспортного Тракта (датчик GS405 в ходе операции Удержание из TE (Retract TE).</t>
  </si>
  <si>
    <t xml:space="preserve">5B47500</t>
  </si>
  <si>
    <t xml:space="preserve">Произошла ошибка порядка следования банкнот в области датчика GS405 в ходе операции Удержание из TE (Retract TE).</t>
  </si>
  <si>
    <t xml:space="preserve">5B4G100</t>
  </si>
  <si>
    <t xml:space="preserve">Не удалось вернуть банкноты в Кассету Рециркуляции RC4 в ходе операции Удержание из TE (Retract TE).</t>
  </si>
  <si>
    <t xml:space="preserve">5B4G200</t>
  </si>
  <si>
    <t xml:space="preserve">Не удалось переместить Прижимную Пластину Кассеты Рециркуляции RC4 в укладывающее положение в ходе операции Удержание из TE (Retract TE).</t>
  </si>
  <si>
    <t xml:space="preserve">5B4G400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</si>
  <si>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Удержание из TE (Retract TE).</t>
  </si>
  <si>
    <t xml:space="preserve">5B4G500</t>
  </si>
  <si>
    <t xml:space="preserve">Сбой обратного хода укладывающего ролика Кассеты Рециркуляции RC4 в ходе операции Удержание из TE (Retract TE).(ошибка датчика)</t>
  </si>
  <si>
    <t xml:space="preserve">5B4G600</t>
  </si>
  <si>
    <t xml:space="preserve">Превышен предел количества попыток перемещений укладывающего ролика Кассеты Рециркуляции RC4 в ходе операции Удержание из TE (Retract TE).</t>
  </si>
  <si>
    <t xml:space="preserve">5B4G800</t>
  </si>
  <si>
    <t xml:space="preserve">Не удалось переместить Прижимную Пластину в прижимающее положение Кассеты Рециркуляции RC4 в ходе операции Удержание из TE (Retract TE).</t>
  </si>
  <si>
    <t xml:space="preserve">5B4GA00</t>
  </si>
  <si>
    <t xml:space="preserve">Ошибка неправильного потока сообщений Кассеты Рециркуляции RC4 в ходе операции Удержание из TE (Retract TE).</t>
  </si>
  <si>
    <t xml:space="preserve">5B4GB00</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</si>
  <si>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Удержание из TE (Retract TE).</t>
  </si>
  <si>
    <t xml:space="preserve">5B4GC00</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</si>
  <si>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Удержание из TE (Retract TE).</t>
  </si>
  <si>
    <t xml:space="preserve">5B4GG00</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</si>
  <si>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Удержание из TE (Retract TE).</t>
  </si>
  <si>
    <t xml:space="preserve">5B4GH00</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</si>
  <si>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Удержание из TE (Retract TE).</t>
  </si>
  <si>
    <t xml:space="preserve">5B4GJ00</t>
  </si>
  <si>
    <t xml:space="preserve">Сбой обратного хода укладывающего ролика Кассеты Рециркуляции RC4 в ходе операции Удержание из TE (Retract TE).(Перерасход)</t>
  </si>
  <si>
    <t xml:space="preserve">5B4GK00</t>
  </si>
  <si>
    <t xml:space="preserve">Сбой обратного хода укладывающего ролика Кассеты Рециркуляции RC4 в ходе операции Удержание из TE (Retract TE). (Ошибка состояния двигателя)</t>
  </si>
  <si>
    <t xml:space="preserve">5B4GL00</t>
  </si>
  <si>
    <t xml:space="preserve">Не удалось переместить подающий ролик Кассеты Рециркуляции RC4 в исходное положение в ходе операции Удержание из TE (Retract TE).(Ошибка состояния двигателя)</t>
  </si>
  <si>
    <t xml:space="preserve">5B4J300</t>
  </si>
  <si>
    <t xml:space="preserve">Ошибка проверки переполнения Кассеты Рециркуляции RC4 в ходе операции Удержание из TE (Retract TE).</t>
  </si>
  <si>
    <t xml:space="preserve">5B4R100</t>
  </si>
  <si>
    <t xml:space="preserve">Ошибка тайм-аута сообщения готовности Кассеты Рециркуляции RC4.</t>
  </si>
  <si>
    <t xml:space="preserve">5B4R200</t>
  </si>
  <si>
    <t xml:space="preserve">Ошибка тайм-аута сообщения Кассеты Рециркуляции RC4 в ходе операции Транзакция (Transaction).</t>
  </si>
  <si>
    <t xml:space="preserve">5B4R300</t>
  </si>
  <si>
    <t xml:space="preserve">Ошибка тайм-аута сообщения Кассеты Рециркуляции RC4 при обработке ошибки в ходе операции Удержание из TE (Retract TE).</t>
  </si>
  <si>
    <t xml:space="preserve">5B4S100</t>
  </si>
  <si>
    <t xml:space="preserve">Возвращено неизвестное значение Кассеты Рециркуляции RC4 в ходе операции Удержание из TE (Retract TE).</t>
  </si>
  <si>
    <t xml:space="preserve">5B4S200</t>
  </si>
  <si>
    <t xml:space="preserve">Неизвестная команда RC4 в ходе операции Удержание из TE (Retract TE).</t>
  </si>
  <si>
    <t xml:space="preserve">5B50500</t>
  </si>
  <si>
    <t xml:space="preserve">GS505 сообщил об ошибке замятия по Светлому типу в ходе операции Удержание из TE (Retract TE).</t>
  </si>
  <si>
    <t xml:space="preserve">5B51100</t>
  </si>
  <si>
    <t xml:space="preserve">GS501 замятие в области датчика в ходе операции Удержание из TE (Retract TE).</t>
  </si>
  <si>
    <t xml:space="preserve">5B51200</t>
  </si>
  <si>
    <t xml:space="preserve">GS502 замятие в области датчика в ходе операции Удержание из TE (Retract TE).</t>
  </si>
  <si>
    <t xml:space="preserve">5B51500</t>
  </si>
  <si>
    <t xml:space="preserve">GS505 замятие в области датчика в ходе операции Удержание из TE (Retract TE).</t>
  </si>
  <si>
    <t xml:space="preserve">5B52100</t>
  </si>
  <si>
    <t xml:space="preserve">Произошла ошибка оставшихся банкнот в области датчика GS501 в ходе операции Удержание из TE (Retract TE).</t>
  </si>
  <si>
    <t xml:space="preserve">5B52200</t>
  </si>
  <si>
    <t xml:space="preserve">Произошла ошибка оставшихся банкнот в области датчика GS502 в ходе операции Удержание из TE (Retract TE).</t>
  </si>
  <si>
    <t xml:space="preserve">5B52500</t>
  </si>
  <si>
    <t xml:space="preserve">Произошла ошибка оставшихся банкнот в области датчика GS505 в ходе операции Удержание из TE (Retract TE).</t>
  </si>
  <si>
    <t xml:space="preserve">5B55500</t>
  </si>
  <si>
    <t xml:space="preserve">Произошла ошибка Транспортного Тракта по данным датчика GS505 в ходе операции Удержание из TE (Retract TE).</t>
  </si>
  <si>
    <t xml:space="preserve">5B56500</t>
  </si>
  <si>
    <t xml:space="preserve">Произошла ошибка Возвращающего Транспортного Тракта (датчик GS505) в ходе операции Удержание из TE (Retract TE).</t>
  </si>
  <si>
    <t xml:space="preserve">5B57500</t>
  </si>
  <si>
    <t xml:space="preserve">Произошла ошибка порядка следования банкнот в области датчика GS505 в ходе операции Удержание из TE (Retract TE).</t>
  </si>
  <si>
    <t xml:space="preserve">5B5G100</t>
  </si>
  <si>
    <t xml:space="preserve">Не удалось вернуть банкноты в Кассету Рециркуляции RC5 в ходе операции Удержание из TE (Retract TE).</t>
  </si>
  <si>
    <t xml:space="preserve">5B5G200</t>
  </si>
  <si>
    <t xml:space="preserve">Не удалось переместить Прижимную Пластину Кассеты Рециркуляции RC5 в укладывающее положение в ходе операции Удержание из TE (Retract TE).</t>
  </si>
  <si>
    <t xml:space="preserve">5B5G400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</si>
  <si>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Удержание из TE (Retract TE).</t>
  </si>
  <si>
    <t xml:space="preserve">5B5G500</t>
  </si>
  <si>
    <t xml:space="preserve">Сбой обратного хода укладывающего ролика Кассеты Рециркуляции RC5 в ходе операции Удержание из TE (Retract TE).(ошибка датчика)</t>
  </si>
  <si>
    <t xml:space="preserve">5B5G600</t>
  </si>
  <si>
    <t xml:space="preserve">Превышен предел количества попыток перемещений укладывающего ролика Кассеты Рециркуляции RC5 в ходе операции Удержание из TE (Retract TE).</t>
  </si>
  <si>
    <t xml:space="preserve">5B5G800</t>
  </si>
  <si>
    <t xml:space="preserve">Не удалось переместить Прижимную Пластину в прижимающее положение Кассеты Рециркуляции RC5 в ходе операции Удержание из TE (Retract TE).</t>
  </si>
  <si>
    <t xml:space="preserve">5B5GA00</t>
  </si>
  <si>
    <t xml:space="preserve">Ошибка неправильного потока сообщений Кассеты Рециркуляции RC5 в ходе операции Удержание из TE (Retract TE).</t>
  </si>
  <si>
    <t xml:space="preserve">5B5GB00</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</si>
  <si>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Удержание из TE (Retract TE).</t>
  </si>
  <si>
    <t xml:space="preserve">5B5GC00</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</si>
  <si>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Удержание из TE (Retract TE).</t>
  </si>
  <si>
    <t xml:space="preserve">5B5GG00</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</si>
  <si>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Удержание из TE (Retract TE).</t>
  </si>
  <si>
    <t xml:space="preserve">5B5GH00</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</si>
  <si>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Удержание из TE (Retract TE).</t>
  </si>
  <si>
    <t xml:space="preserve">5B5GJ00</t>
  </si>
  <si>
    <t xml:space="preserve">Сбой обратного хода укладывающего ролика Кассеты Рециркуляции RC5 в ходе операции Удержание из TE (Retract TE).(Перерасход)</t>
  </si>
  <si>
    <t xml:space="preserve">5B5GK00</t>
  </si>
  <si>
    <t xml:space="preserve">Сбой обратного хода укладывающего ролика Кассеты Рециркуляции RC5 в ходе операции Удержание из TE (Retract TE). (Ошибка состояния двигателя)</t>
  </si>
  <si>
    <t xml:space="preserve">5B5GL00</t>
  </si>
  <si>
    <t xml:space="preserve">Не удалось переместить подающий ролик Кассеты Рециркуляции RC5 в исходное положение в ходе операции Удержание из TE (Retract TE).(Ошибка состояния двигателя)</t>
  </si>
  <si>
    <t xml:space="preserve">5B5J300</t>
  </si>
  <si>
    <t xml:space="preserve">Ошибка проверки переполнения Кассеты Рециркуляции RC5 в ходе операции Удержание из TE (Retract TE).</t>
  </si>
  <si>
    <t xml:space="preserve">5B5R100</t>
  </si>
  <si>
    <t xml:space="preserve">Ошибка тайм-аута сообщения Кассеты Рециркуляции RC5 в ходе готовности к операции Удержание из TE (Retract TE).</t>
  </si>
  <si>
    <t xml:space="preserve">5B5R200</t>
  </si>
  <si>
    <t xml:space="preserve">Ошибка тайм-аута сообщения Кассеты Рециркуляции RC5 при проведении транзакции в ходе операции Транзакция Удержание из TE (Retract TE Transaction).</t>
  </si>
  <si>
    <t xml:space="preserve">5B5R300</t>
  </si>
  <si>
    <t xml:space="preserve">Ошибка тайм-аута сообщения Кассеты Рециркуляции RC5 в ходе постпроцессинга ошибки операции Удержание из TE (Retract TE Error).</t>
  </si>
  <si>
    <t xml:space="preserve">5B5S100</t>
  </si>
  <si>
    <t xml:space="preserve">Неопределенные возвратные значения Кассеты Рециркуляции RC5 в ходе операции Удержание из TE (Retract TE).</t>
  </si>
  <si>
    <t xml:space="preserve">5B5S200</t>
  </si>
  <si>
    <t xml:space="preserve">Неизвестная команда RC5 в ходе операции Удержание из TE (Retract TE).</t>
  </si>
  <si>
    <t xml:space="preserve">5B6R100</t>
  </si>
  <si>
    <t xml:space="preserve">Модуль обслуживания клиентов CSM вернул ошибку таймаута сообщения в ходе готовности к операции Удержание из TE (Retract TE).</t>
  </si>
  <si>
    <t xml:space="preserve">5B6R200</t>
  </si>
  <si>
    <t xml:space="preserve">Модуль обслуживания клиентов CSM вернул ошибку таймаута сообщения при проведении транзакции в ходе операции Транзакция Удержание из TE (Retract TE Transaction).</t>
  </si>
  <si>
    <t xml:space="preserve">5B6R300</t>
  </si>
  <si>
    <t xml:space="preserve">Модуль обслуживания клиентов CSM вернул ошибку таймаута сообщения в ходе постпроцессинга ошибки операции Удержание из TE (Retract TE Error).</t>
  </si>
  <si>
    <t xml:space="preserve">5B71300</t>
  </si>
  <si>
    <t xml:space="preserve">GS703 замятие в области датчика по Темному типу в ходе операции Удержание из TE (Retract TE).</t>
  </si>
  <si>
    <t xml:space="preserve">5B72100</t>
  </si>
  <si>
    <t xml:space="preserve">Произошла ошибка оставшихся банкнот в области датчика GS701 в ходе операции Удержание из TE (Retract TE).</t>
  </si>
  <si>
    <t xml:space="preserve">5B72200</t>
  </si>
  <si>
    <t xml:space="preserve">Произошла ошибка оставшихся банкнот в области датчика GS702 в ходе операции Удержание из TE (Retract TE).</t>
  </si>
  <si>
    <t xml:space="preserve">5B72300</t>
  </si>
  <si>
    <t xml:space="preserve">5B72800</t>
  </si>
  <si>
    <t xml:space="preserve">Произошла ошибка оставшихся банкнот в области датчика GS709 в ходе операции Удержание из TE (Retract TE).</t>
  </si>
  <si>
    <t xml:space="preserve">5B7G100</t>
  </si>
  <si>
    <t xml:space="preserve">Нарушение работы двигателя в сторону укладки в ходе операции Удержание из TE (Retract TE).</t>
  </si>
  <si>
    <t xml:space="preserve">5B7G200</t>
  </si>
  <si>
    <t xml:space="preserve">Нарушение работы двигателя в сторону разделения в ходе операции в ходе операции Удержание из TE (Retract TE).</t>
  </si>
  <si>
    <t xml:space="preserve">5B7G300</t>
  </si>
  <si>
    <t xml:space="preserve">Нарушение остановки двигателя в ходе операции Удержание из TE (Retract TE).</t>
  </si>
  <si>
    <t xml:space="preserve">5B7G400</t>
  </si>
  <si>
    <t xml:space="preserve">Не обнаружен передний конец ленты в ходе операции Удержание из TE (Retract TE).</t>
  </si>
  <si>
    <t xml:space="preserve">5B7G500</t>
  </si>
  <si>
    <t xml:space="preserve">Обнаружен передний конец ленты в ходе операции Удержание из TE (Retract TE).</t>
  </si>
  <si>
    <t xml:space="preserve">5B7G600</t>
  </si>
  <si>
    <t xml:space="preserve">Не обнаружен задний конец ленты в ходе операции Удержание из TE (Retract TE).</t>
  </si>
  <si>
    <t xml:space="preserve">5B7G700</t>
  </si>
  <si>
    <t xml:space="preserve">Обнаружен задний конец ленты в ходе операции Удержание из TE (Retract TE).</t>
  </si>
  <si>
    <t xml:space="preserve">5B7J100</t>
  </si>
  <si>
    <t xml:space="preserve">Полный барабан TE в ходе операции Удержание из TE (Retract TE).</t>
  </si>
  <si>
    <t xml:space="preserve">5B7J200</t>
  </si>
  <si>
    <t xml:space="preserve">Пустой барабан TE в ходе операции Удержание из TE (Retract TE).</t>
  </si>
  <si>
    <t xml:space="preserve">5B7J300</t>
  </si>
  <si>
    <t xml:space="preserve">Штатная операция Конец Приема (Receipt End) невозможна в ходе операции Удержание из TE (Retract TE).</t>
  </si>
  <si>
    <t xml:space="preserve">5B7R100</t>
  </si>
  <si>
    <t xml:space="preserve">Модуль временного хранения_TE вернул ошибку таймаута сообщения в ходе готовности к операции Удержание из TE (Retract TE).</t>
  </si>
  <si>
    <t xml:space="preserve">5B7R200</t>
  </si>
  <si>
    <t xml:space="preserve">Модуль временного хранения_TE вернул ошибку таймаута сообщения при проведении транзакции в ходе операции Удержание из TE (Retract TE).</t>
  </si>
  <si>
    <t xml:space="preserve">5B7R300</t>
  </si>
  <si>
    <t xml:space="preserve">Модуль временного хранения_TE вернул ошибку таймаута сообщения в ходе постпроцессинга ошибки операции Удержание из TE (Retract TE Error).</t>
  </si>
  <si>
    <t xml:space="preserve">5B8HA01</t>
  </si>
  <si>
    <t xml:space="preserve">Ошибка датчика GS801A в ходе операции Удержание из TE (Retract TE).</t>
  </si>
  <si>
    <t xml:space="preserve">5B8HA02</t>
  </si>
  <si>
    <t xml:space="preserve">Ошибка датчика GS801B в ходе операции Удержание из TE (Retract TE).</t>
  </si>
  <si>
    <t xml:space="preserve">5B8HA03</t>
  </si>
  <si>
    <t xml:space="preserve">Ошибка датчиков GS801A, GS801B в ходе операции Удержание из TE (Retract TE).</t>
  </si>
  <si>
    <t xml:space="preserve">5B8HA04</t>
  </si>
  <si>
    <t xml:space="preserve">Ошибка датчика GS802A в ходе операции Удержание из TE (Retract TE).</t>
  </si>
  <si>
    <t xml:space="preserve">5B8HA05</t>
  </si>
  <si>
    <t xml:space="preserve">Ошибка датчиков GS801A, GS802A в ходе операции Удержание из TE (Retract TE).</t>
  </si>
  <si>
    <t xml:space="preserve">5B8HA06</t>
  </si>
  <si>
    <t xml:space="preserve">Ошибка датчиков GS801B, GS802A в ходе операции Удержание из TE (Retract TE).</t>
  </si>
  <si>
    <t xml:space="preserve">5B8HA07</t>
  </si>
  <si>
    <t xml:space="preserve">Ошибка датчиков GS801A, GS801B, GS802A в ходе операции Удержание из TE (Retract TE).</t>
  </si>
  <si>
    <t xml:space="preserve">5B8HA08</t>
  </si>
  <si>
    <t xml:space="preserve">Ошибка датчика GS802B в ходе операции Удержание из TE (Retract TE).</t>
  </si>
  <si>
    <t xml:space="preserve">5B8HA09</t>
  </si>
  <si>
    <t xml:space="preserve">Ошибка датчиков GS801A, GS802B в ходе операции Удержание из TE (Retract TE).</t>
  </si>
  <si>
    <t xml:space="preserve">5B8HA10</t>
  </si>
  <si>
    <t xml:space="preserve">Ошибка датчиков GS801B, GS802B в ходе операции Удержание из TE (Retract TE).</t>
  </si>
  <si>
    <t xml:space="preserve">5B8HA11</t>
  </si>
  <si>
    <t xml:space="preserve">Ошибка датчиков GS801A, GS801B, GS802B в ходе операции Удержание из TE (Retract TE).</t>
  </si>
  <si>
    <t xml:space="preserve">5B8HA12</t>
  </si>
  <si>
    <t xml:space="preserve">Ошибка датчиков GS802A, GS802B в ходе операции Удержание из TE (Retract TE).</t>
  </si>
  <si>
    <t xml:space="preserve">5B8HA13</t>
  </si>
  <si>
    <t xml:space="preserve">Ошибка датчиков GS801A, GS802A, GS802B в ходе операции Удержание из TE (Retract TE).</t>
  </si>
  <si>
    <t xml:space="preserve">5B8HA14</t>
  </si>
  <si>
    <t xml:space="preserve">Ошибка датчиков GS801B, GS802A, GS802B в ходе операции Удержание из TE (Retract TE).</t>
  </si>
  <si>
    <t xml:space="preserve">5B8HA15</t>
  </si>
  <si>
    <t xml:space="preserve">Ошибка датчиков GS801A, GS801B, GS802A, GS802B в ходе операции Удержание из TE (Retract TE).</t>
  </si>
  <si>
    <t xml:space="preserve">5B8HF03</t>
  </si>
  <si>
    <t xml:space="preserve">Ошибка загрузки данных шейдинга Контактного датчика изображения CIS в ходе операции Удержание из TE (Retract TE).</t>
  </si>
  <si>
    <t xml:space="preserve">5B8HF04</t>
  </si>
  <si>
    <t xml:space="preserve">Ошибка загрузки таблицы БД распознавания в ходе операции Удержание из TE (Retract TE).</t>
  </si>
  <si>
    <t xml:space="preserve">5B8HF05</t>
  </si>
  <si>
    <t xml:space="preserve">Ошибка контрольной суммы данных ПЛИС Модуля Валидатора банкнот BC в ходе операции Удержание из TE (Retract TE).</t>
  </si>
  <si>
    <t xml:space="preserve">5B8HF06</t>
  </si>
  <si>
    <t xml:space="preserve">Ошибка конфигурации ПЛИС Модуля Валидатора банкнот BC в ходе операции Удержание из TE (Retract TE).</t>
  </si>
  <si>
    <t xml:space="preserve">5B8HF07</t>
  </si>
  <si>
    <t xml:space="preserve">Ошибка загрузки данных заголовка ПЛИС Модуля Валидатора банкнот BC header в ходе операции Удержание из TE (Retract TE).</t>
  </si>
  <si>
    <t xml:space="preserve">5B8HF08</t>
  </si>
  <si>
    <t xml:space="preserve">Ошибка инициализации ПЛИС в ходе операции Удержание из TE (Retract TE).</t>
  </si>
  <si>
    <t xml:space="preserve">5B8HF09</t>
  </si>
  <si>
    <t xml:space="preserve">Ошибка чтения ПЛИС в ходе операции Удержание из TE (Retract TE).</t>
  </si>
  <si>
    <t xml:space="preserve">5B8HF11</t>
  </si>
  <si>
    <t xml:space="preserve">Ошибка загрузки Базы Данных распознавания #01 в ходе операции Удержание из TE (Retract TE).</t>
  </si>
  <si>
    <t xml:space="preserve">5B8HF12</t>
  </si>
  <si>
    <t xml:space="preserve">Ошибка загрузки Базы Данных распознавания #02 в ходе операции Удержание из TE (Retract TE).</t>
  </si>
  <si>
    <t xml:space="preserve">5B8HF13</t>
  </si>
  <si>
    <t xml:space="preserve">Ошибка загрузки Базы Данных распознавания #03 в ходе операции Удержание из TE (Retract TE).</t>
  </si>
  <si>
    <t xml:space="preserve">5B8HF14</t>
  </si>
  <si>
    <t xml:space="preserve">Ошибка загрузки Базы Данных распознавания #04 в ходе операции Удержание из TE (Retract TE).</t>
  </si>
  <si>
    <t xml:space="preserve">5B8HF15</t>
  </si>
  <si>
    <t xml:space="preserve">Ошибка загрузки Базы Данных распознавания #05 в ходе операции Удержание из TE (Retract TE).</t>
  </si>
  <si>
    <t xml:space="preserve">5B8HF16</t>
  </si>
  <si>
    <t xml:space="preserve">Ошибка загрузки Базы Данных распознавания #06 в ходе операции Удержание из TE (Retract TE).</t>
  </si>
  <si>
    <t xml:space="preserve">5B8HF17</t>
  </si>
  <si>
    <t xml:space="preserve">Ошибка загрузки Базы Данных распознавания #07 в ходе операции Удержание из TE (Retract TE).</t>
  </si>
  <si>
    <t xml:space="preserve">5B8HF18</t>
  </si>
  <si>
    <t xml:space="preserve">Ошибка загрузки Базы Данных распознавания #08 в ходе операции Удержание из TE (Retract TE).</t>
  </si>
  <si>
    <t xml:space="preserve">5B8HF19</t>
  </si>
  <si>
    <t xml:space="preserve">Ошибка загрузки Базы Данных распознавания #09 в ходе операции Удержание из TE (Retract TE).</t>
  </si>
  <si>
    <t xml:space="preserve">5B8HF20</t>
  </si>
  <si>
    <t xml:space="preserve">Ошибка загрузки Базы Данных распознавания #10 в ходе операции Удержание из TE (Retract TE).</t>
  </si>
  <si>
    <t xml:space="preserve">5B8HG01</t>
  </si>
  <si>
    <t xml:space="preserve">Ошибка установки режима при выполнении команды BCU mode в ходе операции Удержание из TE (Retract TE).</t>
  </si>
  <si>
    <t xml:space="preserve">5B8HG02</t>
  </si>
  <si>
    <t xml:space="preserve">Ошибка установленного уровня распознавания при выполнении команды BCU mode в ходе операции Удержание из TE (Retract TE).</t>
  </si>
  <si>
    <t xml:space="preserve">5B8HG03</t>
  </si>
  <si>
    <t xml:space="preserve">Ошибка установки начала транзакции при выполнении команды BCU ready в ходе операции Удержание из TE (Retract TE).</t>
  </si>
  <si>
    <t xml:space="preserve">5B8HG04</t>
  </si>
  <si>
    <t xml:space="preserve">Ошибка установки режима при выполнении команды BCU ready в ходе операции Удержание из TE (Retract TE).</t>
  </si>
  <si>
    <t xml:space="preserve">5B8HG05</t>
  </si>
  <si>
    <t xml:space="preserve">Ошибка установленного уровня распознавания при выполнении команды BCU ready в ходе операции Удержание из TE (Retract TE).</t>
  </si>
  <si>
    <t xml:space="preserve">5B8HG06</t>
  </si>
  <si>
    <t xml:space="preserve">Ошибка направления внесения Модуля Валидатора банкнот BC при выполнении команды BCU ready в ходе операции Удержание из TE (Retract TE).</t>
  </si>
  <si>
    <t xml:space="preserve">5B8HG07</t>
  </si>
  <si>
    <t xml:space="preserve">Ошибка получения неопределенной команды Модуля Валидатора банкнот BCU в ходе операции Удержание из TE (Retract TE).</t>
  </si>
  <si>
    <t xml:space="preserve">5B8HG08</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</si>
  <si>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Удержание из TE (Retract TE).</t>
  </si>
  <si>
    <t xml:space="preserve">5B8HG09</t>
  </si>
  <si>
    <t xml:space="preserve">Ошибка настройки кода страны при выполнении команды записи данных в Модуль Валидатора банкнот BCUв ходе операции Удержание из TE (Retract TE).</t>
  </si>
  <si>
    <t xml:space="preserve">5B8HG10</t>
  </si>
  <si>
    <t xml:space="preserve">Ошибка отсутствия БД распознавания для страны в процессе получения команды BCU data write в ходе операции Удержание из TE (Retract TE).</t>
  </si>
  <si>
    <t xml:space="preserve">5B8HG11</t>
  </si>
  <si>
    <t xml:space="preserve">Не установлен код страны при получении команды BCU ready в ходе операции Удержание TE (Retract TE).</t>
  </si>
  <si>
    <t xml:space="preserve">5B8HG12</t>
  </si>
  <si>
    <t xml:space="preserve">Спецификация Модуля Валидатора банкнот BC отличается от параметра команды записи данных в ходе операции Удержание из TE (Retract TE).</t>
  </si>
  <si>
    <t xml:space="preserve">5B8HG20</t>
  </si>
  <si>
    <t xml:space="preserve">Ошибка инициализации Контактного датчика изображения CIS при получении команды BCU ready в ходе операции Удержание TE (Retract TE).</t>
  </si>
  <si>
    <t xml:space="preserve">5B8HG21</t>
  </si>
  <si>
    <t xml:space="preserve">Ошибка включения при получении команды BCU ready в ходе операции Удержание TE (Retract TE).</t>
  </si>
  <si>
    <t xml:space="preserve">5B8HG22</t>
  </si>
  <si>
    <t xml:space="preserve">Ошибка инициализации датчика определения сдвоенных банкнот DD при получении команды BCU ready в ходе операции Удержание TE (Retract TE).</t>
  </si>
  <si>
    <t xml:space="preserve">5B8HG23</t>
  </si>
  <si>
    <t xml:space="preserve">Ошибка настройки ЦАП Датчика определения сдвоенных банкнот DD при получении команды BCU ready в ходе операции Удержание TE (Retract TE).</t>
  </si>
  <si>
    <t xml:space="preserve">5B8HG24</t>
  </si>
  <si>
    <t xml:space="preserve">Ошибка режима настройки энкодера при получении команды BCU ready в ходе операции Удержание TE (Retract TE).</t>
  </si>
  <si>
    <t xml:space="preserve">5B8HG36</t>
  </si>
  <si>
    <t xml:space="preserve">Ошибка режима распознавания при выполнении команды receiving BCU mode в ходе операции Удержание из TE (Retract TE).</t>
  </si>
  <si>
    <t xml:space="preserve">5B8HG37</t>
  </si>
  <si>
    <t xml:space="preserve">Ошибка настроек транзакции при выполнении команды receiving BCU mode в ходе операции Удержание из TE (Retract TE).</t>
  </si>
  <si>
    <t xml:space="preserve">5B8HI01</t>
  </si>
  <si>
    <t xml:space="preserve">Ошибка тайм-аута RecogTask Message в ходе операции Удержание из TE (Retract TE).</t>
  </si>
  <si>
    <t xml:space="preserve">5B8HI02</t>
  </si>
  <si>
    <t xml:space="preserve">Ошибка тайм-аута ScanTask Message в ходе операции Удержание из TE (Retract TE).</t>
  </si>
  <si>
    <t xml:space="preserve">5B8HI03</t>
  </si>
  <si>
    <t xml:space="preserve">Ошибка тайм-аута UartTask Message в ходе операции Удержание из TE (Retract TE).</t>
  </si>
  <si>
    <t xml:space="preserve">5B8HI04</t>
  </si>
  <si>
    <t xml:space="preserve">Ошибка тайм-аута BcUsbTask Message в ходе операции Удержание из TE (Retract TE).</t>
  </si>
  <si>
    <t xml:space="preserve">5B8HJ01</t>
  </si>
  <si>
    <t xml:space="preserve">Ошибка инициализации алгоритма распознавания в ходе операции Удержание из TE (Retract TE).</t>
  </si>
  <si>
    <t xml:space="preserve">5B8HJ02</t>
  </si>
  <si>
    <t xml:space="preserve">Ошибка готовности Алгоритма Распознавания в ходе операции Удержание из TE (Retract TE).</t>
  </si>
  <si>
    <t xml:space="preserve">5B8HJ03</t>
  </si>
  <si>
    <t xml:space="preserve">Ошибка алгоритма распознавания набора валют в ходе операции Удержание из TE (Retract TE).</t>
  </si>
  <si>
    <t xml:space="preserve">5B8HS01</t>
  </si>
  <si>
    <t xml:space="preserve">Ошибка ПЛИС Write Scan Driver Init в ходе операции Удержание из TE (Retract TE).</t>
  </si>
  <si>
    <t xml:space="preserve">5B8HS02</t>
  </si>
  <si>
    <t xml:space="preserve">Ошибка Sensor (MR/UV/DD/Gate) Power Off Scan Driver Init в ходе операции Удержание из TE (Retract TE).</t>
  </si>
  <si>
    <t xml:space="preserve">5B8HS03</t>
  </si>
  <si>
    <t xml:space="preserve">Ошибка Контактного датчика изображения CIS Led On Value Set Fail Scan Driver Init в ходе операции Удержание из TE (Retract TE).</t>
  </si>
  <si>
    <t xml:space="preserve">5B8HS04</t>
  </si>
  <si>
    <t xml:space="preserve">Ошибка Источника Света Set Fail Scan Driver Init в ходе операции Удержание из TE (Retract TE).</t>
  </si>
  <si>
    <t xml:space="preserve">5B8HS05</t>
  </si>
  <si>
    <t xml:space="preserve">Ошибка Контактного датчика изображения CIS Shading Scan Driver Init в ходе операции Удержание из TE (Retract TE).</t>
  </si>
  <si>
    <t xml:space="preserve">5B8HS08</t>
  </si>
  <si>
    <t xml:space="preserve">Ошибка ЦАП Set Fail Scan Driver Init в ходе операции Удержание из TE (Retract TE).</t>
  </si>
  <si>
    <t xml:space="preserve">5B8HS11</t>
  </si>
  <si>
    <t xml:space="preserve">Ошибка ПЛИС Write BCU Ready в ходе операции Удержание из TE (Retract TE).</t>
  </si>
  <si>
    <t xml:space="preserve">5B8HS12</t>
  </si>
  <si>
    <t xml:space="preserve">Ошибка Sensor (MR/UV/DD/Gate) Power Off BCU Ready в ходе операции Удержание из TE (Retract TE).</t>
  </si>
  <si>
    <t xml:space="preserve">5B8HS13</t>
  </si>
  <si>
    <t xml:space="preserve">Ошибка Контактного датчика изображения CIS Led On Value Set Fail BCU Ready в ходе операции Удержание из TE (Retract TE).</t>
  </si>
  <si>
    <t xml:space="preserve">5B8HS14</t>
  </si>
  <si>
    <t xml:space="preserve">Ошибка Источника Света Set Fail BCU Ready в ходе операции Удержание из TE (Retract TE).</t>
  </si>
  <si>
    <t xml:space="preserve">5B8HS15</t>
  </si>
  <si>
    <t xml:space="preserve">Ошибка Контактного датчика изображения CIS Shading BCU Ready в ходе операции Удержание из TE (Retract TE).</t>
  </si>
  <si>
    <t xml:space="preserve">5B8HS17</t>
  </si>
  <si>
    <t xml:space="preserve">Ошибка AFE Chip Set BCU Ready в ходе операции Удержание из TE (Retract TE).</t>
  </si>
  <si>
    <t xml:space="preserve">5B8HS18</t>
  </si>
  <si>
    <t xml:space="preserve">Ошибка ЦАП Set Fail BCU Ready в ходе операции Удержание из TE (Retract TE).</t>
  </si>
  <si>
    <t xml:space="preserve">5B8HS19</t>
  </si>
  <si>
    <t xml:space="preserve">Ошибка MR/UV/DD Sampling BCU Ready в ходе операции Удержание из TE (Retract TE).</t>
  </si>
  <si>
    <t xml:space="preserve">5B8HS1A</t>
  </si>
  <si>
    <t xml:space="preserve">Ошибка ЦАП Датчика Холла Set Fail BCU Ready в ходе операции Удержание из TE (Retract TE).</t>
  </si>
  <si>
    <t xml:space="preserve">5B8HS1B</t>
  </si>
  <si>
    <t xml:space="preserve">Ошибка Датчика Холла Shading Fail BCU Ready в ходе операции Удержание из TE (Retract TE).</t>
  </si>
  <si>
    <t xml:space="preserve">5B8HS22</t>
  </si>
  <si>
    <t xml:space="preserve">Ошибка Модуля Валидатора BC Stop Sensor (MR/UV/DD/Gate) Power Off Scan Driver Init в ходе операции Удержание из TE (Retract TE).</t>
  </si>
  <si>
    <t xml:space="preserve">5B8HS28</t>
  </si>
  <si>
    <t xml:space="preserve">Ошибка Модуля Валидатора BC Stop DAC Set Fail Scan Driver Init в ходе операции Удержание из TE (Retract TE).</t>
  </si>
  <si>
    <t xml:space="preserve">5B8HS29</t>
  </si>
  <si>
    <t xml:space="preserve">Ошибка Модуля Валидатора BC Stop MR/UV/DD Sampling BCU Ready в ходе операции Удержание из TE (Retract TE).</t>
  </si>
  <si>
    <t xml:space="preserve">5B8R100</t>
  </si>
  <si>
    <t xml:space="preserve">Модуль Валидатора BC вернул ошибку таймаута сообщения в ходе готовности к операции Удержание из TE (Retract TE).</t>
  </si>
  <si>
    <t xml:space="preserve">5B8R200</t>
  </si>
  <si>
    <t xml:space="preserve">Модуль Валидатора BC вернул ошибку таймаута сообщения при проведении транзакции в ходе операции Удержание из TE (Retract TE).</t>
  </si>
  <si>
    <t xml:space="preserve">5B8R300</t>
  </si>
  <si>
    <t xml:space="preserve">Модуль Валидатора BC вернул ошибку таймаута сообщения в ходе постпроцессинга ошибки операции Удержание из TE (Retract TE Error).</t>
  </si>
  <si>
    <t xml:space="preserve">5B8R900</t>
  </si>
  <si>
    <t xml:space="preserve">Модуль Валидатора BC вернул ошибку таймаута сообщения в ходе операции Удержание из TE (Retract TE).</t>
  </si>
  <si>
    <t xml:space="preserve">5B8S100</t>
  </si>
  <si>
    <t xml:space="preserve">Получена неправильная Информация о памяти MI от Модуля Валидатора банкнот BC в ходе операции Удержание из TE (Retract TE).</t>
  </si>
  <si>
    <t xml:space="preserve">5B8S200</t>
  </si>
  <si>
    <t xml:space="preserve">Получен ненормальный BCC от Модуля Валидатора банкнот в ходе операции Удержание из TE (Retract TE).</t>
  </si>
  <si>
    <t xml:space="preserve">5B8S400</t>
  </si>
  <si>
    <t xml:space="preserve">Получена ошибка ETC. от Модуля Валидатора банкнот BC в ходе операции Удержание из TE (Retract TE).</t>
  </si>
  <si>
    <t xml:space="preserve">5B8S900</t>
  </si>
  <si>
    <t xml:space="preserve">Повторная попытка завершилась ошибкой Модуля Валидатора банкнот BC в ходе операции Удержание из TE (Retract TE).</t>
  </si>
  <si>
    <t xml:space="preserve">5B91300</t>
  </si>
  <si>
    <t xml:space="preserve">Датчик Кассеты Отбраковки RJC GSA03 сообщил об ошибке замятия по Темному типу в ходе операции Удержание из TE (Retract TE).</t>
  </si>
  <si>
    <t xml:space="preserve">5B91500</t>
  </si>
  <si>
    <t xml:space="preserve">Датчик Кассеты Отбраковки RJC GSA05 сообщил об ошибке замятия по Темному типу в ходе операции Удержание из TE (Retract TE).</t>
  </si>
  <si>
    <t xml:space="preserve">5B9J100</t>
  </si>
  <si>
    <t xml:space="preserve">Переполненная Кассета Отбраковки RJC в ходе операции Удержание из TE (Retract TE).</t>
  </si>
  <si>
    <t xml:space="preserve">5B9P100</t>
  </si>
  <si>
    <t xml:space="preserve">Ошибка мотора Кассеты Отбраковки RJC в ходе операции Удержание из TE (Retract TE).</t>
  </si>
  <si>
    <t xml:space="preserve">5B9R100</t>
  </si>
  <si>
    <t xml:space="preserve">Ошибка тайм-аута сообщения Кассеты Отбраковки RJC в ходе готовности к операции Удержание из TE (Retract TE).</t>
  </si>
  <si>
    <t xml:space="preserve">5B9R200</t>
  </si>
  <si>
    <t xml:space="preserve">Ошибка тайм-аута сообщения Кассеты Отбраковки RJC при проведении транзакции в ходе операции Удержание из TE (Retract TE).</t>
  </si>
  <si>
    <t xml:space="preserve">5B9R300</t>
  </si>
  <si>
    <t xml:space="preserve">Ошибка тайм-аута сообщения Кассеты Отбраковки RJC в ходе постпроцессинга ошибки операции Удержание из TE (Retract TE Error).</t>
  </si>
  <si>
    <t xml:space="preserve">5BA2100</t>
  </si>
  <si>
    <t xml:space="preserve">Оставшиеся банкноты в Возвращающем Тракте (GS801) перед выполнением операции Удержание из TE (Retract TE).</t>
  </si>
  <si>
    <t xml:space="preserve">5BA2200</t>
  </si>
  <si>
    <t xml:space="preserve">Оставшиеся банкноты в Возвращающем Тракте (GS002) перед выполнением операции Удержание из TE (Retract TE).</t>
  </si>
  <si>
    <t xml:space="preserve">5BA2300</t>
  </si>
  <si>
    <t xml:space="preserve">Оставшиеся банкноты в Возвращающем Тракте (GS003) перед выполнением операции Удержание из TE (Retract TE).</t>
  </si>
  <si>
    <t xml:space="preserve">5BA2400</t>
  </si>
  <si>
    <t xml:space="preserve">Оставшиеся банкноты в Возвращающем Тракте (GS004) перед выполнением операции Удержание из TE (Retract TE).</t>
  </si>
  <si>
    <t xml:space="preserve">5BA2500</t>
  </si>
  <si>
    <t xml:space="preserve">Оставшиеся банкноты в Возвращающем Тракте (GS005) перед выполнением операции Удержание из TE (Retract TE).</t>
  </si>
  <si>
    <t xml:space="preserve">5BA2600</t>
  </si>
  <si>
    <t xml:space="preserve">Оставшиеся банкноты в Возвращающем Тракте (GS006) перед выполнением операции Удержание из TE (Retract TE).</t>
  </si>
  <si>
    <t xml:space="preserve">5BA2A00</t>
  </si>
  <si>
    <t xml:space="preserve">Оставшиеся банкноты в Возвращающем Тракте (GS021) перед выполнением операции Удержание из TE (Retract TE).</t>
  </si>
  <si>
    <t xml:space="preserve">5BA2B00</t>
  </si>
  <si>
    <t xml:space="preserve">Оставшиеся банкноты в Возвращающем Тракте (GS022) перед выполнением операции Удержание из TE (Retract TE).</t>
  </si>
  <si>
    <t xml:space="preserve">5BA2C00</t>
  </si>
  <si>
    <t xml:space="preserve">Произошла ошибка оставшихся банкнот в Модуле Валидатора банкнот BCU (Контактный датчик изображения CIS) в ходе операции Удержание из TE (Retract TE).</t>
  </si>
  <si>
    <t xml:space="preserve">5BA2G00</t>
  </si>
  <si>
    <t xml:space="preserve">Оставшиеся банкноты в Возвращающем Тракте (GS614) перед выполнением операции Удержание из TE (Retract TE).</t>
  </si>
  <si>
    <t xml:space="preserve">5BA2H00</t>
  </si>
  <si>
    <t xml:space="preserve">Оставшиеся банкноты в Возвращающем Тракте (GS618) перед выполнением операции Удержание из TE (Retract TE).</t>
  </si>
  <si>
    <t xml:space="preserve">5BA2J00</t>
  </si>
  <si>
    <t xml:space="preserve">Оставшиеся банкноты в Возвращающем Тракте (GS619) перед выполнением операции Удержание из TE (Retract TE).</t>
  </si>
  <si>
    <t xml:space="preserve">5BA2K00</t>
  </si>
  <si>
    <t xml:space="preserve">Оставшиеся банкноты в Возвращающем Тракте (GS703) перед выполнением операции Удержание из TE (Retract TE).</t>
  </si>
  <si>
    <t xml:space="preserve">5BA2M00</t>
  </si>
  <si>
    <t xml:space="preserve">Оставшиеся банкноты в Возвращающем Тракте (GS031) перед выполнением операции Удержание из TE (Retract TE).</t>
  </si>
  <si>
    <t xml:space="preserve">5BA2N00</t>
  </si>
  <si>
    <t xml:space="preserve">Оставшиеся банкноты в Возвращающем Тракте (GS032) перед выполнением операции Удержание из TE (Retract TE).</t>
  </si>
  <si>
    <t xml:space="preserve">5BA2P00</t>
  </si>
  <si>
    <t xml:space="preserve">Оставшиеся банкноты в Возвращающем Тракте (GS033) перед выполнением операции Удержание из TE (Retract TE).</t>
  </si>
  <si>
    <t xml:space="preserve">5BA2Q00</t>
  </si>
  <si>
    <t xml:space="preserve">Оставшиеся банкноты в Возвращающем Тракте (GS034) перед выполнением операции Удержание из TE (Retract TE).</t>
  </si>
  <si>
    <t xml:space="preserve">5BA2W00</t>
  </si>
  <si>
    <t xml:space="preserve">Оставшиеся банкноты в Возвращающем Тракте (GS802) перед выполнением операции Удержание из TE (Retract TE).</t>
  </si>
  <si>
    <t xml:space="preserve">5BAA100</t>
  </si>
  <si>
    <t xml:space="preserve">Вынутое состояние Вспомогательной (невостребованных/фальшивых банкнот) Кассеты UTC перед выполнением операции Удержание из TE (Retract TE).</t>
  </si>
  <si>
    <t xml:space="preserve">5BAA200</t>
  </si>
  <si>
    <t xml:space="preserve">Модуль временного хранения открыт перед выполнением операции Удержание из TE (Retract TE).</t>
  </si>
  <si>
    <t xml:space="preserve">5BAA300</t>
  </si>
  <si>
    <t xml:space="preserve">Отстыкованное состояние концевого переключателя (inter lock) Верхней части Модуля Рециркуляции Банкнот BMU перед выполнением операции Удержание из TE (Retract TE).</t>
  </si>
  <si>
    <t xml:space="preserve">5BAA400</t>
  </si>
  <si>
    <t xml:space="preserve">Выдвинутое состояние Верхней части Модуля Рециркуляции Банкнот BMU перед выполнением операции Удержание из TE (Retract TE).</t>
  </si>
  <si>
    <t xml:space="preserve">5BAA600</t>
  </si>
  <si>
    <t xml:space="preserve">Открыт Модуль обслуживания клиентов CSM перед выполнением операции Удержание из TE (Retract TE).</t>
  </si>
  <si>
    <t xml:space="preserve">5BAA700</t>
  </si>
  <si>
    <t xml:space="preserve">Вынутое состояние Кассеты Отбраковки RJC перед выполнением операции Удержание из TE (Retract TE).</t>
  </si>
  <si>
    <t xml:space="preserve">5BAA800</t>
  </si>
  <si>
    <t xml:space="preserve">Отстыкованное состояние концевого переключателя (inter lock) Нижней части Модуля Рециркуляции Банкнот BMD перед выполнением операции Удержание из TE (Retract TE).</t>
  </si>
  <si>
    <t xml:space="preserve">5BAA900</t>
  </si>
  <si>
    <t xml:space="preserve">Выдвинутое состояние Нижней части Модуля Рециркуляции Банкнот BMD перед выполнением операции Удержание из TE (Retract TE).</t>
  </si>
  <si>
    <t xml:space="preserve">5BAAA00</t>
  </si>
  <si>
    <t xml:space="preserve">Модуль Валидатора банкнот BC открыт перед работой в ходе операции Удержание из TE (Retract TE).</t>
  </si>
  <si>
    <t xml:space="preserve">5BAAB00</t>
  </si>
  <si>
    <t xml:space="preserve">Переполненная Кассета Рециркуляции RC перед выполнением операции Удержание из TE (Retract TE).</t>
  </si>
  <si>
    <t xml:space="preserve">5BAAC00</t>
  </si>
  <si>
    <t xml:space="preserve">Переполненная Кассета Отбраковки RJC перед выполнением операции Удержание из TE (Retract TE).</t>
  </si>
  <si>
    <t xml:space="preserve">5BAAD00</t>
  </si>
  <si>
    <t xml:space="preserve">Переполненная Вспомогательная кассета UTC1 перед выполнением операции Удержание из TE (Retract TE).</t>
  </si>
  <si>
    <t xml:space="preserve">5BAAE00</t>
  </si>
  <si>
    <t xml:space="preserve">Переполненная Вспомогательная кассета UTC2 перед выполнением операции Удержание из TE (Retract TE).</t>
  </si>
  <si>
    <t xml:space="preserve">5BAAF00</t>
  </si>
  <si>
    <t xml:space="preserve">Пустая Кассета Рециркуляции RC перед выполнением операции Удержание из TE (Retract TE).</t>
  </si>
  <si>
    <t xml:space="preserve">5BAAG00</t>
  </si>
  <si>
    <t xml:space="preserve">Кассета Рециркуляции RC не используется для сохранения подозрительных банкнот перед выполнением операции Удержание из TE (Retract TE).</t>
  </si>
  <si>
    <t xml:space="preserve">1. Убедитесь, что загружена Кассета Рециркуляции принимающая подозрительные банкноты 2. Выполните инициализацию Модуля Рециркуляции Банкнот BRM (Восстановление) 3. Исключите Кассету Рециркуляции принимающую подозрительные банкноты на время теста с использованием Модуля временного хранения_TE</t>
  </si>
  <si>
    <t xml:space="preserve">5BAAH00</t>
  </si>
  <si>
    <t xml:space="preserve">Вынутое состояние Кассеты Рециркуляции RC при сохранении банкнот, удержанных из CSM перед выполнением операции Удержание из TE (Retract TE).</t>
  </si>
  <si>
    <t xml:space="preserve">1. Убедитесь, что Кассета Рециркуляции для невостребованных банкнот установлена 2. Выполните инициализацию Модуля Рециркуляции Банкнот BRM (Восстановление) 3. Исключите Кассету Рециркуляции принимающую невостребованные банкноты на время теста с использованием Модуля временного хранения_TE</t>
  </si>
  <si>
    <t xml:space="preserve">5BAAJ00</t>
  </si>
  <si>
    <t xml:space="preserve">Вынутое состояние Кассеты Рециркуляции RC при сохранении нетипичных серийных номеров перед операцией в ходе операции Удержание из TE (Retract TE).</t>
  </si>
  <si>
    <t xml:space="preserve">5BAAK00</t>
  </si>
  <si>
    <t xml:space="preserve">Отсеки UTC1 и UTC2 назначены для удержания во Вспомогательной Кассете, которая не используется перед выполнением в ходе операции Удержание из TE (Retract TE).</t>
  </si>
  <si>
    <t xml:space="preserve">1. Проверьте настройки Сервис Провайдера SP. 2. Перезагрузите ПО верхнего AP и Среднего SP уровней3. Выполните операцию транзакции после установки параметров чтения системы в утилите TM Тестирование (Test) -&gt; Установка исходных данных (Initail Info Set) -&gt; Инициализация (Initialization)</t>
  </si>
  <si>
    <t xml:space="preserve">5BAE100</t>
  </si>
  <si>
    <t xml:space="preserve">Получена операция без выполнения команды установки начальных данных (Initail Info Set) в ходе операции Удержание из TE (Retract TE).</t>
  </si>
  <si>
    <t xml:space="preserve">5BAE200</t>
  </si>
  <si>
    <t xml:space="preserve">Состояние not operation при получении команды в ходе операции Удержание из TE (Retract TE).</t>
  </si>
  <si>
    <t xml:space="preserve">5BAE300</t>
  </si>
  <si>
    <t xml:space="preserve">Получена операция без выполнения команды чтения системных данных (Sysrem Info Read) в ходе операции Удержание из TE (Retract TE).</t>
  </si>
  <si>
    <t xml:space="preserve">5BAE400</t>
  </si>
  <si>
    <t xml:space="preserve">Транзакция Удержание из TE (Retract TE)  была выполнена без Инициализации после включения питания .</t>
  </si>
  <si>
    <t xml:space="preserve">5BAE600</t>
  </si>
  <si>
    <t xml:space="preserve">Ошибка обработки операции Удержание из TE (Retract TE) в ходе операции Работа кнопки TE (TE Button Operating).</t>
  </si>
  <si>
    <t xml:space="preserve">5BAEE00</t>
  </si>
  <si>
    <t xml:space="preserve">Нарушение последовательности сообщений интерфейса RS485 платы контроллера RBU в ходе операции Удержание из TE (Retract TE).</t>
  </si>
  <si>
    <t xml:space="preserve">5BAEF00</t>
  </si>
  <si>
    <t xml:space="preserve">Нарушение линии связи интерфейса RS485 платы контроллера RBU в ходе операции Удержание из TE (Retract TE).</t>
  </si>
  <si>
    <t xml:space="preserve">5BAH500</t>
  </si>
  <si>
    <t xml:space="preserve">Ошибка Чтения/Записи памяти NVRAM (128 деноминаций) в ходе операции Удержание из TE (Retract TE).</t>
  </si>
  <si>
    <t xml:space="preserve">5BAL100</t>
  </si>
  <si>
    <t xml:space="preserve">5BANE00</t>
  </si>
  <si>
    <t xml:space="preserve">Несоответствие счетчика разделения сдвоенных банкнот TE и счетчика набранных подозрительных банкнот в ходе операции Retract TE UTC.</t>
  </si>
  <si>
    <t xml:space="preserve">5BANG00</t>
  </si>
  <si>
    <t xml:space="preserve">Счётчик фальшивых банкнот отличается от счётчика набранных банкнот во Вспомогательной Кассете UTC2 в ходе операции Удержание из TE (Retract TE) при операции Пересчет Депозита (Deposit Count).</t>
  </si>
  <si>
    <t xml:space="preserve">5BANQ00</t>
  </si>
  <si>
    <t xml:space="preserve">Не удалось выполнить укладку в другую кассету при восстановлении замятия в ходе операции Удержание из TE (Retract TE).</t>
  </si>
  <si>
    <t xml:space="preserve">5BAR100</t>
  </si>
  <si>
    <t xml:space="preserve">Возвращена ошибка таймаута сообщения в ходе готовности к операции Удержание из TE (Retract TE).</t>
  </si>
  <si>
    <t xml:space="preserve">5BAR200</t>
  </si>
  <si>
    <t xml:space="preserve">Возвращена ошибка таймаута сообщения сообщения при проведении транзакции в ходе операции Удержание из TE (Retract TE).</t>
  </si>
  <si>
    <t xml:space="preserve">5BAR300</t>
  </si>
  <si>
    <t xml:space="preserve">Возвращена ошибка таймаута сообщения в ходе постпроцессинга ошибки операции Удержание из TE (Retract TE Error).</t>
  </si>
  <si>
    <t xml:space="preserve">5BAR700</t>
  </si>
  <si>
    <t xml:space="preserve">Контроллер RBU вернул ошибку таймаута сообщения в ходе операции Удержание из TE (Retract TE).</t>
  </si>
  <si>
    <t xml:space="preserve">5BAR900</t>
  </si>
  <si>
    <t xml:space="preserve">Ошибка таймаута сообщения готовности к укладке в процессе автовосстановления в ходе операции Удержание из TE (Retract TE).</t>
  </si>
  <si>
    <t xml:space="preserve">5BARA00</t>
  </si>
  <si>
    <t xml:space="preserve">Ошибка таймаута сообщения возврата банкнот BM в процессе автовосстановления в ходе операции Удержание из TE (Retract TE).</t>
  </si>
  <si>
    <t xml:space="preserve">5BARB00</t>
  </si>
  <si>
    <t xml:space="preserve">Процесс оставшихся банкнот вернул ошибку таймаута сообщения в процессе автовосстановления в ходе операции Удержание из TE (Retract TE).</t>
  </si>
  <si>
    <t xml:space="preserve">5BARJ00</t>
  </si>
  <si>
    <t xml:space="preserve">Возвращена ошибка таймаута сообщения при операции Начало Остановки (Stop Ready) в ходе операции Удержание из TE (Retract TE).</t>
  </si>
  <si>
    <t xml:space="preserve">5BAS800</t>
  </si>
  <si>
    <t xml:space="preserve">Значение счетчика набранных банкнот больше значения счетчика Оставшихся банкнот в процессе обновления счетчиков банкнот duringв ходе операции Удержание из TE (Retract TE).</t>
  </si>
  <si>
    <t xml:space="preserve">5BBH100</t>
  </si>
  <si>
    <t xml:space="preserve">Ошибка чтения памяти EEPROM Кассеты Рециркуляции RC1 в ходе операции Удержание из TE (Retract TE).</t>
  </si>
  <si>
    <t xml:space="preserve">5BBH200</t>
  </si>
  <si>
    <t xml:space="preserve">Ошибка чтения памяти EEPROM Кассеты Рециркуляции RC2 в ходе операции Удержание из TE (Retract TE).</t>
  </si>
  <si>
    <t xml:space="preserve">5BBH300</t>
  </si>
  <si>
    <t xml:space="preserve">Ошибка чтения памяти EEPROM Кассеты Рециркуляции RC3 в ходе операции Удержание из TE (Retract TE).</t>
  </si>
  <si>
    <t xml:space="preserve">5BBH400</t>
  </si>
  <si>
    <t xml:space="preserve">Ошибка чтения памяти EEPROM Кассеты Рециркуляции RC4 в ходе операции Удержание из TE (Retract TE).</t>
  </si>
  <si>
    <t xml:space="preserve">5BBH500</t>
  </si>
  <si>
    <t xml:space="preserve">Ошибка чтения памяти EEPROM Кассеты Рециркуляции RC5 в ходе операции Удержание из TE (Retract TE).</t>
  </si>
  <si>
    <t xml:space="preserve">5BBH600</t>
  </si>
  <si>
    <t xml:space="preserve">Ошибка записи памяти EEPROM Кассеты Рециркуляции RC1 в ходе операции Удержание из TE (Retract TE).</t>
  </si>
  <si>
    <t xml:space="preserve">5BBH700</t>
  </si>
  <si>
    <t xml:space="preserve">Ошибка записи памяти EEPROM Кассеты Рециркуляции RC2 в ходе операции Удержание из TE (Retract TE).</t>
  </si>
  <si>
    <t xml:space="preserve">5BBH800</t>
  </si>
  <si>
    <t xml:space="preserve">Ошибка записи памяти EEPROM Кассеты Рециркуляции RC3 в ходе операции Удержание из TE (Retract TE).</t>
  </si>
  <si>
    <t xml:space="preserve">5BBH900</t>
  </si>
  <si>
    <t xml:space="preserve">Ошибка записи памяти EEPROM Кассеты Рециркуляции RC4 в ходе операции Удержание из TE (Retract TE).</t>
  </si>
  <si>
    <t xml:space="preserve">5BBHA00</t>
  </si>
  <si>
    <t xml:space="preserve">Ошибка записи памяти EEPROM Кассеты Рециркуляции RC5 в ходе операции Удержание из TE (Retract TE).</t>
  </si>
  <si>
    <t xml:space="preserve">5BBHB00</t>
  </si>
  <si>
    <t xml:space="preserve">Ошибка проверки данных памяти EEPROM Кассеты Рециркуляции RC1 в ходе операции Удержание из TE (Retract TE).</t>
  </si>
  <si>
    <t xml:space="preserve">5BBHC00</t>
  </si>
  <si>
    <t xml:space="preserve">Ошибка проверки данных памяти EEPROM Кассеты Рециркуляции RC2 в ходе операции Удержание из TE (Retract TE).</t>
  </si>
  <si>
    <t xml:space="preserve">5BBHD00</t>
  </si>
  <si>
    <t xml:space="preserve">Ошибка проверки данных памяти EEPROM Кассеты Рециркуляции RC3 в ходе операции Удержание из TE (Retract TE).</t>
  </si>
  <si>
    <t xml:space="preserve">5BBHE00</t>
  </si>
  <si>
    <t xml:space="preserve">Ошибка проверки данных памяти EEPROM Кассеты Рециркуляции RC4 в ходе операции Удержание из TE (Retract TE).</t>
  </si>
  <si>
    <t xml:space="preserve">5BBHF00</t>
  </si>
  <si>
    <t xml:space="preserve">Ошибка проверки данных памяти EEPROM Кассеты Рециркуляции RC5 в ходе операции Удержание из TE (Retract TE).</t>
  </si>
  <si>
    <t xml:space="preserve">5BBHG00</t>
  </si>
  <si>
    <t xml:space="preserve">Не обнаружен концевой переключатель (интерлок) при Чтении/Записи памяти EEPROM Кассеты Рециркуляции RC в ходе операции Удержание из TE (Retract TE).</t>
  </si>
  <si>
    <t xml:space="preserve">5BBR000</t>
  </si>
  <si>
    <t xml:space="preserve">Превышено время ожидание ответа платы контроллера RBU в ходе операции Удержание из TE (Retract TE).</t>
  </si>
  <si>
    <t xml:space="preserve">5BBR700</t>
  </si>
  <si>
    <t xml:space="preserve">5BBS000</t>
  </si>
  <si>
    <t xml:space="preserve">Ошибка таймаута связи контроллера RBU в ходе операции Удержание из TE (Retract TE).</t>
  </si>
  <si>
    <t xml:space="preserve">5BBS100</t>
  </si>
  <si>
    <t xml:space="preserve">Ошибка последовательности сообщений платы контроллера RBU в ходе операции Удержание из TE (Retract TE).</t>
  </si>
  <si>
    <t xml:space="preserve">5BBS200</t>
  </si>
  <si>
    <t xml:space="preserve">Ошибка Информации о памяти MI в ходе соединения контроллера RBU в ходе операции Удержание из TE (Retract TE).</t>
  </si>
  <si>
    <t xml:space="preserve">5BUS100</t>
  </si>
  <si>
    <t xml:space="preserve">Ошибка дублирования номера последовательности USB в ходе операции Удержание из TE (Retract TE).</t>
  </si>
  <si>
    <t xml:space="preserve">5BUS300</t>
  </si>
  <si>
    <t xml:space="preserve">Ошибка длины данных команды USB  в ходе операции Удержание из TE (Retract TE).</t>
  </si>
  <si>
    <t xml:space="preserve">5C6H100</t>
  </si>
  <si>
    <t xml:space="preserve">Ошибка записи памяти EEPROM Модуля обслуживания клиентов CSM в ходе операции Чтение/Запись памяти EEPROM (EEPROM R/W).</t>
  </si>
  <si>
    <t xml:space="preserve">1. Проверьте ПЗУ EEPROM Модуля обслуживания клиентов CSM 2. Проверьте связь с ПЗУ EEPROM Модуля обслуживания клиентов CSM 3. Замените плату контроллера Модуля обслуживания клиентов в случае повторения ошибки чтения/записи ПЗУ EEPROM</t>
  </si>
  <si>
    <t xml:space="preserve">5C6H200</t>
  </si>
  <si>
    <t xml:space="preserve">Не удалось выполнить чтение памяти EEPROM Модуля обслуживания клиентов CSM в ходе операции Чтение/Запись памяти EEPROM (EEPROM R/W).</t>
  </si>
  <si>
    <t xml:space="preserve">5C7H300</t>
  </si>
  <si>
    <t xml:space="preserve">Ошибка записи в память EEPROM TE-контроллера в ходе операции Чтение/Запись памяти EEPROM (EEPROM R/W).</t>
  </si>
  <si>
    <t xml:space="preserve">1. Проверьте ПЗУ EEPROM Модуля Временного хранения_TE 2. Проверьте подключение к ПЗУ EEPROM Модуля временного хранения_TE 3. Замените плату контроллера Модуля временного хранения_TE в случае повторения ошибки в процессе выполнения Чтения/Записи в ПЗУ EEPROM</t>
  </si>
  <si>
    <t xml:space="preserve">5C7H400</t>
  </si>
  <si>
    <t xml:space="preserve">Не удалось выполнить чтение памяти EEPROM Модуля временного хранения_TE в ходе операции Чтение/Запись памяти EEPROM (EEPROM R/W).</t>
  </si>
  <si>
    <t xml:space="preserve">5CAE100</t>
  </si>
  <si>
    <t xml:space="preserve">Получена операция без выполнения команды установки начальных данных (Initail Info Set) в ходе операции Чтение/Запись памяти EEPROM (EEPROM R/W).</t>
  </si>
  <si>
    <t xml:space="preserve">5CAE200</t>
  </si>
  <si>
    <t xml:space="preserve">Состояние not operation при получении команды в ходе операции Чтение/Запись памяти EEPROM (EEPROM R/W).</t>
  </si>
  <si>
    <t xml:space="preserve">5CAE300</t>
  </si>
  <si>
    <t xml:space="preserve">Получена операция без выполнения команды чтения системных данных (Sysrem Info Read) в ходе операции Чтение/Запись памяти EEPROM (EEPROM R/W).</t>
  </si>
  <si>
    <t xml:space="preserve">5CAE400</t>
  </si>
  <si>
    <t xml:space="preserve">Транзакция Чтение/Запись ПЗУ (EEPROM R/W) была выполнена без Инициализации после включения питания .</t>
  </si>
  <si>
    <t xml:space="preserve">5CAE600</t>
  </si>
  <si>
    <t xml:space="preserve">Ошибка обработки операции Чтение/Запись памяти EEPROM (EEPROM R/W) в ходе операции Работа кнопки TE (TE Button Operating).</t>
  </si>
  <si>
    <t xml:space="preserve">5CAEE00</t>
  </si>
  <si>
    <t xml:space="preserve">Нарушение последовательности сообщений интерфейса RS485 платы контроллера RBU в ходе операции Чтение/Запись памяти EEPROM (EEPROM R/W).</t>
  </si>
  <si>
    <t xml:space="preserve">5CAEF00</t>
  </si>
  <si>
    <t xml:space="preserve">Нарушение линии связи интерфейса RS485 платы контроллера RBU в ходе операции Чтение/Запись памяти EEPROM (EEPROM R/W).</t>
  </si>
  <si>
    <t xml:space="preserve">5CAH500</t>
  </si>
  <si>
    <t xml:space="preserve">Ошибка Чтения/Записи памяти NVRAM (128 деноминаций) в ходе операции Чтение/Запись памяти EEPROM (EEPROM R/W).</t>
  </si>
  <si>
    <t xml:space="preserve">5CAH600</t>
  </si>
  <si>
    <t xml:space="preserve">Ошибка записи в память EEPROM MAIN-контроллера в ходе операции Чтение/Запись памяти EEPROM (EEPROM R/W).</t>
  </si>
  <si>
    <t xml:space="preserve">1. Выполните инициализацию Модуля Рециркуляции Банкнот BRM (Восстановление)  2. Перезагрузите банкомат when same error occured after initialization 3. Replace the Main B/D if same error occures during initialization</t>
  </si>
  <si>
    <t xml:space="preserve">5CAH700</t>
  </si>
  <si>
    <t xml:space="preserve">Не удалось выполнить чтение памяти EEPROM Основного контроллера в ходе операции Чтение/Запись памяти EEPROM (EEPROM R/W).</t>
  </si>
  <si>
    <t xml:space="preserve">5CAS100</t>
  </si>
  <si>
    <t xml:space="preserve">Выбранный модуль не существует при получении команды Чтения/Записи памяти EEPROM (EPROM R/W Command).</t>
  </si>
  <si>
    <t xml:space="preserve">5CAS200</t>
  </si>
  <si>
    <t xml:space="preserve">Выбраннанная опция записи не существует при получении команды Чтения/Записи памяти EEPROM (EPROM R/W Command).</t>
  </si>
  <si>
    <t xml:space="preserve">5CBH100</t>
  </si>
  <si>
    <t xml:space="preserve">Ошибка чтения памяти EEPROM Кассеты Рециркуляции RC1 в ходе операции Чтение/Запись памяти EEPROM (EEPROM R/W).</t>
  </si>
  <si>
    <t xml:space="preserve">5CBH200</t>
  </si>
  <si>
    <t xml:space="preserve">Ошибка чтения памяти EEPROM Кассеты Рециркуляции RC2 в ходе операции Чтение/Запись памяти EEPROM (EEPROM R/W).</t>
  </si>
  <si>
    <t xml:space="preserve">5CBH300</t>
  </si>
  <si>
    <t xml:space="preserve">Ошибка чтения памяти EEPROM Кассеты Рециркуляции RC3 в ходе операции Чтение/Запись памяти EEPROM (EEPROM R/W).</t>
  </si>
  <si>
    <t xml:space="preserve">5CBH400</t>
  </si>
  <si>
    <t xml:space="preserve">Ошибка чтения памяти EEPROM Кассеты Рециркуляции RC4 в ходе операции Чтение/Запись памяти EEPROM (EEPROM R/W).</t>
  </si>
  <si>
    <t xml:space="preserve">5CBH500</t>
  </si>
  <si>
    <t xml:space="preserve">Ошибка чтения памяти EEPROM Кассеты Рециркуляции RC5 в ходе операции Чтение/Запись памяти EEPROM (EEPROM R/W).</t>
  </si>
  <si>
    <t xml:space="preserve">5CBH600</t>
  </si>
  <si>
    <t xml:space="preserve">Ошибка записи памяти EEPROM Кассеты Рециркуляции RC1 в ходе операции Чтение/Запись памяти EEPROM (EEPROM R/W).</t>
  </si>
  <si>
    <t xml:space="preserve">5CBH700</t>
  </si>
  <si>
    <t xml:space="preserve">Ошибка записи памяти EEPROM Кассеты Рециркуляции RC2 в ходе операции Чтение/Запись памяти EEPROM (EEPROM R/W).</t>
  </si>
  <si>
    <t xml:space="preserve">5CBH800</t>
  </si>
  <si>
    <t xml:space="preserve">Ошибка записи памяти EEPROM Кассеты Рециркуляции RC3 в ходе операции Чтение/Запись памяти EEPROM (EEPROM R/W).</t>
  </si>
  <si>
    <t xml:space="preserve">5CBH900</t>
  </si>
  <si>
    <t xml:space="preserve">Ошибка записи памяти EEPROM Кассеты Рециркуляции RC4 в ходе операции Чтение/Запись памяти EEPROM (EEPROM R/W).</t>
  </si>
  <si>
    <t xml:space="preserve">5CBHA00</t>
  </si>
  <si>
    <t xml:space="preserve">Ошибка записи памяти EEPROM Кассеты Рециркуляции RC5 в ходе операции Чтение/Запись памяти EEPROM (EEPROM R/W).</t>
  </si>
  <si>
    <t xml:space="preserve">5CBHB00</t>
  </si>
  <si>
    <t xml:space="preserve">Ошибка проверки данных памяти EEPROM Кассеты Рециркуляции RC1 в ходе операции Чтение/Запись памяти EEPROM (EEPROM R/W).</t>
  </si>
  <si>
    <t xml:space="preserve">5CBHC00</t>
  </si>
  <si>
    <t xml:space="preserve">Ошибка проверки данных памяти EEPROM Кассеты Рециркуляции RC2 в ходе операции Чтение/Запись памяти EEPROM (EEPROM R/W).</t>
  </si>
  <si>
    <t xml:space="preserve">5CBHD00</t>
  </si>
  <si>
    <t xml:space="preserve">Ошибка проверки данных памяти EEPROM Кассеты Рециркуляции RC3 в ходе операции Чтение/Запись памяти EEPROM (EEPROM R/W).</t>
  </si>
  <si>
    <t xml:space="preserve">5CBHE00</t>
  </si>
  <si>
    <t xml:space="preserve">Ошибка проверки данных памяти EEPROM Кассеты Рециркуляции RC4 в ходе операции Чтение/Запись памяти EEPROM (EEPROM R/W).</t>
  </si>
  <si>
    <t xml:space="preserve">5CBHF00</t>
  </si>
  <si>
    <t xml:space="preserve">Ошибка проверки данных памяти EEPROM Кассеты Рециркуляции RC5 в ходе операции Чтение/Запись памяти EEPROM (EEPROM R/W).</t>
  </si>
  <si>
    <t xml:space="preserve">5CBHG00</t>
  </si>
  <si>
    <t xml:space="preserve">Не обнаружен концевой переключатель (интерлок) в ходе операции Чтение/Запись памяти EEPROM (EEPROM R/W).</t>
  </si>
  <si>
    <t xml:space="preserve">5CBHW00</t>
  </si>
  <si>
    <t xml:space="preserve">Ошибка записи в память EEPROM RBU-контроллера в ходе операции Чтение/Запись памяти EEPROM (EEPROM R/W).</t>
  </si>
  <si>
    <t xml:space="preserve">1. Выполните инициализацию Модуля Рециркуляции Банкнот BRM (Восстановление)  2. Перезагрузите банкомат when same error occured after initialization 3. Replace the RBU B/D if same error occures during initialization</t>
  </si>
  <si>
    <t xml:space="preserve">5CBHX00</t>
  </si>
  <si>
    <t xml:space="preserve">Не удалось выполнить чтение памяти EEPROM платы контроллера RBU  в ходе операции Чтение/Запись памяти EEPROM (EEPROM R/W).</t>
  </si>
  <si>
    <t xml:space="preserve">5CBHY00</t>
  </si>
  <si>
    <t xml:space="preserve">не удалось проверить данные памяти EEPROM платы контроллера RBU в ходе операции Чтение/Запись памяти EEPROM (EEPROM R/W).</t>
  </si>
  <si>
    <t xml:space="preserve">5CBR000</t>
  </si>
  <si>
    <t xml:space="preserve">Превышено время ожидание ответа платы контроллера RBU в ходе операции Чтение/Запись памяти EEPROM (EEPROM R/W).</t>
  </si>
  <si>
    <t xml:space="preserve">5CBR700</t>
  </si>
  <si>
    <t xml:space="preserve">Контроллер RBU вернул ошибку таймаута сообщения в ходе операции Чтение/Запись памяти EEPROM (EEPROM R/W).</t>
  </si>
  <si>
    <t xml:space="preserve">5CBS000</t>
  </si>
  <si>
    <t xml:space="preserve">Ошибка таймаута связи контроллера RBU в ходе операции Чтение/Запись памяти EEPROM (EEPROM R/W).</t>
  </si>
  <si>
    <t xml:space="preserve">5CBS100</t>
  </si>
  <si>
    <t xml:space="preserve">Ошибка последовательности сообщений платы контроллера RBU в ходе операции Чтение/Запись памяти EEPROM (EEPROM R/W).</t>
  </si>
  <si>
    <t xml:space="preserve">5CBS200</t>
  </si>
  <si>
    <t xml:space="preserve">Ошибка Информации о памяти MI в ходе соединения контроллера RBU в ходе операции Чтение/Запись памяти EEPROM (EEPROM R/W).</t>
  </si>
  <si>
    <t xml:space="preserve">5CS0200</t>
  </si>
  <si>
    <t xml:space="preserve">Шаттер не закрылся после получения команды закрытия шаттера (MS1 Темный). Наполовину закрыт (MS2 Светлый).</t>
  </si>
  <si>
    <t xml:space="preserve">1. Проверьте не мешает ли посторонний предмет закрытию шторки шаттера 2. Проверьте, что датчик исходного положения мотора работает нормально в случае повторения ошибки и отсутствия посторонних предметов</t>
  </si>
  <si>
    <t xml:space="preserve">5CS1200</t>
  </si>
  <si>
    <t xml:space="preserve">Шаттер не закрылся после получения команды закрытия шаттера (MS1 Темный). Открыт полностью (MS2 Темный).</t>
  </si>
  <si>
    <t xml:space="preserve">5CS1400</t>
  </si>
  <si>
    <t xml:space="preserve">Обнаружены посторонние предметы в Шаттере при закрытии шторки Шаттера  команды закрытия (Датчик HS4 Темный).</t>
  </si>
  <si>
    <t xml:space="preserve">1. Проверьте наличие посторонних предметов в шторке шаттера</t>
  </si>
  <si>
    <t xml:space="preserve">5CS3200</t>
  </si>
  <si>
    <t xml:space="preserve">Проблема датчика (MS1 &amp; MS2) исходного положения мотора (MS1 Светлый &amp; MS2 Тёмный).</t>
  </si>
  <si>
    <t xml:space="preserve">1. Ошибка датчика исходного положения мотора 2. Проверьте датчик исходного положения мотора 3. Проверьте работоспособность моторов MS1 и MS2</t>
  </si>
  <si>
    <t xml:space="preserve">5CSSE00</t>
  </si>
  <si>
    <t xml:space="preserve">Последовательный номер задвоен с командой close.</t>
  </si>
  <si>
    <t xml:space="preserve">1. Проверьте детали последовательного номера пакета отправляемызх команд</t>
  </si>
  <si>
    <t xml:space="preserve">5CUS100</t>
  </si>
  <si>
    <t xml:space="preserve">Ошибка дублирования номера последовательности USB в ходе операции Чтение/Запись памяти EEPROM (EEPROM R/W).</t>
  </si>
  <si>
    <t xml:space="preserve">5CUS300</t>
  </si>
  <si>
    <t xml:space="preserve">Ошибка длины данных команды USB  в ходе операции Чтение/Запись памяти EEPROM (EEPROM R/W).</t>
  </si>
  <si>
    <t xml:space="preserve">5D00100</t>
  </si>
  <si>
    <t xml:space="preserve">GS801 сообщил об ошибке замятия по Светлому типу в ходе операции Инициализация (Iintialize).</t>
  </si>
  <si>
    <t xml:space="preserve">5D00200</t>
  </si>
  <si>
    <t xml:space="preserve">GS002 сообщил об ошибке замятия по Светлому типу в ходе операции Инициализация (Iintialize).</t>
  </si>
  <si>
    <t xml:space="preserve">5D00300</t>
  </si>
  <si>
    <t xml:space="preserve">GS003 сообщил об ошибке замятия по Светлому типу в ходе операции Инициализация (Iintialize).</t>
  </si>
  <si>
    <t xml:space="preserve">5D00400</t>
  </si>
  <si>
    <t xml:space="preserve">GS004 сообщил об ошибке замятия по Светлому типу в ходе операции Инициализация (Iintialize).</t>
  </si>
  <si>
    <t xml:space="preserve">5D00500</t>
  </si>
  <si>
    <t xml:space="preserve">GS005 сообщил об ошибке замятия по Светлому типу в ходе операции Инициализация (Iintialize).</t>
  </si>
  <si>
    <t xml:space="preserve">5D00600</t>
  </si>
  <si>
    <t xml:space="preserve">GS006 сообщил об ошибке замятия по Светлому типу в ходе операции Инициализация (Iintialize).</t>
  </si>
  <si>
    <t xml:space="preserve">5D00A00</t>
  </si>
  <si>
    <t xml:space="preserve">GS021 сообщил об ошибке замятия по Светлому типу в ходе операции Инициализация (Iintialize).</t>
  </si>
  <si>
    <t xml:space="preserve">5D00B00</t>
  </si>
  <si>
    <t xml:space="preserve">GS022 сообщил об ошибке замятия по Светлому типу в ходе операции Инициализация (Iintialize).</t>
  </si>
  <si>
    <t xml:space="preserve">5D00G00</t>
  </si>
  <si>
    <t xml:space="preserve">GS614 сообщил об ошибке замятия по Светлому типу в ходе операции Инициализация (Iintialize).</t>
  </si>
  <si>
    <t xml:space="preserve">5D00H00</t>
  </si>
  <si>
    <t xml:space="preserve">GS618 сообщил об ошибке замятия по Светлому типу в ходе операции Инициализация (Iintialize).</t>
  </si>
  <si>
    <t xml:space="preserve">5D00J00</t>
  </si>
  <si>
    <t xml:space="preserve">GS619 сообщил об ошибке замятия по Светлому типу в ходе операции Инициализация (Iintialize).</t>
  </si>
  <si>
    <t xml:space="preserve">5D00M00</t>
  </si>
  <si>
    <t xml:space="preserve">GS031 сообщил об ошибке замятия по Светлому типу в ходе операции Инициализация (Iintialize).</t>
  </si>
  <si>
    <t xml:space="preserve">5D00N00</t>
  </si>
  <si>
    <t xml:space="preserve">GS032 сообщил об ошибке замятия по Светлому типу в ходе операции Инициализация (Iintialize).</t>
  </si>
  <si>
    <t xml:space="preserve">5D00P00</t>
  </si>
  <si>
    <t xml:space="preserve">GS033 сообщил об ошибке замятия по Светлому типу в ходе операции Инициализация (Iintialize).</t>
  </si>
  <si>
    <t xml:space="preserve">5D00Q00</t>
  </si>
  <si>
    <t xml:space="preserve">GS034 сообщил об ошибке замятия по Светлому типу в ходе операции Инициализация (Iintialize).</t>
  </si>
  <si>
    <t xml:space="preserve">5D00W00</t>
  </si>
  <si>
    <t xml:space="preserve">GS802 сообщил об ошибке замятия по Светлому типу в ходе операции Инициализация (Iintialize).</t>
  </si>
  <si>
    <t xml:space="preserve">5D01100</t>
  </si>
  <si>
    <t xml:space="preserve">GS801 сообщил об ошибке замятия по Темному типу в ходе операции Инициализация (Iintialize).</t>
  </si>
  <si>
    <t xml:space="preserve">5D01200</t>
  </si>
  <si>
    <t xml:space="preserve">GS002 сообщил об ошибке замятия по Темному типу в ходе операции Инициализация (Iintialize).</t>
  </si>
  <si>
    <t xml:space="preserve">5D01300</t>
  </si>
  <si>
    <t xml:space="preserve">GS003 сообщил об ошибке замятия по Темному типу в ходе операции Инициализация (Iintialize).</t>
  </si>
  <si>
    <t xml:space="preserve">5D01400</t>
  </si>
  <si>
    <t xml:space="preserve">GS004 сообщил об ошибке замятия по Темному типу в ходе операции Инициализация (Iintialize).</t>
  </si>
  <si>
    <t xml:space="preserve">5D01500</t>
  </si>
  <si>
    <t xml:space="preserve">GS005 сообщил об ошибке замятия по Темному типу в ходе операции Инициализация (Iintialize).</t>
  </si>
  <si>
    <t xml:space="preserve">5D01600</t>
  </si>
  <si>
    <t xml:space="preserve">GS006 сообщил об ошибке замятия по Темному типу в ходе операции Инициализация (Iintialize).</t>
  </si>
  <si>
    <t xml:space="preserve">5D01A00</t>
  </si>
  <si>
    <t xml:space="preserve">GS021 сообщил об ошибке замятия по Темному типу в ходе операции Инициализация (Iintialize).</t>
  </si>
  <si>
    <t xml:space="preserve">5D01B00</t>
  </si>
  <si>
    <t xml:space="preserve">GS022 сообщил об ошибке замятия по Темному типу в ходе операции Инициализация (Iintialize).</t>
  </si>
  <si>
    <t xml:space="preserve">5D01G00</t>
  </si>
  <si>
    <t xml:space="preserve">GS614 сообщил об ошибке замятия по Темному типу в ходе операции Инициализация (Iintialize).</t>
  </si>
  <si>
    <t xml:space="preserve">5D01H00</t>
  </si>
  <si>
    <t xml:space="preserve">GS618 сообщил об ошибке замятия по Темному типу в ходе операции Инициализация (Iintialize).</t>
  </si>
  <si>
    <t xml:space="preserve">5D01J00</t>
  </si>
  <si>
    <t xml:space="preserve">GS619 сообщил об ошибке замятия по Темному типу в ходе операции Инициализация (Iintialize).</t>
  </si>
  <si>
    <t xml:space="preserve">5D01K00</t>
  </si>
  <si>
    <t xml:space="preserve">GS703 сообщил об ошибке замятия по Темному типу в ходе операции Инициализация (Iintialize).</t>
  </si>
  <si>
    <t xml:space="preserve">5D01M00</t>
  </si>
  <si>
    <t xml:space="preserve">GS031 сообщил об ошибке замятия по Темному типу в ходе операции Инициализация (Iintialize).</t>
  </si>
  <si>
    <t xml:space="preserve">5D01N00</t>
  </si>
  <si>
    <t xml:space="preserve">GS032 сообщил об ошибке замятия по Темному типу в ходе операции Инициализация (Iintialize).</t>
  </si>
  <si>
    <t xml:space="preserve">5D01P00</t>
  </si>
  <si>
    <t xml:space="preserve">GS033 сообщил об ошибке замятия по Темному типу в ходе операции Инициализация (Iintialize).</t>
  </si>
  <si>
    <t xml:space="preserve">5D01Q00</t>
  </si>
  <si>
    <t xml:space="preserve">GS034 сообщил об ошибке замятия по Темному типу в ходе операции Инициализация (Iintialize).</t>
  </si>
  <si>
    <t xml:space="preserve">5D01W00</t>
  </si>
  <si>
    <t xml:space="preserve">GS802 сообщил об ошибке замятия по Темному типу в ходе операции Инициализация (Iintialize).</t>
  </si>
  <si>
    <t xml:space="preserve">5D02100</t>
  </si>
  <si>
    <t xml:space="preserve">Произошла ошибка оставшихся банкнот в области датчика GS801 в ходе операции Инициализация (Iintialize).</t>
  </si>
  <si>
    <t xml:space="preserve">5D02200</t>
  </si>
  <si>
    <t xml:space="preserve">Произошла ошибка оставшихся банкнот в области датчика GS002 в ходе операции Инициализация (Iintialize).</t>
  </si>
  <si>
    <t xml:space="preserve">5D02300</t>
  </si>
  <si>
    <t xml:space="preserve">Произошла ошибка оставшихся банкнот в области датчика GS003 в ходе операции Инициализация (Iintialize).</t>
  </si>
  <si>
    <t xml:space="preserve">5D02400</t>
  </si>
  <si>
    <t xml:space="preserve">Произошла ошибка оставшихся банкнот в области датчика GS004 в ходе операции Инициализация (Iintialize).</t>
  </si>
  <si>
    <t xml:space="preserve">5D02500</t>
  </si>
  <si>
    <t xml:space="preserve">Произошла ошибка оставшихся банкнот в области датчика GS005 в ходе операции Инициализация (Iintialize).</t>
  </si>
  <si>
    <t xml:space="preserve">5D02600</t>
  </si>
  <si>
    <t xml:space="preserve">Произошла ошибка оставшихся банкнот в области датчика GS006 в ходе операции Инициализация (Iintialize).</t>
  </si>
  <si>
    <t xml:space="preserve">5D02A00</t>
  </si>
  <si>
    <t xml:space="preserve">Произошла ошибка оставшихся банкнот в области датчика GS021 в ходе операции Инициализация (Iintialize).</t>
  </si>
  <si>
    <t xml:space="preserve">5D02B00</t>
  </si>
  <si>
    <t xml:space="preserve">Произошла ошибка оставшихся банкнот в области датчика GS022 в ходе операции Инициализация (Iintialize).</t>
  </si>
  <si>
    <t xml:space="preserve">5D02G00</t>
  </si>
  <si>
    <t xml:space="preserve">Произошла ошибка оставшихся банкнот в области датчика GS614 в ходе операции Инициализация (Iintialize).</t>
  </si>
  <si>
    <t xml:space="preserve">5D02H00</t>
  </si>
  <si>
    <t xml:space="preserve">Произошла ошибка оставшихся банкнот в области датчика GS618 в ходе операции Инициализация (Iintialize).</t>
  </si>
  <si>
    <t xml:space="preserve">5D02J00</t>
  </si>
  <si>
    <t xml:space="preserve">Произошла ошибка оставшихся банкнот в области датчика GS619 в ходе операции Инициализация (Iintialize).</t>
  </si>
  <si>
    <t xml:space="preserve">5D02K00</t>
  </si>
  <si>
    <t xml:space="preserve">Произошла ошибка оставшихся банкнот в области датчика GS703 в ходе операции Инициализация (Iintialize).</t>
  </si>
  <si>
    <t xml:space="preserve">5D02M00</t>
  </si>
  <si>
    <t xml:space="preserve">Произошла ошибка оставшихся банкнот в области датчика GS031 в ходе операции Инициализация (Iintialize).</t>
  </si>
  <si>
    <t xml:space="preserve">5D02N00</t>
  </si>
  <si>
    <t xml:space="preserve">Произошла ошибка оставшихся банкнот в области датчика GS032 в ходе операции Инициализация (Iintialize).</t>
  </si>
  <si>
    <t xml:space="preserve">5D02P00</t>
  </si>
  <si>
    <t xml:space="preserve">Произошла ошибка оставшихся банкнот в области датчика GS033 в ходе операции Инициализация (Iintialize).</t>
  </si>
  <si>
    <t xml:space="preserve">5D02Q00</t>
  </si>
  <si>
    <t xml:space="preserve">Произошла ошибка оставшихся банкнот в области датчика GS034 в ходе операции Инициализация (Iintialize).</t>
  </si>
  <si>
    <t xml:space="preserve">5D02W00</t>
  </si>
  <si>
    <t xml:space="preserve">Произошла ошибка оставшихся банкнот в области датчика GS802 в ходе операции Инициализация (Iintialize).</t>
  </si>
  <si>
    <t xml:space="preserve">5D05100</t>
  </si>
  <si>
    <t xml:space="preserve">Произошла ошибка Транспортного Тракта по данным датчика GS801 в ходе операции Инициализация (Iintialize).</t>
  </si>
  <si>
    <t xml:space="preserve">5D05200</t>
  </si>
  <si>
    <t xml:space="preserve">Произошла ошибка Транспортного Тракта по данным датчика GS002 в ходе операции Инициализация (Iintialize).</t>
  </si>
  <si>
    <t xml:space="preserve">5D05300</t>
  </si>
  <si>
    <t xml:space="preserve">Произошла ошибка Транспортного Тракта по данным датчика GS003 в ходе операции Инициализация (Iintialize).</t>
  </si>
  <si>
    <t xml:space="preserve">5D05400</t>
  </si>
  <si>
    <t xml:space="preserve">Произошла ошибка Транспортного Тракта по данным датчика GS004 в ходе операции Инициализация (Iintialize).</t>
  </si>
  <si>
    <t xml:space="preserve">5D05500</t>
  </si>
  <si>
    <t xml:space="preserve">Произошла ошибка Транспортного Тракта по данным датчика GS005 в ходе операции Инициализация (Iintialize).</t>
  </si>
  <si>
    <t xml:space="preserve">5D05600</t>
  </si>
  <si>
    <t xml:space="preserve">Произошла ошибка Транспортного Тракта по данным датчика GS006 в ходе операции Инициализация (Iintialize).</t>
  </si>
  <si>
    <t xml:space="preserve">5D05A00</t>
  </si>
  <si>
    <t xml:space="preserve">Произошла ошибка Транспортного Тракта по данным датчика GS021 в ходе операции Инициализация (Iintialize).</t>
  </si>
  <si>
    <t xml:space="preserve">5D05B00</t>
  </si>
  <si>
    <t xml:space="preserve">Произошла ошибка Транспортного Тракта по данным датчика GS022 в ходе операции Инициализация (Iintialize).</t>
  </si>
  <si>
    <t xml:space="preserve">5D05D00</t>
  </si>
  <si>
    <t xml:space="preserve">5D05G00</t>
  </si>
  <si>
    <t xml:space="preserve">Произошла ошибка Транспортного Тракта по данным датчика GS614 в ходе операции Инициализация (Iintialize).</t>
  </si>
  <si>
    <t xml:space="preserve">5D05H00</t>
  </si>
  <si>
    <t xml:space="preserve">Произошла ошибка Транспортного Тракта по данным датчика GS618 в ходе операции Инициализация (Iintialize).</t>
  </si>
  <si>
    <t xml:space="preserve">5D05J00</t>
  </si>
  <si>
    <t xml:space="preserve">Произошла ошибка Транспортного Тракта по данным датчика GS619 в ходе операции Инициализация (Iintialize).</t>
  </si>
  <si>
    <t xml:space="preserve">5D05K00</t>
  </si>
  <si>
    <t xml:space="preserve">Произошла ошибка Транспортного Тракта по данным датчика GS703 в ходе операции Инициализация (Iintialize).</t>
  </si>
  <si>
    <t xml:space="preserve">5D05M00</t>
  </si>
  <si>
    <t xml:space="preserve">Произошла ошибка Транспортного Тракта по данным датчика GS031 в ходе операции Инициализация (Iintialize).</t>
  </si>
  <si>
    <t xml:space="preserve">5D05N00</t>
  </si>
  <si>
    <t xml:space="preserve">Произошла ошибка Транспортного Тракта по данным датчика GS032 в ходе операции Инициализация (Iintialize).</t>
  </si>
  <si>
    <t xml:space="preserve">5D05P00</t>
  </si>
  <si>
    <t xml:space="preserve">Произошла ошибка Транспортного Тракта по данным датчика GS033 в ходе операции Инициализация (Iintialize).</t>
  </si>
  <si>
    <t xml:space="preserve">5D05Q00</t>
  </si>
  <si>
    <t xml:space="preserve">Произошла ошибка Транспортного Тракта по данным датчика GS034 в ходе операции Инициализация (Iintialize).</t>
  </si>
  <si>
    <t xml:space="preserve">5D05W00</t>
  </si>
  <si>
    <t xml:space="preserve">GS802 error occurred by the Transport Path в ходе операции Инициализация (Iintialize).</t>
  </si>
  <si>
    <t xml:space="preserve">5D06G00</t>
  </si>
  <si>
    <t xml:space="preserve">Произошла ошибка Возвращающего Транспортного Тракта (датчик GS614) в ходе операции Инициализация (Iintialize).</t>
  </si>
  <si>
    <t xml:space="preserve">5D06H00</t>
  </si>
  <si>
    <t xml:space="preserve">Произошла ошибка Возвращающего Транспортного Тракта (датчик GS618) в ходе операции Инициализация (Iintialize).</t>
  </si>
  <si>
    <t xml:space="preserve">5D06J00</t>
  </si>
  <si>
    <t xml:space="preserve">Произошла ошибка Возвращающего Транспортного Тракта (датчик GS619) в ходе операции Инициализация (Iintialize).</t>
  </si>
  <si>
    <t xml:space="preserve">5D07100</t>
  </si>
  <si>
    <t xml:space="preserve">Произошла ошибка порядка следования банкнот в области датчика GS801 в ходе операции Инициализация (Iintialize).</t>
  </si>
  <si>
    <t xml:space="preserve">5D07200</t>
  </si>
  <si>
    <t xml:space="preserve">Произошла ошибка порядка следования банкнот в области датчика GS002 в ходе операции Инициализация (Iintialize).</t>
  </si>
  <si>
    <t xml:space="preserve">5D07300</t>
  </si>
  <si>
    <t xml:space="preserve">Произошла ошибка порядка следования банкнот в области датчика GS003 в ходе операции Инициализация (Iintialize).</t>
  </si>
  <si>
    <t xml:space="preserve">5D07400</t>
  </si>
  <si>
    <t xml:space="preserve">Произошла ошибка порядка следования банкнот в области датчика GS004 в ходе операции Инициализация (Iintialize).</t>
  </si>
  <si>
    <t xml:space="preserve">5D07500</t>
  </si>
  <si>
    <t xml:space="preserve">Произошла ошибка порядка следования банкнот в области датчика GS005 в ходе операции Инициализация (Iintialize).</t>
  </si>
  <si>
    <t xml:space="preserve">5D07600</t>
  </si>
  <si>
    <t xml:space="preserve">Произошла ошибка порядка следования банкнот в области датчика GS006 в ходе операции Инициализация (Iintialize).</t>
  </si>
  <si>
    <t xml:space="preserve">5D07A00</t>
  </si>
  <si>
    <t xml:space="preserve">Произошла ошибка порядка следования банкнот в области датчика GS021 в ходе операции Инициализация (Iintialize).</t>
  </si>
  <si>
    <t xml:space="preserve">1. Откройте верхнюю часть Модуля Рециркуляции Банкнот 2. Удалите банкноты и посторонние предметы из Среднего Транспортного Тракта (13) 3. В случае отсутствия банкнот или посторонних предметов проверьте не загрязнен ли датчик</t>
  </si>
  <si>
    <t xml:space="preserve">5D07B00</t>
  </si>
  <si>
    <t xml:space="preserve">Произошла ошибка порядка следования банкнот в области датчика GS022 в ходе операции Инициализация (Iintialize).</t>
  </si>
  <si>
    <t xml:space="preserve">5D07G00</t>
  </si>
  <si>
    <t xml:space="preserve">Произошла ошибка порядка следования банкнот в области датчика GS614 в ходе операции Инициализация (Iintialize).</t>
  </si>
  <si>
    <t xml:space="preserve">5D07H00</t>
  </si>
  <si>
    <t xml:space="preserve">Произошла ошибка порядка следования банкнот в области датчика GS618 в ходе операции Инициализация (Iintialize).</t>
  </si>
  <si>
    <t xml:space="preserve">5D07J00</t>
  </si>
  <si>
    <t xml:space="preserve">Произошла ошибка порядка следования банкнот в области датчика GS619 в ходе операции Инициализация (Iintialize).</t>
  </si>
  <si>
    <t xml:space="preserve">5D07K00</t>
  </si>
  <si>
    <t xml:space="preserve">Произошла ошибка порядка следования банкнот в области датчика GS703 в ходе операции Инициализация (Iintialize).</t>
  </si>
  <si>
    <t xml:space="preserve">5D07M00</t>
  </si>
  <si>
    <t xml:space="preserve">Произошла ошибка порядка следования банкнот в области датчика GS031 в ходе операции Инициализация (Iintialize).</t>
  </si>
  <si>
    <t xml:space="preserve">5D07N00</t>
  </si>
  <si>
    <t xml:space="preserve">Произошла ошибка порядка следования банкнот в области датчика GS032 в ходе операции Инициализация (Iintialize).</t>
  </si>
  <si>
    <t xml:space="preserve">5D07P00</t>
  </si>
  <si>
    <t xml:space="preserve">Произошла ошибка порядка следования банкнот в области датчика GS033 в ходе операции Инициализация (Iintialize).</t>
  </si>
  <si>
    <t xml:space="preserve">5D07Q00</t>
  </si>
  <si>
    <t xml:space="preserve">Произошла ошибка порядка следования банкнот в области датчика GS034 в ходе операции Инициализация (Iintialize).</t>
  </si>
  <si>
    <t xml:space="preserve">5D07W00</t>
  </si>
  <si>
    <t xml:space="preserve">Произошла ошибка порядка следования банкнот в области датчика GS802 в ходе операции Инициализация (Iintialize).</t>
  </si>
  <si>
    <t xml:space="preserve">5D0DR00</t>
  </si>
  <si>
    <t xml:space="preserve">Ошибка синхронизации распознованияв ходе операции Инициализация (Iintialize).</t>
  </si>
  <si>
    <t xml:space="preserve">5D0DS00</t>
  </si>
  <si>
    <t xml:space="preserve">5D0DT00</t>
  </si>
  <si>
    <t xml:space="preserve">5D0DU00</t>
  </si>
  <si>
    <t xml:space="preserve">5D0DV00</t>
  </si>
  <si>
    <t xml:space="preserve">5D0DW00</t>
  </si>
  <si>
    <t xml:space="preserve">Error of failure to synchronizing recognition в ходе операции Инициализация (Iintialize).</t>
  </si>
  <si>
    <t xml:space="preserve">5D0DX00</t>
  </si>
  <si>
    <t xml:space="preserve">5D0DY00</t>
  </si>
  <si>
    <t xml:space="preserve">5D0F100</t>
  </si>
  <si>
    <t xml:space="preserve">Ошибка motor step out return двигателя GM001 в ходе операции Инициализация (Iintialize).</t>
  </si>
  <si>
    <t xml:space="preserve">5D0F200</t>
  </si>
  <si>
    <t xml:space="preserve">Ошибка motor step out return двигателя GM002 в ходе операции Инициализация (Iintialize).</t>
  </si>
  <si>
    <t xml:space="preserve">5D0F400</t>
  </si>
  <si>
    <t xml:space="preserve">Ошибка motor step out return двигателя GM004 в ходе операции Инициализация (Iintialize).</t>
  </si>
  <si>
    <t xml:space="preserve">5D0F500</t>
  </si>
  <si>
    <t xml:space="preserve">Снижено кол-во счетов энкодера двигателя GM001 относительно предыдущих значений в ходе операции Инициализация (Iintialize).</t>
  </si>
  <si>
    <t xml:space="preserve">5D0F600</t>
  </si>
  <si>
    <t xml:space="preserve">Снижено кол-во счетов энкодера двигателя GM002 относительно предыдущих значений в ходе операции Инициализация (Iintialize).</t>
  </si>
  <si>
    <t xml:space="preserve">5D0F700</t>
  </si>
  <si>
    <t xml:space="preserve">Снижено кол-во счетов энкодера двигателя GM004 относительно предыдущих значений в ходе операции Инициализация (Iintialize).</t>
  </si>
  <si>
    <t xml:space="preserve">5D0G100</t>
  </si>
  <si>
    <t xml:space="preserve">Не удалось переключить 3-х направленный Затвор Тракта в режим 0-го градуса в ходе операции Инициализация (Iintialize).</t>
  </si>
  <si>
    <t xml:space="preserve">5D0G200</t>
  </si>
  <si>
    <t xml:space="preserve">Не удалось переключить 3-х направленный Затвор Тракта в 120 градусный режим в ходе операции Инициализация (Iintialize).</t>
  </si>
  <si>
    <t xml:space="preserve">5D0L100</t>
  </si>
  <si>
    <t xml:space="preserve">Ошибка процесса укладки из-за сбоя вызванного оставшимия банкнотами в области датчика GS801  в ходе операции Инициализация (Iintialize).</t>
  </si>
  <si>
    <t xml:space="preserve">5D0L200</t>
  </si>
  <si>
    <t xml:space="preserve">Ошибка процесса укладки из-за сбоя вызванного оставшимия банкнотами в области датчика GS002 в ходе операции Инициализация (Iintialize).</t>
  </si>
  <si>
    <t xml:space="preserve">5D0L300</t>
  </si>
  <si>
    <t xml:space="preserve">Ошибка процесса укладки из-за сбоя вызванного оставшимия банкнотами в области датчика GS003  в ходе операции Инициализация (Iintialize).</t>
  </si>
  <si>
    <t xml:space="preserve">5D0L400</t>
  </si>
  <si>
    <t xml:space="preserve">Ошибка процесса укладки из-за сбоя вызванного оставшимия банкнотами в области датчика GS004  в ходе операции Инициализация (Iintialize).</t>
  </si>
  <si>
    <t xml:space="preserve">5D0L500</t>
  </si>
  <si>
    <t xml:space="preserve">Ошибка процесса укладки из-за сбоя вызванного оставшимия банкнотами в области датчика GS005  в ходе операции Инициализация (Iintialize).</t>
  </si>
  <si>
    <t xml:space="preserve">5D0L600</t>
  </si>
  <si>
    <t xml:space="preserve">Ошибка процесса укладки из-за сбоя вызванного оставшимия банкнотами в области датчика GS006  в ходе операции Инициализация (Iintialize).</t>
  </si>
  <si>
    <t xml:space="preserve">5D0LA00</t>
  </si>
  <si>
    <r>
      <rPr>
        <sz val="10"/>
        <rFont val="Arial Cyr"/>
        <family val="0"/>
        <charset val="204"/>
      </rPr>
      <t xml:space="preserve">Ошибка процесса укладки из-за сбоя вызванного оставшимия банкнотами в области датчика GS021  в ходе операции Инициализация (Iintialize). </t>
    </r>
    <r>
      <rPr>
        <b val="true"/>
        <sz val="10"/>
        <rFont val="Arial Cyr"/>
        <family val="0"/>
        <charset val="204"/>
      </rPr>
      <t xml:space="preserve">Если ошибка проявляется часто, необходима регулировка соосности</t>
    </r>
  </si>
  <si>
    <t xml:space="preserve">1. Откройте Hижнюю часть Модуля Рециркуляции Банкнот 2. Удалите банкноты и посторонние предметы из Среднего Транспортного Тракта (13) 3. В случае отсутствия банкнот или посторонних предметов проверьте не загрязнен ли датчик</t>
  </si>
  <si>
    <t xml:space="preserve">5D0LB00</t>
  </si>
  <si>
    <t xml:space="preserve">Ошибка процесса укладки из-за сбоя вызванного оставшимия банкнотами в области датчика GS022  в ходе операции Инициализация (Iintialize).</t>
  </si>
  <si>
    <t xml:space="preserve">5D0LG00</t>
  </si>
  <si>
    <t xml:space="preserve">Ошибка процесса укладки из-за сбоя вызванного оставшимия банкнотами в области датчика GS614  в ходе операции Инициализация (Iintialize).</t>
  </si>
  <si>
    <t xml:space="preserve">5D0LH00</t>
  </si>
  <si>
    <t xml:space="preserve">Ошибка процесса укладки из-за сбоя вызванного оставшимия банкнотами в области датчика GS618  в ходе операции Инициализация (Iintialize).</t>
  </si>
  <si>
    <t xml:space="preserve">5D0LJ00</t>
  </si>
  <si>
    <t xml:space="preserve">Ошибка процесса укладки из-за сбоя вызванного оставшимия банкнотами в области датчика GS619  в ходе операции Инициализация (Iintialize).</t>
  </si>
  <si>
    <t xml:space="preserve">5D0LK00</t>
  </si>
  <si>
    <t xml:space="preserve">Ошибка процесса укладки из-за сбоя вызванного оставшимия банкнотами в области датчика GS703  в ходе операции Инициализация (Iintialize).</t>
  </si>
  <si>
    <t xml:space="preserve">1. Откройте верхнюю часть Модуля Рециркуляции Банкнот 2. Откройте модуль Временного хранения_TE (Временный Эскроу) (12) 3. Прокрутите круглую ручку Модуля временного хранения_TE (12) 4. Удалите банкноты и посторонние предметы из Заднего Транспортного Тракта (11) 5. В случае отсутствия банкнот или посторонних предметов проверьте не загрязнен ли датчик</t>
  </si>
  <si>
    <t xml:space="preserve">5D0LM00</t>
  </si>
  <si>
    <t xml:space="preserve">Ошибка процесса укладки из-за сбоя вызванного оставшимия банкнотами в области датчика GS031  в ходе операции Инициализация (Iintialize).</t>
  </si>
  <si>
    <t xml:space="preserve">5D0LN00</t>
  </si>
  <si>
    <t xml:space="preserve">Ошибка процесса укладки из-за сбоя вызванного оставшимия банкнотами в области датчика GS032  в ходе операции Инициализация (Iintialize).</t>
  </si>
  <si>
    <t xml:space="preserve">5D0LP00</t>
  </si>
  <si>
    <t xml:space="preserve">Ошибка процесса укладки из-за сбоя вызванного оставшимия банкнотами в области датчика GS033  в ходе операции Инициализация (Iintialize).</t>
  </si>
  <si>
    <t xml:space="preserve">5D0LQ00</t>
  </si>
  <si>
    <t xml:space="preserve">Ошибка процесса укладки из-за сбоя вызванного оставшимия банкнотами в области датчика GS034  в ходе операции Инициализация (Iintialize).</t>
  </si>
  <si>
    <t xml:space="preserve">5D0LR00</t>
  </si>
  <si>
    <t xml:space="preserve">Ошибка процесса укладки из-за сбоя вызванного оставшимия банкнотами в области датчика GS105  в ходе операции Инициализация (Iintialize).</t>
  </si>
  <si>
    <t xml:space="preserve">5D0LS00</t>
  </si>
  <si>
    <t xml:space="preserve">Ошибка процесса укладки из-за сбоя вызванного оставшимия банкнотами в области датчика GS205  в ходе операции Инициализация (Iintialize).</t>
  </si>
  <si>
    <t xml:space="preserve">5D0LT00</t>
  </si>
  <si>
    <t xml:space="preserve">Ошибка процесса укладки из-за сбоя вызванного оставшимия банкнотами в области датчика GS305  в ходе операции Инициализация (Iintialize).</t>
  </si>
  <si>
    <t xml:space="preserve">5D0LU00</t>
  </si>
  <si>
    <t xml:space="preserve">Ошибка процесса укладки из-за сбоя вызванного оставшимия банкнотами в области датчика GS405  в ходе операции Инициализация (Iintialize).</t>
  </si>
  <si>
    <t xml:space="preserve">5D0LV00</t>
  </si>
  <si>
    <t xml:space="preserve">Ошибка процесса укладки из-за сбоя вызванного оставшимия банкнотами в области датчика GS505  в ходе операции Инициализация (Iintialize).</t>
  </si>
  <si>
    <t xml:space="preserve">5D0LW00</t>
  </si>
  <si>
    <t xml:space="preserve">Ошибка процесса укладки из-за сбоя вызванного оставшимия банкнотами в области датчика GS802  в ходе операции Инициализация (Iintialize).</t>
  </si>
  <si>
    <t xml:space="preserve">5D0LZ00</t>
  </si>
  <si>
    <t xml:space="preserve">Не удалось набрать замятые банкноты в пачку в предшествующем Транспортном Тракте в ходе операции Инициализация (Iintialize).</t>
  </si>
  <si>
    <t xml:space="preserve">1. Откройте верхнюю части Модуля Рециркуляции Банкнот.
 2. Откройте Модуль обслуживания клиентов (CSM) / Модуль временного хранения_TE (Временный эскроу)
 3. Откройте модуль Валидатора банкнот
 4. Удалите банкнотыs и посторонние предметы
 5. В случае отсутствия банкнот или посторонних предметов проверьте не загрязнен ли датчик</t>
  </si>
  <si>
    <t xml:space="preserve">5D0N700</t>
  </si>
  <si>
    <t xml:space="preserve">Ошибка счетчика укладки датчика GSx05 (введено более 2-х банкнот) в ходе операции Инициализация (Initialize) после Ошибки Выдачи (Withdrawal Error).</t>
  </si>
  <si>
    <t xml:space="preserve">5D0N800</t>
  </si>
  <si>
    <t xml:space="preserve">Повторяющаяся ошибка датчика GSx05 по Темному типу в ходе операции Инициализация (Iintialize) after Withdrawal Error.</t>
  </si>
  <si>
    <t xml:space="preserve">5D0N900</t>
  </si>
  <si>
    <t xml:space="preserve">Кол-во набранных банкнот не совпадает с кол-вом уложенных банкнот при завершении разделения в ходе операции Инициализация (Initialize).</t>
  </si>
  <si>
    <t xml:space="preserve">5D0NA00</t>
  </si>
  <si>
    <t xml:space="preserve">No Result при предыдущем распознавании банкот при разделении банкнот из TE в ходе операции Инициализация (Iintialize).</t>
  </si>
  <si>
    <t xml:space="preserve">5D0NC00</t>
  </si>
  <si>
    <t xml:space="preserve">Не удалось проверить последнюю банкноту в окончании Среднего Транспортного Тракта в ходе операции Инициализация (Iintialize).</t>
  </si>
  <si>
    <t xml:space="preserve">5D0NK00</t>
  </si>
  <si>
    <t xml:space="preserve">Ошибка No gate for insertion в ходе операции Инициализация (Iintialize).</t>
  </si>
  <si>
    <t xml:space="preserve">5D0Q100</t>
  </si>
  <si>
    <t xml:space="preserve">Ошибка установки Вспомогательной Кассеты UTC в ходе операции Инициализация (Iintialize).</t>
  </si>
  <si>
    <t xml:space="preserve">5D0Q200</t>
  </si>
  <si>
    <t xml:space="preserve">Ошибка открытого Модуля временного хранения (TE) в ходе операции Инициализация (Iintialize).</t>
  </si>
  <si>
    <t xml:space="preserve">5D0Q300</t>
  </si>
  <si>
    <t xml:space="preserve">Ошибка концевого переключателя BMU в ходе операции Инициализация (Iintialize).</t>
  </si>
  <si>
    <t xml:space="preserve">5D0Q400</t>
  </si>
  <si>
    <t xml:space="preserve">Ошибка установки BMU в ходе операции Инициализация (Iintialize).</t>
  </si>
  <si>
    <t xml:space="preserve">5D0Q500</t>
  </si>
  <si>
    <t xml:space="preserve">Сейфовая дверь открыта в ходе операции Инициализация (Iintialize).</t>
  </si>
  <si>
    <t xml:space="preserve">5D0Q600</t>
  </si>
  <si>
    <t xml:space="preserve">Ошибка открытия CSM в ходе операции Инициализация (Iintialize).</t>
  </si>
  <si>
    <t xml:space="preserve">5D0Q700</t>
  </si>
  <si>
    <t xml:space="preserve">Ошибка вынутой Кассеты Отбраковки RJC в ходе операции Инициализация (Iintialize).</t>
  </si>
  <si>
    <t xml:space="preserve">5D0Q800</t>
  </si>
  <si>
    <t xml:space="preserve">Ошибка концевого переключателя BMD в ходе операции Инициализация (Iintialize).</t>
  </si>
  <si>
    <t xml:space="preserve">5D0Q900</t>
  </si>
  <si>
    <t xml:space="preserve">Ошибка положения BMD в ходе операции Инициализация (Iintialize).</t>
  </si>
  <si>
    <t xml:space="preserve">5D0QA00</t>
  </si>
  <si>
    <t xml:space="preserve">Ошибка открытия BC в ходе операции Инициализация (Iintialize).</t>
  </si>
  <si>
    <t xml:space="preserve">5D0R100</t>
  </si>
  <si>
    <t xml:space="preserve">BM вернул ошибку таймаута сообщения в ходе готовности к операции Инициализация (Initialize).</t>
  </si>
  <si>
    <t xml:space="preserve">5D0R200</t>
  </si>
  <si>
    <t xml:space="preserve">BM вернул ошибку таймаута сообщения при проведении транзакции в ходе операции Инициализация (Initialize).</t>
  </si>
  <si>
    <t xml:space="preserve">5D0R300</t>
  </si>
  <si>
    <t xml:space="preserve">BM вернул ошибку таймаута сообщения в ходе постпроцессинга ошибки операции Инициализация (Initialize Error).</t>
  </si>
  <si>
    <t xml:space="preserve">5D10500</t>
  </si>
  <si>
    <t xml:space="preserve">GS105 замятие в области датчика по Светлому типу в ходе операции Инициализация (Iintialize).</t>
  </si>
  <si>
    <t xml:space="preserve">5D11100</t>
  </si>
  <si>
    <t xml:space="preserve">GS101 замятие в области датчика в ходе операции Инициализация (Iintialize).</t>
  </si>
  <si>
    <t xml:space="preserve">5D11200</t>
  </si>
  <si>
    <t xml:space="preserve">GS102 замятие в области датчика в ходе операции Инициализация (Iintialize).</t>
  </si>
  <si>
    <t xml:space="preserve">5D11500</t>
  </si>
  <si>
    <t xml:space="preserve">GS105 замятие в области датчика в ходе операции Инициализация (Iintialize).</t>
  </si>
  <si>
    <t xml:space="preserve">5D12100</t>
  </si>
  <si>
    <t xml:space="preserve">Произошла ошибка оставшихся банкнот в области датчика GS101 в ходе операции Инициализация (Iintialize).</t>
  </si>
  <si>
    <t xml:space="preserve">5D12200</t>
  </si>
  <si>
    <t xml:space="preserve">Произошла ошибка оставшихся банкнот в области датчика GS102 в ходе операции Инициализация (Iintialize).</t>
  </si>
  <si>
    <t xml:space="preserve">5D12500</t>
  </si>
  <si>
    <t xml:space="preserve">Произошла ошибка оставшихся банкнот в области датчика GS105 в ходе операции Инициализация (Iintialize).</t>
  </si>
  <si>
    <t xml:space="preserve">5D15500</t>
  </si>
  <si>
    <t xml:space="preserve">Произошла ошибка Транспортного Тракта (датчик GS105) Инициализация (Initialize).</t>
  </si>
  <si>
    <t xml:space="preserve">5D16500</t>
  </si>
  <si>
    <t xml:space="preserve">Произошла ошибка Возвращающего Транспортного Тракта (датчик GS105) в ходе операции Инициализация (Iintialize).</t>
  </si>
  <si>
    <t xml:space="preserve">5D17500</t>
  </si>
  <si>
    <t xml:space="preserve">Произошла ошибка порядка следования банкнот в области датчика GS105 в ходе операции Initialiize.</t>
  </si>
  <si>
    <t xml:space="preserve">5D1G100</t>
  </si>
  <si>
    <t xml:space="preserve">Не удалось вернуть банкноты в Кассету Рециркуляции RC1 в ходе операции Инициализация (Iintialize).</t>
  </si>
  <si>
    <t xml:space="preserve">5D1G200</t>
  </si>
  <si>
    <t xml:space="preserve">Не удалось переместить Прижимную Пластину Кассеты Рециркуляции RC1 в укладывающее положение в ходе операции Инициализация (Iintialize).</t>
  </si>
  <si>
    <t xml:space="preserve">5D1G400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</si>
  <si>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Инициализация (Initialize).</t>
  </si>
  <si>
    <t xml:space="preserve">5D1G500</t>
  </si>
  <si>
    <t xml:space="preserve">Сбой обратного хода укладывающего ролика Кассеты Рециркуляции RC1 в ходе операции Инициализация (Iintialize).(ошибка датчика)</t>
  </si>
  <si>
    <t xml:space="preserve">5D1G600</t>
  </si>
  <si>
    <t xml:space="preserve">Превышен предел количества попыток перемещений укладывающего ролика Кассеты Рециркуляции RC1 в ходе операции Инициализация (Iintialize).</t>
  </si>
  <si>
    <t xml:space="preserve">5D1G700</t>
  </si>
  <si>
    <t xml:space="preserve">Не удалось переместить подающий ролик Кассеты Рециркуляции RC1 в исходное положение в ходе операции Инициализация (Iintialize).</t>
  </si>
  <si>
    <t xml:space="preserve">5D1G800</t>
  </si>
  <si>
    <t xml:space="preserve">Не удалось переместить Прижимную Пластину в прижимающее положение Кассеты Рециркуляции RC1 в ходе операции Инициализация (Iintialize).</t>
  </si>
  <si>
    <t xml:space="preserve">5D1GA00</t>
  </si>
  <si>
    <t xml:space="preserve">Ошибка неправильного потока сообщений Кассеты Рециркуляции RC1 в ходе операции Инициализация (Iintialize).</t>
  </si>
  <si>
    <t xml:space="preserve">5D1GB00</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</si>
  <si>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Инициализация (Iintialize)..</t>
  </si>
  <si>
    <t xml:space="preserve">5D1GC00</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</si>
  <si>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Инициализация (Iintialize)..</t>
  </si>
  <si>
    <t xml:space="preserve">5D1GD00</t>
  </si>
  <si>
    <t xml:space="preserve">Датчики GS101, GS102 обнаружили лишние банкноты в ходе операции Инициализация (Iintialize).</t>
  </si>
  <si>
    <t xml:space="preserve">5D1GE00</t>
  </si>
  <si>
    <t xml:space="preserve">Обнаружено превышение кол-ва банкнот при перемещении FM в исходное положение по данным датчика GS108 (нажим при разделении) в ходе операции Инициализация (Initialize).</t>
  </si>
  <si>
    <t xml:space="preserve">5D1GF00</t>
  </si>
  <si>
    <t xml:space="preserve">Обнаружено превышение кол-ва банкнот по данным датчиков GS108 (нажим при разделении) и GS112 (Нижнее положение) в ходе операции Инициализация (Initialize).</t>
  </si>
  <si>
    <t xml:space="preserve">5D1GG00</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</si>
  <si>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Инициализация (Iintialize).</t>
  </si>
  <si>
    <t xml:space="preserve">5D1GH00</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</si>
  <si>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Инициализация (Iintialize).</t>
  </si>
  <si>
    <t xml:space="preserve">5D1GJ00</t>
  </si>
  <si>
    <t xml:space="preserve">Сбой обратного хода укладывающего ролика Кассеты Рециркуляции RC1 в ходе операции Инициализация (Iintialize).(Перерасход)</t>
  </si>
  <si>
    <t xml:space="preserve">5D1GK00</t>
  </si>
  <si>
    <t xml:space="preserve">Сбой обратного хода укладывающего ролика Кассеты Рециркуляции RC1 в ходе операции Инициализация (Iintialize). (Ошибка состояния двигателя)</t>
  </si>
  <si>
    <t xml:space="preserve">5D1GL00</t>
  </si>
  <si>
    <t xml:space="preserve">Не удалось переместить подающий ролик Кассеты Рециркуляции RC1 в исходное положение в ходе операции Инициализация (Iintialize).(Ошибка состояния двигателя)</t>
  </si>
  <si>
    <t xml:space="preserve">5D1J300</t>
  </si>
  <si>
    <t xml:space="preserve">Ошибка проверки переполнения Кассеты Рециркуляции RC1 в ходе операции Инициализация (Iintialize).</t>
  </si>
  <si>
    <t xml:space="preserve">5D1R100</t>
  </si>
  <si>
    <t xml:space="preserve">Ошибка тайм-аута сообщения Кассеты Рециркуляции RC1 в ходе готовности к операции Инициализация (Initialize).</t>
  </si>
  <si>
    <t xml:space="preserve">5D1R200</t>
  </si>
  <si>
    <t xml:space="preserve">Ошибка тайм-аута сообщения Кассеты Рециркуляции RC1 при проведении транзакции в ходе операции Инициализация (Initialize).</t>
  </si>
  <si>
    <t xml:space="preserve">5D1R300</t>
  </si>
  <si>
    <t xml:space="preserve">Ошибка тайм-аута сообщения Кассеты Рециркуляции RC1 в ходе постпроцессинга ошибки операции Инициализация (Initialize Error).</t>
  </si>
  <si>
    <t xml:space="preserve">5D1S100</t>
  </si>
  <si>
    <t xml:space="preserve">Возвращено неизвестное значение Кассеты Рециркуляции RC1 в ходе операции Инициализация (Iintialize).</t>
  </si>
  <si>
    <t xml:space="preserve">5D1S200</t>
  </si>
  <si>
    <t xml:space="preserve">Неизвестная команда RC1 в ходе операции Инициализация (Iintialize).</t>
  </si>
  <si>
    <t xml:space="preserve">5D20500</t>
  </si>
  <si>
    <t xml:space="preserve">GS205 замятие в области датчика по Светлому типу в ходе операции Инициализация (Iintialize).</t>
  </si>
  <si>
    <t xml:space="preserve">5D21100</t>
  </si>
  <si>
    <t xml:space="preserve">GS201 замятие в области датчика в ходе операции Инициализация (Iintialize).</t>
  </si>
  <si>
    <t xml:space="preserve">5D21200</t>
  </si>
  <si>
    <t xml:space="preserve">GS202 замятие в области датчика в ходе операции Инициализация (Iintialize).</t>
  </si>
  <si>
    <t xml:space="preserve">5D21500</t>
  </si>
  <si>
    <t xml:space="preserve">GS205 замятие в области датчика в ходе операции Инициализация (Iintialize).</t>
  </si>
  <si>
    <t xml:space="preserve">5D22100</t>
  </si>
  <si>
    <t xml:space="preserve">Произошла ошибка оставшихся банкнот в области датчика GS201 в ходе операции Инициализация (Iintialize).</t>
  </si>
  <si>
    <t xml:space="preserve">5D22200</t>
  </si>
  <si>
    <t xml:space="preserve">Произошла ошибка оставшихся банкнот в области датчика GS202 в ходе операции Инициализация (Iintialize).</t>
  </si>
  <si>
    <t xml:space="preserve">5D22500</t>
  </si>
  <si>
    <t xml:space="preserve">Произошла ошибка оставшихся банкнот в области датчика GS205 в ходе операции Инициализация (Iintialize).</t>
  </si>
  <si>
    <t xml:space="preserve">5D25500</t>
  </si>
  <si>
    <t xml:space="preserve">Произошла ошибка Транспортного Тракта по данным датчика GS205 в ходе операции Инициализация (Iintialize).</t>
  </si>
  <si>
    <t xml:space="preserve">5D26500</t>
  </si>
  <si>
    <t xml:space="preserve">Произошла ошибка Возвращающего Транспортного Тракта (датчик GS205) в ходе операции Инициализация (Iintialize).</t>
  </si>
  <si>
    <t xml:space="preserve">5D27500</t>
  </si>
  <si>
    <t xml:space="preserve">Произошла ошибка порядка следования банкнот в области датчика GS205 в ходе операции Инициализация (Iintialize).</t>
  </si>
  <si>
    <t xml:space="preserve">5D2G100</t>
  </si>
  <si>
    <t xml:space="preserve">Не удалось вернуть банкноты в Кассету Рециркуляции RC2 в ходе операции Инициализация (Iintialize).</t>
  </si>
  <si>
    <t xml:space="preserve">5D2G200</t>
  </si>
  <si>
    <t xml:space="preserve">Не удалось переместить Прижимную Пластину Кассеты Рециркуляции RC2 в укладывающее положение в ходе операции Инициализация (Iintialize).</t>
  </si>
  <si>
    <t xml:space="preserve">5D2G400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</si>
  <si>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Инициализация (Initialize).</t>
  </si>
  <si>
    <t xml:space="preserve">5D2G500</t>
  </si>
  <si>
    <t xml:space="preserve">Сбой обратного хода укладывающего ролика Кассеты Рециркуляции RC2 в ходе операции Инициализация (Iintialize).(ошибка датчика)</t>
  </si>
  <si>
    <t xml:space="preserve">5D2G600</t>
  </si>
  <si>
    <t xml:space="preserve">Превышен предел количества попыток перемещений укладывающего ролика Кассеты Рециркуляции RC2 в ходе операции Инициализация (Iintialize).</t>
  </si>
  <si>
    <t xml:space="preserve">5D2G700</t>
  </si>
  <si>
    <t xml:space="preserve">Не удалось переместить подающий ролик Кассеты Рециркуляции RC2 в исходное положение в ходе операции Инициализация (Iintialize).</t>
  </si>
  <si>
    <t xml:space="preserve">5D2G800</t>
  </si>
  <si>
    <t xml:space="preserve">Не удалось переместить Прижимную Пластину в прижимающее положение Кассеты Рециркуляции RC2 в ходе операции Инициализация (Iintialize).</t>
  </si>
  <si>
    <t xml:space="preserve">5D2GA00</t>
  </si>
  <si>
    <t xml:space="preserve">Ошибка неправильного потока сообщений Кассеты Рециркуляции RC2 в ходе операции Инициализация (Iintialize).</t>
  </si>
  <si>
    <t xml:space="preserve">5D2GB00</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</si>
  <si>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Инициализация (Iintialize).</t>
  </si>
  <si>
    <t xml:space="preserve">5D2GC00</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</si>
  <si>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Инициализация (Iintialize).</t>
  </si>
  <si>
    <t xml:space="preserve">5D2GD00</t>
  </si>
  <si>
    <t xml:space="preserve">Датчики GS201, GS202 обнаружили лишние банкноты в ходе операции Инициализация (Iintialize).</t>
  </si>
  <si>
    <t xml:space="preserve">5D2GE00</t>
  </si>
  <si>
    <t xml:space="preserve">Обнаружено превышение кол-ва банкнот при перемещении FM в исходное положение по данным датчика GS208 (нажим при разделении) в ходе операции Инициализация (Initialize).</t>
  </si>
  <si>
    <t xml:space="preserve">5D2GF00</t>
  </si>
  <si>
    <t xml:space="preserve">Обнаружено превышение кол-ва банкнот по данным датчиков GS208 (нажим при разделении) и GS212 (Нижнее положение) в ходе операции Инициализация (Initialize).</t>
  </si>
  <si>
    <t xml:space="preserve">5D2GG00</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</si>
  <si>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Инициализация (Iintialize).</t>
  </si>
  <si>
    <t xml:space="preserve">5D2GH00</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</si>
  <si>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Инициализация (Iintialize).</t>
  </si>
  <si>
    <t xml:space="preserve">5D2GJ00</t>
  </si>
  <si>
    <t xml:space="preserve">Сбой обратного хода укладывающего ролика Кассеты Рециркуляции RC2 в ходе операции Инициализация (Iintialize).(Перерасход)</t>
  </si>
  <si>
    <t xml:space="preserve">5D2GK00</t>
  </si>
  <si>
    <t xml:space="preserve">Сбой обратного хода укладывающего ролика Кассеты Рециркуляции RC2 в ходе операции Инициализация (Iintialize). (Ошибка состояния двигателя)</t>
  </si>
  <si>
    <t xml:space="preserve">5D2GL00</t>
  </si>
  <si>
    <t xml:space="preserve">Не удалось переместить подающий ролик Кассеты Рециркуляции RC2 в исходное положение в ходе операции Инициализация (Iintialize).(Ошибка состояния двигателя)</t>
  </si>
  <si>
    <t xml:space="preserve">5D2J300</t>
  </si>
  <si>
    <t xml:space="preserve">Ошибка проверки переполнения Кассеты Рециркуляции RC2 в ходе операции Инициализация (Iintialize).</t>
  </si>
  <si>
    <t xml:space="preserve">5D2R100</t>
  </si>
  <si>
    <t xml:space="preserve">Ошибка тайм-аута сообщения Кассеты Рециркуляции RC2 в ходе готовности к операции Инициализация (Initialize).</t>
  </si>
  <si>
    <t xml:space="preserve">5D2R200</t>
  </si>
  <si>
    <t xml:space="preserve">Ошибка тайм-аута сообщения Кассеты Рециркуляции RC2 при проведении транзакции в ходе операции Инициализация (Initialize).</t>
  </si>
  <si>
    <t xml:space="preserve">5D2R300</t>
  </si>
  <si>
    <t xml:space="preserve">Ошибка тайм-аута сообщения Кассеты Рециркуляции RC2 в ходе постпроцессинга ошибки операции Инициализация (Initialize Error).</t>
  </si>
  <si>
    <t xml:space="preserve">5D2S100</t>
  </si>
  <si>
    <t xml:space="preserve">Возвращено неизвестное значение Кассеты Рециркуляции RC2 в ходе операции Инициализация (Iintialize).</t>
  </si>
  <si>
    <t xml:space="preserve">5D2S200</t>
  </si>
  <si>
    <t xml:space="preserve">Неизвестная команда RC2 в ходе операции Инициализация (Iintialize).</t>
  </si>
  <si>
    <t xml:space="preserve">5D30500</t>
  </si>
  <si>
    <t xml:space="preserve">GS305 замятие в области датчика по Светлому типу в ходе операции Инициализация (Iintialize).</t>
  </si>
  <si>
    <t xml:space="preserve">5D31100</t>
  </si>
  <si>
    <t xml:space="preserve">GS301 замятие в области датчика в ходе операции Инициализация (Iintialize).</t>
  </si>
  <si>
    <t xml:space="preserve">5D31200</t>
  </si>
  <si>
    <t xml:space="preserve">GS302 замятие в области датчика в ходе операции Инициализация (Iintialize).</t>
  </si>
  <si>
    <t xml:space="preserve">5D31500</t>
  </si>
  <si>
    <t xml:space="preserve">GS305 замятие в области датчика в ходе операции Инициализация (Iintialize).</t>
  </si>
  <si>
    <t xml:space="preserve">5D32100</t>
  </si>
  <si>
    <t xml:space="preserve">Произошла ошибка оставшихся банкнот в области датчика GS301 в ходе операции Инициализация (Iintialize).</t>
  </si>
  <si>
    <t xml:space="preserve">5D32200</t>
  </si>
  <si>
    <t xml:space="preserve">Произошла ошибка оставшихся банкнот в области датчика GS302 в ходе операции Инициализация (Iintialize).</t>
  </si>
  <si>
    <t xml:space="preserve">5D32500</t>
  </si>
  <si>
    <t xml:space="preserve">Произошла ошибка оставшихся банкнот в области датчика GS305 в ходе операции Инициализация (Iintialize).</t>
  </si>
  <si>
    <t xml:space="preserve">5D35500</t>
  </si>
  <si>
    <t xml:space="preserve">Произошла ошибка Транспортного Тракта по данным датчика GS305 в ходе операции Инициализация (Iintialize).</t>
  </si>
  <si>
    <t xml:space="preserve">5D36500</t>
  </si>
  <si>
    <t xml:space="preserve">5D37500</t>
  </si>
  <si>
    <t xml:space="preserve">Произошла ошибка порядка следования банкнот в области датчика GS305 в ходе операции Инициализация (Iintialize).</t>
  </si>
  <si>
    <t xml:space="preserve">5D3G100</t>
  </si>
  <si>
    <t xml:space="preserve">Не удалось вернуть банкноты в Кассету Рециркуляции RC3 в ходе операции Инициализация (Iintialize).</t>
  </si>
  <si>
    <t xml:space="preserve">5D3G200</t>
  </si>
  <si>
    <t xml:space="preserve">Не удалось переместить Прижимную Пластину Кассеты Рециркуляции RC3 в укладывающее положение в ходе операции Инициализация (Iintialize).</t>
  </si>
  <si>
    <t xml:space="preserve">5D3G400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</si>
  <si>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Инициализация (Initialize).</t>
  </si>
  <si>
    <t xml:space="preserve">5D3G500</t>
  </si>
  <si>
    <t xml:space="preserve">Сбой обратного хода укладывающего ролика Кассеты Рециркуляции RC3 в ходе операции Инициализация (Iintialize).(ошибка датчика)</t>
  </si>
  <si>
    <t xml:space="preserve">5D3G600</t>
  </si>
  <si>
    <t xml:space="preserve">Превышен предел количества попыток перемещений укладывающего ролика Кассеты Рециркуляции RC3 в ходе операции в ходе операции Инициализация (Iintialize).</t>
  </si>
  <si>
    <t xml:space="preserve">5D3G700</t>
  </si>
  <si>
    <t xml:space="preserve">Не удалось переместить подающий ролик Кассеты Рециркуляции RC3 в исходное положение в ходе операции Инициализация (Iintialize).</t>
  </si>
  <si>
    <t xml:space="preserve">5D3G800</t>
  </si>
  <si>
    <t xml:space="preserve">Не удалось переместить Прижимную Пластину в прижимающее положение Кассеты Рециркуляции RC3 в ходе операции Инициализация (Iintialize).</t>
  </si>
  <si>
    <t xml:space="preserve">5D3GA00</t>
  </si>
  <si>
    <t xml:space="preserve">Ошибка неправильного потока сообщений Кассеты Рециркуляции RC3 в ходе операции Инициализация (Iintialize).</t>
  </si>
  <si>
    <t xml:space="preserve">5D3GB00</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</si>
  <si>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Инициализация (Iintialize).</t>
  </si>
  <si>
    <t xml:space="preserve">5D3GC00</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</si>
  <si>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Инициализация (Iintialize).</t>
  </si>
  <si>
    <t xml:space="preserve">5D3GD00</t>
  </si>
  <si>
    <t xml:space="preserve">Датчики GS301, GS302 обнаружили лишние банкноты в ходе операции Инициализация (Iintialize).</t>
  </si>
  <si>
    <t xml:space="preserve">5D3GE00</t>
  </si>
  <si>
    <t xml:space="preserve">Обнаружено превышение кол-ва банкнот при перемещении FM в исходное положение по данным датчика GS308 (нажим при разделении) в ходе операции Инициализация (Initialize).</t>
  </si>
  <si>
    <t xml:space="preserve">5D3GF00</t>
  </si>
  <si>
    <t xml:space="preserve">Обнаружено превышение кол-ва банкнот по данным датчиков GS308 (нажим при разделении) и GS312 (Нижнее положение) в ходе операции Инициализация (Initialize).</t>
  </si>
  <si>
    <t xml:space="preserve">5D3GG00</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</si>
  <si>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Инициализация (Iintialize).</t>
  </si>
  <si>
    <t xml:space="preserve">5D3GH00</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</si>
  <si>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Инициализация (Iintialize).</t>
  </si>
  <si>
    <t xml:space="preserve">5D3GJ00</t>
  </si>
  <si>
    <t xml:space="preserve">Сбой обратного хода укладывающего ролика Кассеты Рециркуляции RC3 в ходе операции Инициализация (Iintialize).(Перерасход)</t>
  </si>
  <si>
    <t xml:space="preserve">5D3GK00</t>
  </si>
  <si>
    <t xml:space="preserve">Сбой обратного хода укладывающего ролика Кассеты Рециркуляции RC3 в ходе операции Инициализация (Iintialize). (Ошибка состояния двигателя)</t>
  </si>
  <si>
    <t xml:space="preserve">5D3GL00</t>
  </si>
  <si>
    <t xml:space="preserve">Не удалось переместить подающий ролик Кассеты Рециркуляции RC3 в исходное положение в ходе операции Инициализация (Iintialize).(Ошибка состояния двигателя)</t>
  </si>
  <si>
    <t xml:space="preserve">5D3J300</t>
  </si>
  <si>
    <t xml:space="preserve">Ошибка проверки переполнения Кассеты Рециркуляции RC3 в ходе операции Инициализация (Iintialize).</t>
  </si>
  <si>
    <t xml:space="preserve">5D3R100</t>
  </si>
  <si>
    <t xml:space="preserve">Ошибка тайм-аута сообщения Кассеты Рециркуляции RC3 в ходе готовности к операции Инициализация (Initialize).</t>
  </si>
  <si>
    <t xml:space="preserve">5D3R200</t>
  </si>
  <si>
    <t xml:space="preserve">Ошибка тайм-аута сообщения Кассеты Рециркуляции RC3 при проведении транзакции в ходе операции Инициализация (Initialize).</t>
  </si>
  <si>
    <t xml:space="preserve">5D3R300</t>
  </si>
  <si>
    <t xml:space="preserve">Ошибка тайм-аута сообщения Кассеты Рециркуляции RC3 в ходе постпроцессинга ошибки операции Инициализация (Initialize Error).</t>
  </si>
  <si>
    <t xml:space="preserve">5D3S100</t>
  </si>
  <si>
    <t xml:space="preserve">Возвращено неизвестное значение Кассеты Рециркуляции RC3 в ходе операции Инициализация (Iintialize).</t>
  </si>
  <si>
    <t xml:space="preserve">5D3S200</t>
  </si>
  <si>
    <t xml:space="preserve">Неизвестная команда RC3 в ходе операции Инициализация (Iintialize).</t>
  </si>
  <si>
    <t xml:space="preserve">5D40500</t>
  </si>
  <si>
    <t xml:space="preserve">GS405 замятие в области датчика по Светлому типу в ходе операции Инициализация (Iintialize).</t>
  </si>
  <si>
    <t xml:space="preserve">5D41100</t>
  </si>
  <si>
    <t xml:space="preserve">GS401 замятие в области датчика в ходе операции Инициализация (Iintialize).</t>
  </si>
  <si>
    <t xml:space="preserve">5D41200</t>
  </si>
  <si>
    <t xml:space="preserve">GS402 замятие в области датчика в ходе операции Инициализация (Iintialize).</t>
  </si>
  <si>
    <t xml:space="preserve">5D41500</t>
  </si>
  <si>
    <t xml:space="preserve">GS405 замятие в области датчика в ходе операции Инициализация (Iintialize).</t>
  </si>
  <si>
    <t xml:space="preserve">5D42100</t>
  </si>
  <si>
    <t xml:space="preserve">Произошла ошибка оставшихся банкнот в области датчика GS401 в ходе операции Инициализация (Iintialize).</t>
  </si>
  <si>
    <t xml:space="preserve">5D42200</t>
  </si>
  <si>
    <t xml:space="preserve">Произошла ошибка оставшихся банкнот в области датчика GS402 в ходе операции Инициализация (Iintialize).</t>
  </si>
  <si>
    <t xml:space="preserve">5D42500</t>
  </si>
  <si>
    <t xml:space="preserve">Произошла ошибка оставшихся банкнот в области датчика GS405 в ходе операции Инициализация (Iintialize).</t>
  </si>
  <si>
    <t xml:space="preserve">5D45500</t>
  </si>
  <si>
    <t xml:space="preserve">Произошла ошибка Транспортного Тракта по данным датчика GS405 в ходе операции Инициализация (Iintialize).</t>
  </si>
  <si>
    <t xml:space="preserve">5D46500</t>
  </si>
  <si>
    <t xml:space="preserve">Произошла ошибка Возвращающего Транспортного Тракта (датчик GS405) в ходе операции Инициализация (Iintialize).</t>
  </si>
  <si>
    <t xml:space="preserve">5D47500</t>
  </si>
  <si>
    <t xml:space="preserve">Произошла ошибка порядка следования банкнот в области датчика GS405 в ходе операции Инициализация (Iintialize).</t>
  </si>
  <si>
    <t xml:space="preserve">5D4G100</t>
  </si>
  <si>
    <t xml:space="preserve">Не удалось вернуть банкноты в Кассету Рециркуляции RC4 в ходе операции Инициализация (Iintialize).</t>
  </si>
  <si>
    <t xml:space="preserve">5D4G200</t>
  </si>
  <si>
    <t xml:space="preserve">Не удалось переместить Прижимную Пластину Кассеты Рециркуляции RC4 в укладывающее положение в ходе операции Инициализация (Iintialize).</t>
  </si>
  <si>
    <t xml:space="preserve">5D4G400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</si>
  <si>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Инициализация (Initialize).</t>
  </si>
  <si>
    <t xml:space="preserve">5D4G500</t>
  </si>
  <si>
    <t xml:space="preserve">Сбой обратного хода укладывающего ролика Кассеты Рециркуляции RC4 в ходе операции Инициализация (Iintialize).(ошибка датчика)</t>
  </si>
  <si>
    <t xml:space="preserve">5D4G600</t>
  </si>
  <si>
    <t xml:space="preserve">Превышен предел количества попыток перемещений укладывающего ролика Кассеты Рециркуляции RC4 в ходе операции Инициализация (Iintialize).</t>
  </si>
  <si>
    <t xml:space="preserve">5D4G700</t>
  </si>
  <si>
    <t xml:space="preserve">Не удалось переместить подающий ролик Кассеты Рециркуляции RC4 в исходное положение в ходе операции Инициализация (Iintialize).</t>
  </si>
  <si>
    <t xml:space="preserve">5D4G800</t>
  </si>
  <si>
    <t xml:space="preserve">Не удалось переместить Прижимную Пластину в прижимающее положение Кассеты Рециркуляции RC4 в ходе операции Инициализация (Iintialize).</t>
  </si>
  <si>
    <t xml:space="preserve">5D4GA00</t>
  </si>
  <si>
    <t xml:space="preserve">Ошибка неправильного потока сообщений Кассеты Рециркуляции RC4 в ходе операции Инициализация (Iintialize).</t>
  </si>
  <si>
    <t xml:space="preserve">5D4GB00</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</si>
  <si>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Инициализация (Iintialize).</t>
  </si>
  <si>
    <t xml:space="preserve">5D4GC00</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</si>
  <si>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Инициализация (Iintialize).</t>
  </si>
  <si>
    <t xml:space="preserve">5D4GD00</t>
  </si>
  <si>
    <t xml:space="preserve">Датчики GS401, GS402 обнаружили лишние банкноты в ходе операции Инициализация (Iintialize).</t>
  </si>
  <si>
    <t xml:space="preserve">5D4GE00</t>
  </si>
  <si>
    <t xml:space="preserve">Обнаружено превышение кол-ва банкнот при перемещении FM в исходное положение по данным датчика GS408 (нажим при разделении) в ходе операции Инициализация (Initialize).</t>
  </si>
  <si>
    <t xml:space="preserve">5D4GF00</t>
  </si>
  <si>
    <t xml:space="preserve">Обнаружено превышение кол-ва банкнот по данным датчиков GS408 (нажим при разделении) и GS412 (Нижнее положение) в ходе операции Инициализация (Initialize).</t>
  </si>
  <si>
    <t xml:space="preserve">5D4GG00</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</si>
  <si>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Инициализация (Iintialize).</t>
  </si>
  <si>
    <t xml:space="preserve">5D4GH00</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</si>
  <si>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Инициализация (Iintialize).</t>
  </si>
  <si>
    <t xml:space="preserve">5D4GJ00</t>
  </si>
  <si>
    <t xml:space="preserve">Сбой обратного хода укладывающего ролика Кассеты Рециркуляции RC4 в ходе операции Инициализация (Iintialize).(Перерасход)</t>
  </si>
  <si>
    <t xml:space="preserve">5D4GK00</t>
  </si>
  <si>
    <t xml:space="preserve">Сбой обратного хода укладывающего ролика Кассеты Рециркуляции RC4 в ходе операции Инициализация (Iintialize). (Ошибка состояния двигателя)</t>
  </si>
  <si>
    <t xml:space="preserve">5D4GL00</t>
  </si>
  <si>
    <t xml:space="preserve">Не удалось переместить подающий ролик Кассеты Рециркуляции RC4 в исходное положение в ходе операции Инициализация (Iintialize).(Ошибка состояния двигателя)</t>
  </si>
  <si>
    <t xml:space="preserve">5D4J300</t>
  </si>
  <si>
    <t xml:space="preserve">Ошибка проверки переполнения Кассеты Рециркуляции RC4 в ходе операции Инициализация (Iintialize).</t>
  </si>
  <si>
    <t xml:space="preserve">5D4R100</t>
  </si>
  <si>
    <t xml:space="preserve">Ошибка тайм-аута сообщения Кассеты Рециркуляции RC4 в ходе готовности к операции Инициализация (Initialize).</t>
  </si>
  <si>
    <t xml:space="preserve">5D4R200</t>
  </si>
  <si>
    <t xml:space="preserve">Ошибка тайм-аута сообщения Кассеты Рециркуляции RC4 при проведении транзакции в ходе операции Инициализация (Initialize).</t>
  </si>
  <si>
    <t xml:space="preserve">5D4R300</t>
  </si>
  <si>
    <t xml:space="preserve">Ошибка тайм-аута сообщения Кассеты Рециркуляции RC4 в ходе постпроцессинга ошибки операции Инициализация (Initialize Error).</t>
  </si>
  <si>
    <t xml:space="preserve">5D4S100</t>
  </si>
  <si>
    <t xml:space="preserve">Возвращено неизвестное значение Кассеты Рециркуляции RC4 в ходе операции Инициализация (Iintialize).</t>
  </si>
  <si>
    <t xml:space="preserve">5D4S200</t>
  </si>
  <si>
    <t xml:space="preserve">Неизвестная команда RC4 в ходе операции Инициализация (Iintialize).</t>
  </si>
  <si>
    <t xml:space="preserve">5D50500</t>
  </si>
  <si>
    <t xml:space="preserve">GS505 замятие в области датчика по Светлому типу в ходе операции Инициализация (Iintialize).</t>
  </si>
  <si>
    <t xml:space="preserve">5D51100</t>
  </si>
  <si>
    <t xml:space="preserve">GS501 замятие в области датчика в ходе операции Инициализация (Iintialize).</t>
  </si>
  <si>
    <t xml:space="preserve">5D51200</t>
  </si>
  <si>
    <t xml:space="preserve">GS502 замятие в области датчика в ходе операции Инициализация (Iintialize).</t>
  </si>
  <si>
    <t xml:space="preserve">5D51500</t>
  </si>
  <si>
    <t xml:space="preserve">GS505 замятие в области датчика в ходе операции Инициализация (Iintialize).</t>
  </si>
  <si>
    <t xml:space="preserve">5D52100</t>
  </si>
  <si>
    <t xml:space="preserve">Произошла ошибка оставшихся банкнот в области датчика GS501 в ходе операции в ходе операции Инициализация (Iintialize).</t>
  </si>
  <si>
    <t xml:space="preserve">5D52200</t>
  </si>
  <si>
    <t xml:space="preserve">Остались банкноты в области датчика GS502 в ходе операции Инициализация (Iintialize).</t>
  </si>
  <si>
    <t xml:space="preserve">5D52500</t>
  </si>
  <si>
    <t xml:space="preserve">Остались банкноты в области датчика GS505 в ходе операции Инициализация (Iintialize).</t>
  </si>
  <si>
    <t xml:space="preserve">5D55500</t>
  </si>
  <si>
    <t xml:space="preserve">Произошла ошибка Транспортного Тракта по данным датчика GS505 в ходе операции Инициализация (Iintialize).</t>
  </si>
  <si>
    <t xml:space="preserve">5D56500</t>
  </si>
  <si>
    <t xml:space="preserve">Произошла ошибка Возвращающего Транспортного Тракта (датчик GS505) в ходе операции Инициализация (Iintialize).</t>
  </si>
  <si>
    <t xml:space="preserve">5D57500</t>
  </si>
  <si>
    <t xml:space="preserve">GS505 error occurred by the notes disorder on the в ходе операции Инициализация (Iintialize).</t>
  </si>
  <si>
    <t xml:space="preserve">5D5G100</t>
  </si>
  <si>
    <t xml:space="preserve">Не удалось вернуть банкноты в Кассету Рециркуляции RC5 в ходе операции Инициализация (Iintialize).</t>
  </si>
  <si>
    <t xml:space="preserve">5D5G200</t>
  </si>
  <si>
    <t xml:space="preserve">Не удалось переместить Прижимную Пластину Кассеты Рециркуляции RC5 в укладывающее положение в ходе операции Инициализация (Iintialize).</t>
  </si>
  <si>
    <t xml:space="preserve">5D5G400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</si>
  <si>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Инициализация (Initialize).</t>
  </si>
  <si>
    <t xml:space="preserve">5D5G500</t>
  </si>
  <si>
    <t xml:space="preserve">Сбой обратного хода укладывающего ролика Кассеты Рециркуляции RC5 в ходе операции Инициализация (Iintialize).(ошибка датчика)</t>
  </si>
  <si>
    <t xml:space="preserve">5D5G600</t>
  </si>
  <si>
    <t xml:space="preserve">Превышен предел количества попыток перемещений укладывающего ролика Кассеты Рециркуляции RC5 в ходе операции Инициализация (Iintialize).</t>
  </si>
  <si>
    <t xml:space="preserve">5D5G700</t>
  </si>
  <si>
    <t xml:space="preserve">Не удалось переместить подающий ролик Кассеты Рециркуляции RC5 в исходное положение в ходе операции Инициализация (Iintialize).</t>
  </si>
  <si>
    <t xml:space="preserve">5D5G800</t>
  </si>
  <si>
    <t xml:space="preserve">Не удалось переместить Прижимную Пластину в прижимающее положение Кассеты Рециркуляции RC5 в ходе операции Инициализация (Iintialize).</t>
  </si>
  <si>
    <t xml:space="preserve">5D5GA00</t>
  </si>
  <si>
    <t xml:space="preserve">Ошибка неправильного потока сообщений Кассеты Рециркуляции RC5 в ходе операции Инициализация (Iintialize).</t>
  </si>
  <si>
    <t xml:space="preserve">5D5GB00</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</si>
  <si>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Инициализация (Iintialize).</t>
  </si>
  <si>
    <t xml:space="preserve">5D5GC00</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</si>
  <si>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Инициализация (Iintialize).</t>
  </si>
  <si>
    <t xml:space="preserve">5D5GD00</t>
  </si>
  <si>
    <t xml:space="preserve">Датчики GS501, GS502 обнаружили лишние банкноты в ходе операции Инициализация (Iintialize).</t>
  </si>
  <si>
    <t xml:space="preserve">5D5GE00</t>
  </si>
  <si>
    <t xml:space="preserve">Обнаружено превышение кол-ва банкнот при перемещении FM в исходное положение по данным датчика GS508 (нажим при разделении) в ходе операции Инициализация (Initialize).</t>
  </si>
  <si>
    <t xml:space="preserve">5D5GF00</t>
  </si>
  <si>
    <t xml:space="preserve">Обнаружено превышение кол-ва банкнот по данным датчиков GS508 (нажим при разделении) и GS512 (Нижнее положение) в ходе операции Инициализация (Initialize).</t>
  </si>
  <si>
    <t xml:space="preserve">5D5GG00</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</si>
  <si>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Инициализация (Iintialize).</t>
  </si>
  <si>
    <t xml:space="preserve">5D5GH00</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</si>
  <si>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Инициализация (Iintialize).</t>
  </si>
  <si>
    <t xml:space="preserve">5D5GJ00</t>
  </si>
  <si>
    <t xml:space="preserve">Сбой обратного хода укладывающего ролика Кассеты Рециркуляции RC5 в ходе операции Инициализация (Iintialize).(Перерасход)</t>
  </si>
  <si>
    <t xml:space="preserve">5D5GK00</t>
  </si>
  <si>
    <t xml:space="preserve">Сбой обратного хода укладывающего ролика Кассеты Рециркуляции RC5 в ходе операции Инициализация (Iintialize). (Ошибка состояния двигателя)</t>
  </si>
  <si>
    <t xml:space="preserve">5D5GL00</t>
  </si>
  <si>
    <t xml:space="preserve">Не удалось переместить подающий ролик Кассеты Рециркуляции RC5 в исходное положение в ходе операции Инициализация (Iintialize).(Ошибка состояния двигателя)</t>
  </si>
  <si>
    <t xml:space="preserve">5D5J300</t>
  </si>
  <si>
    <t xml:space="preserve">Ошибка проверки переполнения Кассеты Рециркуляции RC5 в ходе операции Инициализация (Iintialize).</t>
  </si>
  <si>
    <t xml:space="preserve">5D5R100</t>
  </si>
  <si>
    <t xml:space="preserve">Ошибка тайм-аута сообщения Кассеты Рециркуляции RC5 в ходе готовности к операции Инициализация (Initialize).</t>
  </si>
  <si>
    <t xml:space="preserve">5D5R200</t>
  </si>
  <si>
    <t xml:space="preserve">Ошибка тайм-аута сообщения Кассеты Рециркуляции RC5 при проведении транзакции в ходе операции Инициализация (Initialize).</t>
  </si>
  <si>
    <t xml:space="preserve">5D5R300</t>
  </si>
  <si>
    <t xml:space="preserve">Ошибка тайм-аута сообщения Кассеты Рециркуляции RC5 в ходе постпроцессинга ошибки операции Инициализация (Initialize Error).</t>
  </si>
  <si>
    <t xml:space="preserve">5D5S100</t>
  </si>
  <si>
    <t xml:space="preserve">Возвращено неизвестное значение Кассеты Рециркуляции RC5 в ходе операции Инициализация (Iintialize).</t>
  </si>
  <si>
    <t xml:space="preserve">5D5S200</t>
  </si>
  <si>
    <t xml:space="preserve">Неизвестная команда RC5 в ходе операции Инициализация (Iintialize).</t>
  </si>
  <si>
    <t xml:space="preserve">5D62100</t>
  </si>
  <si>
    <t xml:space="preserve">Ошибка оставшихся банкнот в Модуле обслуживания клиентов CSM в ходе операции Инициализация (Iintialize).</t>
  </si>
  <si>
    <t xml:space="preserve">5D62400</t>
  </si>
  <si>
    <t xml:space="preserve">Неизвестная команда CSM error в ходе операции Инициализация (Iintialize).</t>
  </si>
  <si>
    <t xml:space="preserve">5D62500</t>
  </si>
  <si>
    <t xml:space="preserve">Состояние остались банкноты сменилось на состояние банкноты отсутствуют в Модуле обслуживания клиентов CSM в ходе операции Инициализация (Iintialize).</t>
  </si>
  <si>
    <t xml:space="preserve">5D62600</t>
  </si>
  <si>
    <t xml:space="preserve">Состояние банкноты отсутствуют сменилось на состояние остались банкноты в Модуле обслуживания клиентов CSM в ходе операции Инициализация (Iintialize).</t>
  </si>
  <si>
    <t xml:space="preserve">5D62Z00</t>
  </si>
  <si>
    <t xml:space="preserve">Информационный статус. Оставшиеся банкноты в Модуле обслуживания клиентов CSM в ходе операции Инициализация (Initialize).</t>
  </si>
  <si>
    <t xml:space="preserve">5D6G100</t>
  </si>
  <si>
    <t xml:space="preserve">Ошибка перемещения Задней прижимной пластины BP в положение для укладывания банкнот в пачку в ходе операции Инициализация (Iintialize).</t>
  </si>
  <si>
    <t xml:space="preserve">5D6G200</t>
  </si>
  <si>
    <t xml:space="preserve">Ошибка выдачи банкнот Задней прижимной пластины BP в ходе операции Инициализация (Iintialize).</t>
  </si>
  <si>
    <t xml:space="preserve">5D6G300</t>
  </si>
  <si>
    <t xml:space="preserve">Ошибка положения Задней прижимной пластины BP при разделении банкнот в ходе операции Инициализация (Iintialize).</t>
  </si>
  <si>
    <t xml:space="preserve">5D6G400</t>
  </si>
  <si>
    <t xml:space="preserve">Ошибка контроля разделения банкнот Задней прижимной пластины BP в ходе операции Инициализация (Iintialize).</t>
  </si>
  <si>
    <t xml:space="preserve">5D6G500</t>
  </si>
  <si>
    <t xml:space="preserve">Ошибка положения Задней прижимной пластины BP при выдаче банкнот в ходе операции Инициализация (Iintialize).</t>
  </si>
  <si>
    <t xml:space="preserve">5D6G600</t>
  </si>
  <si>
    <t xml:space="preserve">Не удалось переместить слистывающий ролик в исходное положение в ходе операции Инициализация (Iintialize).</t>
  </si>
  <si>
    <t xml:space="preserve">5D6G800</t>
  </si>
  <si>
    <t xml:space="preserve">Не удалось вернуть банкноты (Separate motor работает с ошибками) в ходе операции Инициализация (Iintialize).</t>
  </si>
  <si>
    <t xml:space="preserve">5D6GA00</t>
  </si>
  <si>
    <t xml:space="preserve">Не удалось переместить укладывающий ролик в положение Выдача(укладка) (GM605 работает с ошибками) в ходе операции Инициализация (Iintialize).</t>
  </si>
  <si>
    <t xml:space="preserve">5D6GB00</t>
  </si>
  <si>
    <t xml:space="preserve">Не удалось переместить укладывающий ролик в положение для Депозита (GM605 работает с ошибками) в ходе операции Инициализация (Iintialize).</t>
  </si>
  <si>
    <t xml:space="preserve">5D6GC00</t>
  </si>
  <si>
    <t xml:space="preserve">Сбой управления укладывающего ролика(GM605 работает с ошибками) в ходе операции Инициализация (Iintialize).</t>
  </si>
  <si>
    <t xml:space="preserve">5D6GD00</t>
  </si>
  <si>
    <t xml:space="preserve">Не удалось выполнить Поднимание (Lift-up) в ходе операции Инициализация (Iintialize).</t>
  </si>
  <si>
    <t xml:space="preserve">5D6GE00</t>
  </si>
  <si>
    <t xml:space="preserve">Не удалось выполнить Опускание (Lift-down) в ходе операции Инициализация (Iintialize).</t>
  </si>
  <si>
    <t xml:space="preserve">5D6GF00</t>
  </si>
  <si>
    <t xml:space="preserve">Не удалось переместить ролик затвора в исходное положение в ходе операции Инициализация (Iintialize).</t>
  </si>
  <si>
    <t xml:space="preserve">5D6H200</t>
  </si>
  <si>
    <t xml:space="preserve">Ошибка перемещения Передней Прижимной Пластины FP в положение депозита (датчик GS652 затенен) в ходе операции Инициализация (Iintialize).</t>
  </si>
  <si>
    <t xml:space="preserve">5D6M100</t>
  </si>
  <si>
    <t xml:space="preserve">Ошибка инициализации ограничителя в ходе операции Инициализация (Iintialize).</t>
  </si>
  <si>
    <t xml:space="preserve">5D6M300</t>
  </si>
  <si>
    <t xml:space="preserve">Ошибка закрытия Шаттера в ходе операции Инициализация (Iintialize).</t>
  </si>
  <si>
    <t xml:space="preserve">5D6M400</t>
  </si>
  <si>
    <t xml:space="preserve">Ошибка опускания ограничителя в ходе операции Инициализация (Iintialize).</t>
  </si>
  <si>
    <t xml:space="preserve">5D6M500</t>
  </si>
  <si>
    <t xml:space="preserve">Ошибка поднятия ограничителя в ходе операции Инициализация (Iintialize).</t>
  </si>
  <si>
    <t xml:space="preserve">5D6M600</t>
  </si>
  <si>
    <t xml:space="preserve">Ошибка закрытия шаттера при инициализации ограничителя в ходе операции Инициализация (Iintialize).</t>
  </si>
  <si>
    <t xml:space="preserve">5D6P100</t>
  </si>
  <si>
    <t xml:space="preserve">Ошибка перемещения Прижимной Пластины PP в положение Выдача (укладка) в ходе операции Инициализация (Iintialize).</t>
  </si>
  <si>
    <t xml:space="preserve">5D6P200</t>
  </si>
  <si>
    <t xml:space="preserve">Ошибка перемещения Прижимной Пластины в положение депозита в ходе операции Инициализация (Iintialize).</t>
  </si>
  <si>
    <t xml:space="preserve">5D6P300</t>
  </si>
  <si>
    <t xml:space="preserve">Ошибка перемещения Прижимной Пластины PP в положение разделения в ходе операции Инициализация (Iintialize).</t>
  </si>
  <si>
    <t xml:space="preserve">5D6P400</t>
  </si>
  <si>
    <t xml:space="preserve">Ошибка перемещения Прижимной Пластины PP в положение lose return в ходе операции Инициализация (Iintialize).</t>
  </si>
  <si>
    <t xml:space="preserve">5D6P500</t>
  </si>
  <si>
    <t xml:space="preserve">Ошибка перемещения Прижимной Пластины PP в положение выдачи банкнот в ходе операции Инициализация (Iintialize).</t>
  </si>
  <si>
    <t xml:space="preserve">5D6P600</t>
  </si>
  <si>
    <t xml:space="preserve">Ошибка выравнивания банкнот Прижимной Пластины PP в ходе операции Инициализация (Iintialize).</t>
  </si>
  <si>
    <t xml:space="preserve">5D6P700</t>
  </si>
  <si>
    <t xml:space="preserve">Ошибка контроля разделения (во время сепарации) Прижимной Пластины PP в ходе операции Инициализация (Iintialize).</t>
  </si>
  <si>
    <t xml:space="preserve">5D6P800</t>
  </si>
  <si>
    <t xml:space="preserve">Ошибка контроля укладки (во время укладывания) Прижимной Пластины PP в ходе операции Инициализация (Iintialize).</t>
  </si>
  <si>
    <t xml:space="preserve">5D6P900</t>
  </si>
  <si>
    <t xml:space="preserve">Ошибка возврата банкнот в ходе операции Инициализация (Iintialize).</t>
  </si>
  <si>
    <t xml:space="preserve">5D6PA00</t>
  </si>
  <si>
    <t xml:space="preserve">Ошибка preparation stop Прижимной Пластины PP в ходе операции Инициализация (Iintialize).</t>
  </si>
  <si>
    <t xml:space="preserve">5D6R100</t>
  </si>
  <si>
    <t xml:space="preserve">Модуль обслуживания клиентов CSM вернул ошибку таймаута сообщения в ходе готовности к операции Инициализация (Initialize).</t>
  </si>
  <si>
    <t xml:space="preserve">5D6R200</t>
  </si>
  <si>
    <t xml:space="preserve">Модуль обслуживания клиентов CSM вернул ошибку таймаута сообщения при проведении транзакции в ходе операции Инициализация (Iintialize).</t>
  </si>
  <si>
    <t xml:space="preserve">5D6R300</t>
  </si>
  <si>
    <t xml:space="preserve">Модуль обслуживания клиентов CSM вернул ошибку таймаута сообщения в ходе постпроцессинга ошибки операции Инициализация (Initialize Error).</t>
  </si>
  <si>
    <t xml:space="preserve">5D71300</t>
  </si>
  <si>
    <t xml:space="preserve">GS703 замятие в области датчика по Темному типу в ходе операции Инициализация (Iintialize).</t>
  </si>
  <si>
    <t xml:space="preserve">5D72100</t>
  </si>
  <si>
    <t xml:space="preserve">Произошла ошибка оставшихся банкнот в области датчика GS701 в ходе операции Инициализация (Iintialize).</t>
  </si>
  <si>
    <t xml:space="preserve">5D72200</t>
  </si>
  <si>
    <t xml:space="preserve">Произошла ошибка оставшихся банкнот в области датчика GS702 в ходе операции Инициализация (Iintialize).</t>
  </si>
  <si>
    <t xml:space="preserve">5D72300</t>
  </si>
  <si>
    <t xml:space="preserve">5D72800</t>
  </si>
  <si>
    <t xml:space="preserve">Произошла ошибка оставшихся банкнот в области датчика GS709 в ходе операции Инициализация (Iintialize).</t>
  </si>
  <si>
    <t xml:space="preserve">5D72Z00</t>
  </si>
  <si>
    <t xml:space="preserve">Информционный статус. Оставшиеся банкноты в Модуле временного хранения_TE в ходе операции Инициализация (Initialize).</t>
  </si>
  <si>
    <t xml:space="preserve">5D7G100</t>
  </si>
  <si>
    <t xml:space="preserve">Нарушение перемещения двигателя для укладки банкнот в ходе операции Инициализация (Iintialize).</t>
  </si>
  <si>
    <t xml:space="preserve">5D7G200</t>
  </si>
  <si>
    <t xml:space="preserve">Нарушение работы двигателя в сторону разделения в ходе операции Инициализация (Iintialize).</t>
  </si>
  <si>
    <t xml:space="preserve">5D7G300</t>
  </si>
  <si>
    <t xml:space="preserve">Нарушение остановки двигателя в ходе операции Инициализация (Iintialize).</t>
  </si>
  <si>
    <t xml:space="preserve">5D7G400</t>
  </si>
  <si>
    <t xml:space="preserve">Не обнаружен передний конец ленты в ходе операции Инициализация (Iintialize).</t>
  </si>
  <si>
    <t xml:space="preserve">5D7G500</t>
  </si>
  <si>
    <t xml:space="preserve">Обнаружен передний конец ленты в ходе операции Инициализация (Iintialize).</t>
  </si>
  <si>
    <t xml:space="preserve">5D7G600</t>
  </si>
  <si>
    <t xml:space="preserve">Не обнаружен задний конец ленты в ходе операции Инициализация (Iintialize).</t>
  </si>
  <si>
    <t xml:space="preserve">5D7G700</t>
  </si>
  <si>
    <t xml:space="preserve">Обнаружен задний конец ленты в ходе операции Инициализация (Iintialize).</t>
  </si>
  <si>
    <t xml:space="preserve">5D7J100</t>
  </si>
  <si>
    <t xml:space="preserve">Полный барабан TE в ходе операции Инициализация (Iintialize).</t>
  </si>
  <si>
    <t xml:space="preserve">5D7J200</t>
  </si>
  <si>
    <t xml:space="preserve">Пустой барабан TE в ходе операции Инициализация (Iintialize).</t>
  </si>
  <si>
    <t xml:space="preserve">5D7J300</t>
  </si>
  <si>
    <t xml:space="preserve">Штатная операция Конец Приема (Receipt End) невозможна в ходе операции Инициализация (Iintialize).</t>
  </si>
  <si>
    <t xml:space="preserve">1. Откройте верхнюю часть Модуля Рециркуляции Банкнот 2. Откройте Модуль временного хранения_TE (12) 3.Удалите оставшиеся банкноты из Модуля временного хранения_TE вращая круглую ручку по часовой стрелке. 4. Закройте Модуль временного хранения_TE (12) 5. Закройте Верхнюю часть Модуля Рециркуляции Банкнот 6. Выполните инициализацию Модуля Рециркуляции Банкнот BRM (Восстановление)</t>
  </si>
  <si>
    <t xml:space="preserve">5D7R100</t>
  </si>
  <si>
    <t xml:space="preserve">Модуль временного хранения_TE вернул ошибку таймаута сообщения в ходе готовности к операции Инициализация (Initialize).</t>
  </si>
  <si>
    <t xml:space="preserve">5D7R200</t>
  </si>
  <si>
    <t xml:space="preserve">Модуль временного хранения_TE вернул ошибку таймаута сообщения при проведении транзакции в ходе операции Инициализация (Initialize).</t>
  </si>
  <si>
    <t xml:space="preserve">5D7R300</t>
  </si>
  <si>
    <t xml:space="preserve">Модуль временного хранения_TE вернул ошибку таймаута сообщения в ходе постпроцессинга ошибки операции Инициализация (Initialize Error).</t>
  </si>
  <si>
    <t xml:space="preserve">5D8HA01</t>
  </si>
  <si>
    <t xml:space="preserve">Ошибка датчика GS801A в ходе операции Инициализация (Iintialize).</t>
  </si>
  <si>
    <t xml:space="preserve">5D8HA02</t>
  </si>
  <si>
    <t xml:space="preserve">Ошибка датчика GS801B в ходе операции Инициализация (Iintialize).</t>
  </si>
  <si>
    <t xml:space="preserve">5D8HA03</t>
  </si>
  <si>
    <t xml:space="preserve">Ошибка датчиков GS801A, GS801B в ходе операции Инициализация (Iintialize).</t>
  </si>
  <si>
    <t xml:space="preserve">5D8HA04</t>
  </si>
  <si>
    <t xml:space="preserve">Ошибка датчика GS802A в ходе операции Инициализация (Iintialize).</t>
  </si>
  <si>
    <t xml:space="preserve">5D8HA05</t>
  </si>
  <si>
    <t xml:space="preserve">Ошибка датчиков GS801A, GS802A в ходе операции Инициализация (Iintialize).</t>
  </si>
  <si>
    <t xml:space="preserve">5D8HA06</t>
  </si>
  <si>
    <t xml:space="preserve">Ошибка датчиков GS801B, GS802A в ходе операции Инициализация (Iintialize).</t>
  </si>
  <si>
    <t xml:space="preserve">5D8HA07</t>
  </si>
  <si>
    <t xml:space="preserve">Ошибка датчиков GS801A, GS801B, GS802A в ходе операции Инициализация (Iintialize).</t>
  </si>
  <si>
    <t xml:space="preserve">5D8HA08</t>
  </si>
  <si>
    <t xml:space="preserve">Ошибка датчика GS802B в ходе операции Инициализация (Iintialize).</t>
  </si>
  <si>
    <t xml:space="preserve">5D8HA09</t>
  </si>
  <si>
    <t xml:space="preserve">Ошибка датчиков GS801A, GS802B в ходе операции Инициализация (Iintialize).</t>
  </si>
  <si>
    <t xml:space="preserve">5D8HA10</t>
  </si>
  <si>
    <t xml:space="preserve">Ошибка датчиков GS801B, GS802B в ходе операции Инициализация (Iintialize).</t>
  </si>
  <si>
    <t xml:space="preserve">5D8HA11</t>
  </si>
  <si>
    <t xml:space="preserve">Ошибка датчиков GS801A, GS801B, GS802B в ходе операции Инициализация (Iintialize).</t>
  </si>
  <si>
    <t xml:space="preserve">5D8HA12</t>
  </si>
  <si>
    <t xml:space="preserve">Ошибка датчиков GS802A, GS802B в ходе операции Инициализация (Iintialize).</t>
  </si>
  <si>
    <t xml:space="preserve">5D8HA13</t>
  </si>
  <si>
    <t xml:space="preserve">Ошибка датчиков GS801A, GS802A, GS802B в ходе операции Инициализация (Iintialize).</t>
  </si>
  <si>
    <t xml:space="preserve">5D8HA14</t>
  </si>
  <si>
    <t xml:space="preserve">Ошибка датчиков GS801B, GS802A, GS802B в ходе операции Инициализация (Iintialize).</t>
  </si>
  <si>
    <t xml:space="preserve">5D8HA15</t>
  </si>
  <si>
    <t xml:space="preserve">Ошибка датчиков GS801A, GS801B, GS802A, GS802B в ходе операции Инициализация (Iintialize).</t>
  </si>
  <si>
    <t xml:space="preserve">5D8HF03</t>
  </si>
  <si>
    <t xml:space="preserve">Ошибка загрузки данных шейдинга Контактного датчика изображения CIS в ходе операции Инициализация (Iintialize).</t>
  </si>
  <si>
    <t xml:space="preserve">5D8HF04</t>
  </si>
  <si>
    <t xml:space="preserve">Ошибка загрузки таблицы БД распознавания в ходе операции Инициализация (Iintialize).</t>
  </si>
  <si>
    <t xml:space="preserve">5D8HF05</t>
  </si>
  <si>
    <t xml:space="preserve">Ошибка контрольной суммы данных ПЛИС Модуля Валидатора банкнот BC в ходе операции Инициализация (Iintialize).</t>
  </si>
  <si>
    <t xml:space="preserve">5D8HF06</t>
  </si>
  <si>
    <t xml:space="preserve">Ошибка конфигурации ПЛИС Модуля Валидатора банкнот BC в ходе операции Инициализация (Iintialize).</t>
  </si>
  <si>
    <t xml:space="preserve">5D8HF07</t>
  </si>
  <si>
    <t xml:space="preserve">Ошибка загрузки данных заголовка ПЛИС Модуля Валидатора банкнот BC header в ходе операции Инициализация (Iintialize).</t>
  </si>
  <si>
    <t xml:space="preserve">5D8HF08</t>
  </si>
  <si>
    <t xml:space="preserve">Ошибка инициализации ПЛИС в ходе операции Инициализация (Iintialize).</t>
  </si>
  <si>
    <t xml:space="preserve">5D8HF09</t>
  </si>
  <si>
    <t xml:space="preserve">Ошибка чтения ПЛИС в ходе операции Инициализация (Iintialize).</t>
  </si>
  <si>
    <t xml:space="preserve">5D8HF11</t>
  </si>
  <si>
    <t xml:space="preserve">Ошибка загрузки Базы Данных распознавания #01 в ходе операции Инициализация (Iintialize).</t>
  </si>
  <si>
    <t xml:space="preserve">5D8HF12</t>
  </si>
  <si>
    <t xml:space="preserve">Ошибка загрузки Базы Данных распознавания #02 в ходе операции Инициализация (Iintialize).</t>
  </si>
  <si>
    <t xml:space="preserve">5D8HF13</t>
  </si>
  <si>
    <t xml:space="preserve">Ошибка загрузки Базы Данных распознавания #03 в ходе операции Инициализация (Iintialize).</t>
  </si>
  <si>
    <t xml:space="preserve">5D8HF14</t>
  </si>
  <si>
    <t xml:space="preserve">Ошибка загрузки Базы Данных распознавания #04 в ходе операции Инициализация (Iintialize).</t>
  </si>
  <si>
    <t xml:space="preserve">5D8HF15</t>
  </si>
  <si>
    <t xml:space="preserve">Ошибка загрузки Базы Данных распознавания #05 в ходе операции Инициализация (Iintialize).</t>
  </si>
  <si>
    <t xml:space="preserve">5D8HF16</t>
  </si>
  <si>
    <t xml:space="preserve">Ошибка загрузки Базы Данных распознавания #06 в ходе операции Инициализация (Iintialize).</t>
  </si>
  <si>
    <t xml:space="preserve">5D8HF17</t>
  </si>
  <si>
    <t xml:space="preserve">Ошибка загрузки Базы Данных распознавания #07 в ходе операции Инициализация (Iintialize).</t>
  </si>
  <si>
    <t xml:space="preserve">5D8HF18</t>
  </si>
  <si>
    <t xml:space="preserve">Ошибка загрузки Базы Данных распознавания #08 в ходе операции Инициализация (Iintialize).</t>
  </si>
  <si>
    <t xml:space="preserve">5D8HF19</t>
  </si>
  <si>
    <t xml:space="preserve">Ошибка загрузки Базы Данных распознавания #09 в ходе операции Инициализация (Iintialize).</t>
  </si>
  <si>
    <t xml:space="preserve">5D8HF20</t>
  </si>
  <si>
    <t xml:space="preserve">Ошибка загрузки Базы Данных распознавания #10 в ходе операции Инициализация (Iintialize).</t>
  </si>
  <si>
    <t xml:space="preserve">5D8HG01</t>
  </si>
  <si>
    <t xml:space="preserve">Ошибка установки режима при выполнении команды BCU mode в ходе операции Инициализация (Initialize).</t>
  </si>
  <si>
    <t xml:space="preserve">5D8HG02</t>
  </si>
  <si>
    <t xml:space="preserve">Ошибка установленного уровня распознавания при выполнении команды BCU mode в ходе операции Инициализация (Initialize).</t>
  </si>
  <si>
    <t xml:space="preserve">5D8HG03</t>
  </si>
  <si>
    <t xml:space="preserve">Ошибка установки начала транзакции при выполнении команды BCU ready в ходе операции Инициализация (Initialize).</t>
  </si>
  <si>
    <t xml:space="preserve">5D8HG04</t>
  </si>
  <si>
    <t xml:space="preserve">Ошибка установки режима при выполнении команды BCU ready в ходе операции Инициализация (Initialize).</t>
  </si>
  <si>
    <t xml:space="preserve">5D8HG05</t>
  </si>
  <si>
    <t xml:space="preserve">Ошибка установленного уровня распознавания при выполнении команды BCU ready в ходе операции Инициализация (Initialize).</t>
  </si>
  <si>
    <t xml:space="preserve">5D8HG06</t>
  </si>
  <si>
    <t xml:space="preserve">Ошибка направления внесения Модуля Валидатора банкнот BC при выполнении команды BCU ready в ходе операции Инициализация (Initialize).</t>
  </si>
  <si>
    <t xml:space="preserve">5D8HG07</t>
  </si>
  <si>
    <t xml:space="preserve">Ошибка получения неопределенной команды Модуля Валидатора банкнот BCU в ходе операции Инициализация (Iintialize).</t>
  </si>
  <si>
    <t xml:space="preserve">5D8HG08</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</si>
  <si>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Инициализация (Initialize).</t>
  </si>
  <si>
    <t xml:space="preserve">5D8HG09</t>
  </si>
  <si>
    <t xml:space="preserve">Ошибка настройки кода страны при выполнении команды записи данных в Модуль Валидатора банкнот BCUв ходе операции Инициализация (Initialize).</t>
  </si>
  <si>
    <t xml:space="preserve">5D8HG10</t>
  </si>
  <si>
    <t xml:space="preserve">Ошибка отсутствия БД распознавания для страны в процессе получения команды BCU data write в ходе операции Инициализация (Initialize).</t>
  </si>
  <si>
    <t xml:space="preserve">5D8HG11</t>
  </si>
  <si>
    <t xml:space="preserve">Не установлен код страны при получении команды BCU ready в ходе операции Инициализация (Initialize).</t>
  </si>
  <si>
    <t xml:space="preserve">5D8HG12</t>
  </si>
  <si>
    <t xml:space="preserve">Спецификация Модуля Валидатора банкнот BC отличается от параметра команды записи данных в ходе операции Инициализация (Iintialize).</t>
  </si>
  <si>
    <t xml:space="preserve">5D8HG20</t>
  </si>
  <si>
    <t xml:space="preserve">Ошибка инициализации Контактного датчика изображения CIS при получении команды BCU ready в ходе операции Инициализация (Initialize).</t>
  </si>
  <si>
    <t xml:space="preserve">5D8HG21</t>
  </si>
  <si>
    <t xml:space="preserve">Ошибка включения при получении команды BCU ready в ходе операции Инициализация (Initialize).</t>
  </si>
  <si>
    <t xml:space="preserve">5D8HG22</t>
  </si>
  <si>
    <t xml:space="preserve">Ошибка инициализации датчика определения сдвоенных банкнот DD при получении команды BCU ready в ходе операции Инициализация (Initialize).</t>
  </si>
  <si>
    <t xml:space="preserve">5D8HG23</t>
  </si>
  <si>
    <t xml:space="preserve">Ошибка настройки ЦАП Датчика определения сдвоенных банкнот DD при получении команды BCU ready в ходе операции Инициализация (Initialize).</t>
  </si>
  <si>
    <t xml:space="preserve">5D8HG24</t>
  </si>
  <si>
    <t xml:space="preserve">Ошибка режима настройки энкодера при получении команды BCU ready в ходе операции Инициализация (Initialize).</t>
  </si>
  <si>
    <t xml:space="preserve">5D8HG36</t>
  </si>
  <si>
    <t xml:space="preserve">Ошибка режима распознавания при выполнении команды receiving BCU mode в ходе операции Инициализация (Initialize).</t>
  </si>
  <si>
    <t xml:space="preserve">5D8HG37</t>
  </si>
  <si>
    <t xml:space="preserve">Ошибка настроек транзакции при выполнении команды receiving BCU mode в ходе операции Инициализация (Initialize).</t>
  </si>
  <si>
    <t xml:space="preserve">5D8HI01</t>
  </si>
  <si>
    <t xml:space="preserve">Ошибка тайм-аута RecogTask Message в ходе операции Инициализация (Initialize).</t>
  </si>
  <si>
    <t xml:space="preserve">5D8HI02</t>
  </si>
  <si>
    <t xml:space="preserve">Ошибка тайм-аута ScanTask Message в ходе операции Инициализация (Initialize).</t>
  </si>
  <si>
    <t xml:space="preserve">5D8HI03</t>
  </si>
  <si>
    <t xml:space="preserve">Ошибка тайм-аута UartTask Message в ходе операции Инициализация (Initialize).</t>
  </si>
  <si>
    <t xml:space="preserve">5D8HI04</t>
  </si>
  <si>
    <t xml:space="preserve">Ошибка тайм-аута BcUsbTask Message в ходе операции Инициализация (Initialize).</t>
  </si>
  <si>
    <t xml:space="preserve">5D8HJ01</t>
  </si>
  <si>
    <t xml:space="preserve">Ошибка инициализации алгоритма распознавания в ходе операции Инициализация (Initialize).</t>
  </si>
  <si>
    <t xml:space="preserve">5D8HJ02</t>
  </si>
  <si>
    <t xml:space="preserve">Ошибка готовности Алгоритма Распознавания в ходе операции Инициализация (Initialize).</t>
  </si>
  <si>
    <t xml:space="preserve">5D8HJ03</t>
  </si>
  <si>
    <t xml:space="preserve">Ошибка алгоритма распознавания набора валют в ходе операции Инициализация (Initialize).</t>
  </si>
  <si>
    <t xml:space="preserve">5D8HS01</t>
  </si>
  <si>
    <t xml:space="preserve">Ошибка ПЛИС Write Scan Driver Init в ходе операции Инициализация (Initialize).</t>
  </si>
  <si>
    <t xml:space="preserve">5D8HS02</t>
  </si>
  <si>
    <t xml:space="preserve">Ошибка Sensor (MR/UV/DD/Gate) Power Off Scan Driver Init в ходе операции Инициализация (Initialize).</t>
  </si>
  <si>
    <t xml:space="preserve">5D8HS03</t>
  </si>
  <si>
    <t xml:space="preserve">Ошибка Контактного датчика изображения CIS Led On Value Set Fail Scan Driver Init в ходе операции Инициализация (Initialize).</t>
  </si>
  <si>
    <t xml:space="preserve">5D8HS04</t>
  </si>
  <si>
    <t xml:space="preserve">Ошибка Источника Света Set Fail Scan Driver Init в ходе операции Инициализация (Initialize).</t>
  </si>
  <si>
    <t xml:space="preserve">5D8HS05</t>
  </si>
  <si>
    <t xml:space="preserve">Ошибка Контактного датчика изображения CIS Shading Scan Driver Init в ходе операции Инициализация (Initialize).</t>
  </si>
  <si>
    <t xml:space="preserve">5D8HS08</t>
  </si>
  <si>
    <t xml:space="preserve">Ошибка ЦАП Set Fail Scan Driver Init в ходе операции Инициализация (Initialize).</t>
  </si>
  <si>
    <t xml:space="preserve">5D8HS11</t>
  </si>
  <si>
    <t xml:space="preserve">Ошибка ПЛИС Write BCU Ready в ходе операции Инициализация (Initialize).</t>
  </si>
  <si>
    <t xml:space="preserve">5D8HS12</t>
  </si>
  <si>
    <t xml:space="preserve">Ошибка Sensor (MR/UV/DD/Gate) Power Off BCU Ready в ходе операции Инициализация (Initialize).</t>
  </si>
  <si>
    <t xml:space="preserve">5D8HS13</t>
  </si>
  <si>
    <t xml:space="preserve">Ошибка Контактного датчика изображения CIS Led On Value Set Fail BCU Ready в ходе операции Инициализация (Initialize).</t>
  </si>
  <si>
    <t xml:space="preserve">5D8HS14</t>
  </si>
  <si>
    <t xml:space="preserve">Ошибка Источника Света Set Fail BCU Ready в ходе операции Инициализация (Initialize).</t>
  </si>
  <si>
    <t xml:space="preserve">5D8HS15</t>
  </si>
  <si>
    <t xml:space="preserve">Ошибка Контактного датчика изображения CIS Shading BCU Ready в ходе операции Инициализация (Initialize).</t>
  </si>
  <si>
    <t xml:space="preserve">5D8HS17</t>
  </si>
  <si>
    <t xml:space="preserve">Ошибка AFE Chip Set BCU Ready в ходе операции Инициализация (Initialize).</t>
  </si>
  <si>
    <t xml:space="preserve">5D8HS18</t>
  </si>
  <si>
    <t xml:space="preserve">Ошибка ЦАП Set Fail BCU Ready в ходе операции Инициализация (Initialize).</t>
  </si>
  <si>
    <t xml:space="preserve">5D8HS19</t>
  </si>
  <si>
    <t xml:space="preserve">Ошибка MR/UV/DD Sampling BCU Ready в ходе операции Инициализация (Initialize).</t>
  </si>
  <si>
    <t xml:space="preserve">5D8HS1A</t>
  </si>
  <si>
    <t xml:space="preserve">Ошибка ЦАП Датчика Холла Set Fail BCU Ready в ходе операции Инициализация (Initialize).</t>
  </si>
  <si>
    <t xml:space="preserve">5D8HS1B</t>
  </si>
  <si>
    <t xml:space="preserve">Ошибка Датчика Холла Shading Fail BCU Ready в ходе операции Инициализация (Initialize).</t>
  </si>
  <si>
    <t xml:space="preserve">5D8HS22</t>
  </si>
  <si>
    <t xml:space="preserve">Ошибка Модуля Валидатора BC Stop Sensor (MR/UV/DD/Gate) Power Off Scan Driver Init в ходе операции Инициализация (Initialize).</t>
  </si>
  <si>
    <t xml:space="preserve">5D8HS28</t>
  </si>
  <si>
    <t xml:space="preserve">Ошибка Модуля Валидатора BC Stop DAC Set Fail Scan Driver Init в ходе операции Инициализация (Initialize).</t>
  </si>
  <si>
    <t xml:space="preserve">5D8HS29</t>
  </si>
  <si>
    <t xml:space="preserve">Ошибка Модуля Валидатора BC Stop MR/UV/DD Sampling BCU Ready в ходе операции Инициализация (Initialize).</t>
  </si>
  <si>
    <t xml:space="preserve">5D8R100</t>
  </si>
  <si>
    <t xml:space="preserve">Модуль Валидатора BC вернул ошибку таймаута сообщения в ходе готовности к операции Инициализация (Initialize).</t>
  </si>
  <si>
    <t xml:space="preserve">5D8R200</t>
  </si>
  <si>
    <t xml:space="preserve">Модуль Валидатора BC вернул ошибку таймаута сообщения при проведении транзакции в ходе операции Инициализация (Iintialize).</t>
  </si>
  <si>
    <t xml:space="preserve">5D8R300</t>
  </si>
  <si>
    <t xml:space="preserve">Модуль Валидатора BC вернул ошибку таймаута сообщения в ходе постпроцессинга ошибки операции Инициализация (Initialize Error).</t>
  </si>
  <si>
    <t xml:space="preserve">5D8R900</t>
  </si>
  <si>
    <t xml:space="preserve">Модуль Валидатора BC вернул ошибку таймаута сообщения в ходе операции Инициализация (Iintialize).</t>
  </si>
  <si>
    <t xml:space="preserve">5D8S100</t>
  </si>
  <si>
    <t xml:space="preserve">Получена неправильная Информация о памяти MI от Модуля Валидатора банкнот BC в ходе операции Инициализация (Iintialize).</t>
  </si>
  <si>
    <t xml:space="preserve">5D8S200</t>
  </si>
  <si>
    <t xml:space="preserve">Получен ненормальный BCC от Модуля Валидатора банкнот в ходе операции Инициализация (Iintialize).</t>
  </si>
  <si>
    <t xml:space="preserve">5D8S400</t>
  </si>
  <si>
    <t xml:space="preserve">Нарушение работы Ect Модуля Валидатора банкнот BC в ходе операции Инициализация (Iintialize).</t>
  </si>
  <si>
    <t xml:space="preserve">5D8S900</t>
  </si>
  <si>
    <t xml:space="preserve">Повторная попытка завершилась ошибкой Модуля Валидатора банкнот BC в ходе операции Инициализация (Iintialize).</t>
  </si>
  <si>
    <t xml:space="preserve">5D91300</t>
  </si>
  <si>
    <t xml:space="preserve">Датчик Кассеты Отбраковки RJC GSA03 сообщил об ошибке замятия по Темному типу в ходе операции Инициализация (Iintialize).</t>
  </si>
  <si>
    <t xml:space="preserve">5D91500</t>
  </si>
  <si>
    <t xml:space="preserve">Датчик Кассеты Отбраковки RJC GSA05 сообщил об ошибке замятия по Темному типу в ходе операции Инициализация (Iintialize).</t>
  </si>
  <si>
    <t xml:space="preserve">5D9J100</t>
  </si>
  <si>
    <t xml:space="preserve">Переполненная Кассета Отбраковки RJC в ходе операции Инициализация (Iintialize).</t>
  </si>
  <si>
    <t xml:space="preserve">5D9P100</t>
  </si>
  <si>
    <t xml:space="preserve">Ошибка мотора Кассеты Отбраковки RJC в ходе операции Инициализация (Iintialize).</t>
  </si>
  <si>
    <t xml:space="preserve">5D9R100</t>
  </si>
  <si>
    <t xml:space="preserve">Ошибка тайм-аута сообщения Кассеты Отбраковки RJC в ходе готовности к операции Инициализация (Initialize).</t>
  </si>
  <si>
    <t xml:space="preserve">5D9R200</t>
  </si>
  <si>
    <t xml:space="preserve">Ошибка тайм-аута сообщения Кассеты Отбраковки RJC при проведении транзакции в ходе операции Инициализация (Initialize).</t>
  </si>
  <si>
    <t xml:space="preserve">5D9R300</t>
  </si>
  <si>
    <t xml:space="preserve">Ошибка тайм-аута сообщения Кассеты Отбраковки RJC в ходе постпроцессинга ошибки операции Инициализация (Initialize Error).</t>
  </si>
  <si>
    <t xml:space="preserve">5DA2C00</t>
  </si>
  <si>
    <t xml:space="preserve">Произошла ошибка оставшихся банкнот в Модуле Валидатора банкнот BCU (Контактный датчик изображения CIS) when Initialize .</t>
  </si>
  <si>
    <t xml:space="preserve">5DA2Z00</t>
  </si>
  <si>
    <t xml:space="preserve">Информационный статус. Оставшиеся банкноты в Модуле обслуживания клиентов CSM и Модуле временного хранения_TE в ходе операции Инициализация (Initialize).</t>
  </si>
  <si>
    <t xml:space="preserve">1. Откройте верхнюю часть Модуля Рециркуляции Банкнот 2. Откройте Модуль обслуживания клиентов CSM (1) 3. Удалите банкноты и посторонние предметы из Модуля обслуживания клиентов CSM(1) 4. Откройте Модуль обслуживания клиентов (CSM) 5. Прокрутите круглую ручку Модуля временного хранения_TE (12) 6. Удалите банкноты и посторонние предметы из Заднего Транспортного Тракта (11) 7. В случае отсутствия банкнот или посторонних предметов проверьте не загрязнен ли датчик</t>
  </si>
  <si>
    <t xml:space="preserve">5DAA100</t>
  </si>
  <si>
    <t xml:space="preserve">Вынутое состояние Вспомогательной (невостребованных/фальшивых банкнот) Кассеты UTC перед выполнением операции Инициализация (Iintialize).</t>
  </si>
  <si>
    <t xml:space="preserve">1. Откройте верхнюю часть Модуля Рециркуляции Банкнот 2. Проверьте, что Вспомогательная (невостребованных/фальшивых банкнот) kассета установлена (9)</t>
  </si>
  <si>
    <t xml:space="preserve">5DAA200</t>
  </si>
  <si>
    <t xml:space="preserve">Модуль временного хранения открыт перед выполнением операции Инициализация (Iintialize).</t>
  </si>
  <si>
    <t xml:space="preserve">5DAA300</t>
  </si>
  <si>
    <t xml:space="preserve">Отстыкованное состояние концевого переключателя (inter lock) Верхней части Модуля Рециркуляции Банкнот BMU before the operation error в ходе операции Инициализация (Iintialize).</t>
  </si>
  <si>
    <t xml:space="preserve">5DAA400</t>
  </si>
  <si>
    <t xml:space="preserve">Выдвинутое состояние Верхней части Модуля Рециркуляции Банкнот BMU перед выполнением операции в ходе операции Инициализация (Iintialize).</t>
  </si>
  <si>
    <t xml:space="preserve">5DAA600</t>
  </si>
  <si>
    <t xml:space="preserve">Открыт Модуль обслуживания клиентов CSM перед выполнением операции Инициализация (Iintialize).</t>
  </si>
  <si>
    <t xml:space="preserve">5DAA700</t>
  </si>
  <si>
    <t xml:space="preserve">Вынутое состояние Кассеты Отбраковки RJC перед выполнением операции Инициализация (Iintialize).</t>
  </si>
  <si>
    <t xml:space="preserve">5DAA800</t>
  </si>
  <si>
    <t xml:space="preserve">Отстыкованное состояние концевого переключателя (inter lock) Нижней части Модуля Рециркуляции Банкнот BMD перед выполнением операции Инициализация (Iintialize).</t>
  </si>
  <si>
    <t xml:space="preserve">5DAA900</t>
  </si>
  <si>
    <t xml:space="preserve">Выдвинутое состояние Нижней части Модуля Рециркуляции Банкнот BMD перед выполнением операции Инициализация (Iintialize).</t>
  </si>
  <si>
    <t xml:space="preserve">5DAAA00</t>
  </si>
  <si>
    <t xml:space="preserve">Модуль Валидатора банкнот BC открыт перед работой в ходе операции Инициализация (Iintialize).</t>
  </si>
  <si>
    <t xml:space="preserve">5DAAP00</t>
  </si>
  <si>
    <t xml:space="preserve">После ошибки в Тракте Кассеты Рециркуляции RC1, обнаружены банкноты в области датчика GS105 в ходе операции Инициализация (Iintialize)..</t>
  </si>
  <si>
    <t xml:space="preserve">1. Удалите банкноты.2. Замените Кассету Рециркуляции RC1 в случае повторения ошибки в процессе инициализации</t>
  </si>
  <si>
    <t xml:space="preserve">5DAAQ00</t>
  </si>
  <si>
    <t xml:space="preserve">После ошибки в Тракте Кассеты Рециркуляции RC2, обнаружены банкноты в области датчика gs205 в ходе операции Инициализация (Iintialize)..</t>
  </si>
  <si>
    <t xml:space="preserve">1. Удалите банкноты.2. Замените Кассету Рециркуляции RC2 в случае повторения ошибки в процессе инициализации</t>
  </si>
  <si>
    <t xml:space="preserve">5DAAR00</t>
  </si>
  <si>
    <t xml:space="preserve">После ошибки в Тракте Кассеты Рециркуляции RC3, обнаружены банкноты в области датчика gs305 в ходе операции Инициализация (Iintialize)..</t>
  </si>
  <si>
    <t xml:space="preserve">1. Удалите банкноты.2. Замените Кассету Рециркуляции RC3 в случае повторения ошибки в процессе инициализации</t>
  </si>
  <si>
    <t xml:space="preserve">5DAAS00</t>
  </si>
  <si>
    <t xml:space="preserve">После ошибки в Тракте Кассеты Рециркуляции RC4, обнаружены банкноты в области датчика gs405 в ходе операции Инициализация (Iintialize)..</t>
  </si>
  <si>
    <t xml:space="preserve">1. Удалите банкноты.2. Замените Кассету Рециркуляции RC4 в случае повторения ошибки в процессе инициализации</t>
  </si>
  <si>
    <t xml:space="preserve">5DAAT00</t>
  </si>
  <si>
    <t xml:space="preserve">После ошибки в Тракте Кассеты Рециркуляции RC5, обнаружены банкноты в области датчика gs505 в ходе операции Инициализация (Iintialize)..</t>
  </si>
  <si>
    <t xml:space="preserve">1. Удалите банкноты.2. Замените Кассету Рециркуляции RC5 в случае повторения ошибки в процессе инициализации</t>
  </si>
  <si>
    <t xml:space="preserve">5DAAU</t>
  </si>
  <si>
    <t xml:space="preserve">Произошла ошибка возврата банкнот AUD short length, обнаружены банкноты в зоне разделителя Модуля обслуживания клиентов CSM в ходе операции Инициализация (Iintialize).</t>
  </si>
  <si>
    <t xml:space="preserve">1. Удалите банкноты. 2. Замените Модуль обслуживания клиентов в случае повторения ошибки в процессе операции инициализации.</t>
  </si>
  <si>
    <t xml:space="preserve">5DAE100</t>
  </si>
  <si>
    <t xml:space="preserve">Получена операция без выполнения команды установки начальных данных (Initail Info Set) в ходе операции Инициализация (Iintialize).</t>
  </si>
  <si>
    <t xml:space="preserve">5DAE200</t>
  </si>
  <si>
    <t xml:space="preserve">Состояние not operation при получении команды в ходе операции Инициализация (Iintialize).</t>
  </si>
  <si>
    <t xml:space="preserve">5DAE300</t>
  </si>
  <si>
    <t xml:space="preserve">Получена операция без выполнения команды чтения системных данных (Sysrem Info Read) в ходе операции Инициализация (Iintialize).</t>
  </si>
  <si>
    <t xml:space="preserve">5DAE600</t>
  </si>
  <si>
    <t xml:space="preserve">Ошибка обработки операции Инициализация (Initialize) в ходе операции Работа кнопки TE (TE Button Operating).</t>
  </si>
  <si>
    <t xml:space="preserve">5DAEE00</t>
  </si>
  <si>
    <t xml:space="preserve">Нарушение последовательности сообщений интерфейса RS485 платы контроллера RBU в ходе операции Инициализация (Iintialize).</t>
  </si>
  <si>
    <t xml:space="preserve">5DAEF00</t>
  </si>
  <si>
    <t xml:space="preserve">Нарушение линии связи интерфейса RS485 платы контроллера RBU в ходе операции Инициализация (Iintialize).</t>
  </si>
  <si>
    <t xml:space="preserve">5DAH500</t>
  </si>
  <si>
    <t xml:space="preserve">Ошибка Чтения/Записи памяти NVRAM (128 деноминаций) в ходе операции Инициализация (Iintialize).</t>
  </si>
  <si>
    <t xml:space="preserve">5DAR100</t>
  </si>
  <si>
    <t xml:space="preserve">Возвращена ошибка таймаута сообщения в ходе готовности к операции Инициализация (Initialize).</t>
  </si>
  <si>
    <t xml:space="preserve">5DAR200</t>
  </si>
  <si>
    <t xml:space="preserve">Возвращена ошибка таймаута сообщения при проведении транзакции в ходе операции Инициализация (Initialize).</t>
  </si>
  <si>
    <t xml:space="preserve">5DAR300</t>
  </si>
  <si>
    <t xml:space="preserve">Возвращена ошибка таймаута сообщения в ходе постпроцессинга ошибки операции Инициализация (Initialize Error).</t>
  </si>
  <si>
    <t xml:space="preserve">5DAR700</t>
  </si>
  <si>
    <t xml:space="preserve">Контроллер RBU вернул ошибку таймаута сообщения в ходе операции Инициализация (Iintialize).</t>
  </si>
  <si>
    <t xml:space="preserve">5DAR800</t>
  </si>
  <si>
    <t xml:space="preserve">Датчик RBU/BC вернул ошибку таймаута сообщения автоматического затемнения в ходе операции Инициализация (Iintialize).</t>
  </si>
  <si>
    <t xml:space="preserve">5DBH100</t>
  </si>
  <si>
    <t xml:space="preserve">Ошибка чтения памяти EEPROM Кассеты Рециркуляции RC1 в ходе операции Инициализация (Iintialize).</t>
  </si>
  <si>
    <t xml:space="preserve">5DBH200</t>
  </si>
  <si>
    <t xml:space="preserve">Ошибка чтения памяти EEPROM Кассеты Рециркуляции RC2 в ходе операции Инициализация (Iintialize).</t>
  </si>
  <si>
    <t xml:space="preserve">5DBH300</t>
  </si>
  <si>
    <t xml:space="preserve">Ошибка чтения памяти EEPROM Кассеты Рециркуляции RC3 в ходе операции Инициализация (Iintialize).</t>
  </si>
  <si>
    <t xml:space="preserve">5DBH400</t>
  </si>
  <si>
    <t xml:space="preserve">Ошибка чтения памяти EEPROM Кассеты Рециркуляции RC4 в ходе операции Инициализация (Iintialize).</t>
  </si>
  <si>
    <t xml:space="preserve">5DBH500</t>
  </si>
  <si>
    <t xml:space="preserve">Ошибка чтения памяти EEPROM Кассеты Рециркуляции RC5 в ходе операции Инициализация (Iintialize).</t>
  </si>
  <si>
    <t xml:space="preserve">5DBH600</t>
  </si>
  <si>
    <t xml:space="preserve">Ошибка записи памяти EEPROM Кассеты Рециркуляции RC1 в ходе операции Инициализация (Iintialize).</t>
  </si>
  <si>
    <t xml:space="preserve">5DBH700</t>
  </si>
  <si>
    <t xml:space="preserve">Ошибка записи памяти EEPROM Кассеты Рециркуляции RC2 в ходе операции Инициализация (Iintialize).</t>
  </si>
  <si>
    <t xml:space="preserve">5DBH800</t>
  </si>
  <si>
    <t xml:space="preserve">Ошибка записи памяти EEPROM Кассеты Рециркуляции RC3 в ходе операции Инициализация (Iintialize).</t>
  </si>
  <si>
    <t xml:space="preserve">5DBH900</t>
  </si>
  <si>
    <t xml:space="preserve">Ошибка записи памяти EEPROM Кассеты Рециркуляции RC4 в ходе операции Инициализация (Iintialize).</t>
  </si>
  <si>
    <t xml:space="preserve">5DBHA00</t>
  </si>
  <si>
    <t xml:space="preserve">Ошибка записи памяти EEPROM Кассеты Рециркуляции RC5 в ходе операции Инициализация (Iintialize).</t>
  </si>
  <si>
    <t xml:space="preserve">5DBHB00</t>
  </si>
  <si>
    <t xml:space="preserve">Ошибка проверки данных памяти EEPROM Кассеты Рециркуляции RC1 в ходе операции Инициализация (Initialize).</t>
  </si>
  <si>
    <t xml:space="preserve">5DBHC00</t>
  </si>
  <si>
    <t xml:space="preserve">Ошибка проверки данных памяти EEPROM Кассеты Рециркуляции RC2 в ходе операции Инициализация (Initialize).</t>
  </si>
  <si>
    <t xml:space="preserve">5DBHD00</t>
  </si>
  <si>
    <t xml:space="preserve">Ошибка проверки данных памяти EEPROM Кассеты Рециркуляции RC3 в ходе операции Инициализация (Initialize).</t>
  </si>
  <si>
    <t xml:space="preserve">5DBHE00</t>
  </si>
  <si>
    <t xml:space="preserve">Ошибка проверки данных памяти EEPROM Кассеты Рециркуляции RC4 в ходе операции Инициализация (Initialize).</t>
  </si>
  <si>
    <t xml:space="preserve">5DBHF00</t>
  </si>
  <si>
    <t xml:space="preserve">Ошибка проверки данных памяти EEPROM Кассеты Рециркуляции RC5 в ходе операции Инициализация (Initialize).</t>
  </si>
  <si>
    <t xml:space="preserve">5DBHG00</t>
  </si>
  <si>
    <t xml:space="preserve">Не обнаружен концевой переключатель (интерлок) при Чтении/Записи памяти EEPROM Кассеты Рециркуляции RC в ходе операции Инициализация (Iintialize).</t>
  </si>
  <si>
    <t xml:space="preserve">5DBR000</t>
  </si>
  <si>
    <t xml:space="preserve">Превышено время ожидание ответа платы контроллера RBU в ходе операции Инициализация (Iintialize).</t>
  </si>
  <si>
    <t xml:space="preserve">5DBR700</t>
  </si>
  <si>
    <t xml:space="preserve">5DBS000</t>
  </si>
  <si>
    <t xml:space="preserve">Ошибка таймаута связи контроллера RBU в ходе операции Инициализация (Initialize).</t>
  </si>
  <si>
    <t xml:space="preserve">5DBS100</t>
  </si>
  <si>
    <t xml:space="preserve">Ошибка последовательности сообщений платы контроллера RBU в ходе операции Инициализация (Initialize).</t>
  </si>
  <si>
    <t xml:space="preserve">5DBS200</t>
  </si>
  <si>
    <t xml:space="preserve">Ошибка Информации о памяти MI в ходе соединения контроллера RBU в ходе операции Инициализация (Initialize).</t>
  </si>
  <si>
    <t xml:space="preserve">5DUS100</t>
  </si>
  <si>
    <t xml:space="preserve">Ошибка дублирования номера последовательности USB в ходе операции Инициализация (Initialize).</t>
  </si>
  <si>
    <t xml:space="preserve">5DUS300</t>
  </si>
  <si>
    <t xml:space="preserve">Ошибка длины данных команды USB  в ходе операции Инициализация (Initialize).</t>
  </si>
  <si>
    <t xml:space="preserve">5E02100</t>
  </si>
  <si>
    <t xml:space="preserve">Произошла ошибка оставшихся банкнот в области датчика GS801 в ходе операции Начало Выдачи (Withdrawal Ready) перед открытием шаттера.</t>
  </si>
  <si>
    <t xml:space="preserve">5E02200</t>
  </si>
  <si>
    <t xml:space="preserve">Произошла ошибка оставшихся банкнот в области датчика GS002 в ходе операции Начало Выдачи (Withdrawal Ready) перед открытием шаттера.</t>
  </si>
  <si>
    <t xml:space="preserve">5E02300</t>
  </si>
  <si>
    <t xml:space="preserve">Произошла ошибка оставшихся банкнот в области датчика GS003 в ходе операции Начало Выдачи (Withdrawal Ready) перед открытием шаттера.</t>
  </si>
  <si>
    <t xml:space="preserve">5E02400</t>
  </si>
  <si>
    <t xml:space="preserve">Произошла ошибка оставшихся банкнот в области датчика GS004 в ходе операции Начало Выдачи (Withdrawal Ready) перед открытием шаттера.</t>
  </si>
  <si>
    <t xml:space="preserve">5E02500</t>
  </si>
  <si>
    <t xml:space="preserve">Произошла ошибка оставшихся банкнот в области датчика GS005 в ходе операции Начало Выдачи (Withdrawal Ready) перед открытием шаттера.</t>
  </si>
  <si>
    <t xml:space="preserve">5E02600</t>
  </si>
  <si>
    <t xml:space="preserve">Произошла ошибка оставшихся банкнот в области датчика GS006 в ходе операции Начало Выдачи (Withdrawal Ready) перед открытием шаттера.</t>
  </si>
  <si>
    <t xml:space="preserve">5E02A00</t>
  </si>
  <si>
    <t xml:space="preserve">Произошла ошибка оставшихся банкнот в области датчика GS021 в ходе операции Начало Выдачи (Withdrawal Ready) перед открытием шаттера.</t>
  </si>
  <si>
    <t xml:space="preserve">5E02B00</t>
  </si>
  <si>
    <t xml:space="preserve">Произошла ошибка оставшихся банкнот в области датчика GS022 в ходе операции Начало Выдачи (Withdrawal Ready) перед открытием шаттера.</t>
  </si>
  <si>
    <t xml:space="preserve">5E02G00</t>
  </si>
  <si>
    <t xml:space="preserve">Произошла ошибка оставшихся банкнот в области датчика GS614 в ходе операции Начало Выдачи (Withdrawal Ready) перед открытием шаттера.</t>
  </si>
  <si>
    <t xml:space="preserve">5E02H00</t>
  </si>
  <si>
    <t xml:space="preserve">Произошла ошибка оставшихся банкнот в области датчика GS618 в ходе операции Начало Выдачи (Withdrawal Ready) перед открытием шаттера.</t>
  </si>
  <si>
    <t xml:space="preserve">5E02J00</t>
  </si>
  <si>
    <t xml:space="preserve">Произошла ошибка оставшихся банкнот в области датчика GS619 в ходе операции Начало Выдачи (Withdrawal Ready) перед открытием шаттера.</t>
  </si>
  <si>
    <t xml:space="preserve">5E02K00</t>
  </si>
  <si>
    <t xml:space="preserve">Произошла ошибка оставшихся банкнот в области датчика GS703 в ходе операции Начало Выдачи (Withdrawal Ready) перед открытием шаттера.</t>
  </si>
  <si>
    <t xml:space="preserve">5E02M00</t>
  </si>
  <si>
    <t xml:space="preserve">Произошла ошибка оставшихся банкнот в области датчика GS031 в ходе операции Начало Выдачи (Withdrawal Ready) перед открытием шаттера.</t>
  </si>
  <si>
    <t xml:space="preserve">5E02N00</t>
  </si>
  <si>
    <t xml:space="preserve">Произошла ошибка оставшихся банкнот в области датчика GS032 в ходе операции Начало Выдачи (Withdrawal Ready) перед открытием шаттера.</t>
  </si>
  <si>
    <t xml:space="preserve">5E02P00</t>
  </si>
  <si>
    <t xml:space="preserve">Произошла ошибка оставшихся банкнот в области датчика GS033 в ходе операции Начало Выдачи (Withdrawal Ready) перед открытием шаттера.</t>
  </si>
  <si>
    <t xml:space="preserve">5E02Q00</t>
  </si>
  <si>
    <t xml:space="preserve">Произошла ошибка оставшихся банкнот в области датчика GS034 в ходе операции Начало Выдачи (Withdrawal Ready) перед открытием шаттера.</t>
  </si>
  <si>
    <t xml:space="preserve">5E0NC00</t>
  </si>
  <si>
    <t xml:space="preserve">Не удалось проверить последнюю банкноту в окончании Среднего Транспортного Тракта в ходе операции opening shutter.</t>
  </si>
  <si>
    <t xml:space="preserve">5E0R100</t>
  </si>
  <si>
    <t xml:space="preserve">Возвращена ошибка таймаута сообщения в ходе готовности к операции Начало Выдачи (Withdrawal Ready) перед открытием шаттера.</t>
  </si>
  <si>
    <t xml:space="preserve">5E0R200</t>
  </si>
  <si>
    <t xml:space="preserve">Возвращена ошибка таймаута сообщения при проведении транзакции в ходе операции Начало Выдачи (Withdrawal Ready) перед открытием шаттера.</t>
  </si>
  <si>
    <t xml:space="preserve">5E0R300</t>
  </si>
  <si>
    <t xml:space="preserve">Возвращена ошибка таймаута сообщения в ходе постпроцессинга ошибки операции Начало Выдачи перед открытием Шаттера (Withdrawal Ready before opening shutter Error).</t>
  </si>
  <si>
    <t xml:space="preserve">5E0RJ00</t>
  </si>
  <si>
    <t xml:space="preserve">Возвращена ошибка таймаута сообщения при операции Начало Остановки (Stop Ready) в ходе операции Начало Выдачи (Withdrawal Ready) перед открытием шаттера.</t>
  </si>
  <si>
    <t xml:space="preserve">5E62100</t>
  </si>
  <si>
    <t xml:space="preserve">Произошла ошибка оставшихся банкнот в области датчика GS505 в ходе операции Начало Выдачи (Withdrawal Ready) перед открытием шаттера.</t>
  </si>
  <si>
    <t xml:space="preserve">1. Откройте верхнюю часть Модуля Рециркуляции Банкнот 2. Откройте Модуль обслуживания клиентов(1) 3. Удалите банкноты и посторонние предметы из Модуля обслуживания клиентов CSM(1) 4. В случае отсутствия банкнот или посторонних предметов проверьте не загрязнен ли датчик</t>
  </si>
  <si>
    <t xml:space="preserve">5E62400</t>
  </si>
  <si>
    <t xml:space="preserve">Неизвестная ошибка команды Модуля обслуживания клиентов (CSM) в ходе операции Начало Выдачи (Withdrawal Ready) перед открытием шаттера.</t>
  </si>
  <si>
    <t xml:space="preserve">5E6B100</t>
  </si>
  <si>
    <t xml:space="preserve">Неправильное положение полученных банкнот в ходе операции Шаттер Открыт (Shutter Open).</t>
  </si>
  <si>
    <t xml:space="preserve">5E6G100</t>
  </si>
  <si>
    <t xml:space="preserve">Ошибка перемещения Задней прижимной пластины BP в положение для укладывания банкнот в пачку в ходе операции Начало Выдачи (Withdrawal Ready) перед открытием шаттера.</t>
  </si>
  <si>
    <t xml:space="preserve">1. Откройте верхнюю часть Модуля Рециркуляции Банкнот 2. Откройте шторку Модуля обслуживания клиентов CSM (1) 3. Удалите банкноты и посторонние предметы из Модуля обслуживания клиентов CSM</t>
  </si>
  <si>
    <t xml:space="preserve">5E6G200</t>
  </si>
  <si>
    <t xml:space="preserve">Ошибка выдачи банкнот Задней прижимной пластины BP в ходе операции Начало Выдачи (Withdrawal Ready) перед открытием шаттера.</t>
  </si>
  <si>
    <t xml:space="preserve">5E6G300</t>
  </si>
  <si>
    <t xml:space="preserve">Ошибка перемещения Задней прижимной пластины BP в положение для разделения банкнот в ходе операции Начало Выдачи (Withdrawal Ready) перед открытием шаттера.</t>
  </si>
  <si>
    <t xml:space="preserve">5E6G400</t>
  </si>
  <si>
    <t xml:space="preserve">Ошибка контроля разделения банкнот Задней прижимной пластины BP в ходе операции Начало Выдачи (Withdrawal Ready) перед открытием шаттера.</t>
  </si>
  <si>
    <t xml:space="preserve">5E6G500</t>
  </si>
  <si>
    <t xml:space="preserve">Ошибка положения Задней прижимной пластины BP при выдаче банкнот в ходе операции Начало Выдачи (Withdrawal Ready) перед открытием шаттера.</t>
  </si>
  <si>
    <t xml:space="preserve">5E6G600</t>
  </si>
  <si>
    <t xml:space="preserve">Не удалось переместить слистывающий ролик в исходное положение в ходе операции Начало Выдачи (Withdrawal Ready) перед открытием шаттера.</t>
  </si>
  <si>
    <t xml:space="preserve">1. Откройте верхнюю часть Модуля Рециркуляции Банкнот 2. Проверьте, что круглая ручка Модуля обслуживания клиентов CSM вращается свободно (2) </t>
  </si>
  <si>
    <t xml:space="preserve">5E6G800</t>
  </si>
  <si>
    <t xml:space="preserve">Не удалось вернуть банкноты (Separate motor работает с ошибками) в ходе операции Начало Выдачи (Withdrawal Ready) перед открытием шаттера.</t>
  </si>
  <si>
    <t xml:space="preserve">5E6GA00</t>
  </si>
  <si>
    <t xml:space="preserve">Не удалось переместить укладывающий ролик в положение Выдача(укладка) (GM605 работает с ошибками) в ходе операции Начало Выдачи (Withdrawal Ready) перед открытием шаттера.</t>
  </si>
  <si>
    <t xml:space="preserve">1. Откройте верхнюю часть Модуля Рециркуляции Банкнот 2. Убедитесь, что круглая ручка Модуля обслуживания клиентов CSM (3) вращается свободно </t>
  </si>
  <si>
    <t xml:space="preserve">5E6GB00</t>
  </si>
  <si>
    <t xml:space="preserve">Не удалось переместить укладывающий ролик в положение для Депозита (GM605 работает с ошибками) в ходе операции Начало Выдачи (Withdrawal Ready) перед открытием шаттера.</t>
  </si>
  <si>
    <t xml:space="preserve">5E6GC00</t>
  </si>
  <si>
    <t xml:space="preserve">Сбой управления укладывающего ролика(GM605 работает с ошибками) в ходе операции Начало Выдачи (Withdrawal Ready) перед открытием шаттера.</t>
  </si>
  <si>
    <t xml:space="preserve">5E6GD00</t>
  </si>
  <si>
    <t xml:space="preserve">Не удалось выполнить Поднимание (Lift-up) в ходе операции opening shutter.</t>
  </si>
  <si>
    <t xml:space="preserve">5E6GE00</t>
  </si>
  <si>
    <t xml:space="preserve">Не удалось выполнить Опускание (Lift-down) в ходе операции opening shutter.</t>
  </si>
  <si>
    <t xml:space="preserve">5E6GF00</t>
  </si>
  <si>
    <t xml:space="preserve">Не удалось переместить ролик затвора в исходное положение в ходе операции opening shutter.</t>
  </si>
  <si>
    <t xml:space="preserve">5E6M200</t>
  </si>
  <si>
    <t xml:space="preserve">Ошибка в ходе операции Шаттер Открыт (Shutter Open).</t>
  </si>
  <si>
    <t xml:space="preserve">5E6P100</t>
  </si>
  <si>
    <t xml:space="preserve">Ошибка перемещения Прижимной Пластины PP в положение Выдача (укладка) в ходе операции Начало Выдачи (Withdrawal Ready) перед открытием шаттера.</t>
  </si>
  <si>
    <t xml:space="preserve">1. Откройте верхнюю часть Модуля Рециркуляции Банкнот 2. Убедитесь, что круглая ручка в Модуле обслуживания клиентов CSM вращается свободно (1) </t>
  </si>
  <si>
    <t xml:space="preserve">5E6P200</t>
  </si>
  <si>
    <t xml:space="preserve">Ошибка перемещения Прижимной Пластины в положение депозита в ходе операции Начало Выдачи (Withdrawal Ready) перед открытием шаттера.</t>
  </si>
  <si>
    <t xml:space="preserve">5E6P300</t>
  </si>
  <si>
    <t xml:space="preserve">Ошибка перемещения Прижимной Пластины PP в положение разделения в ходе операции Начало Выдачи (Withdrawal Ready) перед открытием шаттера.</t>
  </si>
  <si>
    <t xml:space="preserve">5E6P400</t>
  </si>
  <si>
    <t xml:space="preserve">Ошибка перемещения Прижимной Пластины PP в положение lose return в ходе операции Начало Выдачи (Withdrawal Ready) перед открытием шаттера.</t>
  </si>
  <si>
    <t xml:space="preserve">5E6P500</t>
  </si>
  <si>
    <t xml:space="preserve">Ошибка перемещения Прижимной Пластины PP в положение выдачи банкнот в ходе операции Начало Выдачи (Withdrawal Ready) перед открытием шаттера.</t>
  </si>
  <si>
    <t xml:space="preserve">5E6P600</t>
  </si>
  <si>
    <t xml:space="preserve">Ошибка выравнивания банкнот Прижимной Пластины PP в ходе операции Начало Выдачи (Withdrawal Ready) перед открытием шаттера.</t>
  </si>
  <si>
    <t xml:space="preserve">5E6P700</t>
  </si>
  <si>
    <t xml:space="preserve">Ошибка контроля разделения (во время сепарации) Прижимной Пластины PP в ходе операции Начало Выдачи (Withdrawal Ready) перед открытием шаттера.</t>
  </si>
  <si>
    <t xml:space="preserve">5E6P800</t>
  </si>
  <si>
    <t xml:space="preserve">Ошибка контроля укладки (во время укладывания) Прижимной Пластины PP в ходе операции Начало Выдачи (Withdrawal Ready) перед открытием шаттера.</t>
  </si>
  <si>
    <t xml:space="preserve">5E6P900</t>
  </si>
  <si>
    <t xml:space="preserve">Ошибка возврата банкнот в ходе операции Начало Выдачи (Withdrawal Ready) перед открытием шаттера.</t>
  </si>
  <si>
    <t xml:space="preserve">1. Откройте верхнюю часть Модуля Рециркуляции Банкнот 2. Проверьте, что круглая ручка Модуля обслуживания клиентов CSM вращается свободно (2) 4. Удалите банкноты и посторонние предметы из Модуля обслуживания клиентов CSM(2) 4. В случае отсутствия банкнот или посторонних предметов проверьте не загрязнен ли датчик</t>
  </si>
  <si>
    <t xml:space="preserve">5E6PA00</t>
  </si>
  <si>
    <t xml:space="preserve">Ошибка ready stop Прижимной Пластины PP в ходе операции Начало Выдачи (Withdrawal Ready) перед открытием шаттера.</t>
  </si>
  <si>
    <t xml:space="preserve">5E6R100</t>
  </si>
  <si>
    <t xml:space="preserve">Модуль обслуживания клиентов CSM вернул ошибку таймаута сообщения в ходе готовности к операции Шаттер Открыт (Shutter Open).</t>
  </si>
  <si>
    <t xml:space="preserve">5E6R200</t>
  </si>
  <si>
    <t xml:space="preserve">Модуль обслуживания клиентов CSM вернул ошибку таймаута сообщения при проведении транзакции в ходе операции Шаттер Открыт (Shutter Open).</t>
  </si>
  <si>
    <t xml:space="preserve">5E6R300</t>
  </si>
  <si>
    <t xml:space="preserve">Модуль обслуживания клиентов CSM вернул ошибку таймаута сообщения в ходе постпроцессинга ошибки операции Шаттер Открыт (Shutter Open Error).</t>
  </si>
  <si>
    <t xml:space="preserve">5E6RJ00</t>
  </si>
  <si>
    <t xml:space="preserve">Модуль обслуживания клиентов CSM вернул ошибку таймаута сообщения в ходе операции Начало Остановки (Stop Ready).</t>
  </si>
  <si>
    <t xml:space="preserve">5E71300</t>
  </si>
  <si>
    <t xml:space="preserve">GS703 замятие в области датчика по Темному типу в ходе операции Шаттер Открыт (Shutter Open).</t>
  </si>
  <si>
    <t xml:space="preserve">5E72100</t>
  </si>
  <si>
    <t xml:space="preserve">Произошла ошибка оставшихся банкнот в области датчика GS701 в ходе операции Шаттер Открыт (Shutter Open).</t>
  </si>
  <si>
    <t xml:space="preserve">5E72200</t>
  </si>
  <si>
    <t xml:space="preserve">Произошла ошибка оставшихся банкнот в области датчика GS702 в ходе операции Шаттер Открыт (Shutter Open).</t>
  </si>
  <si>
    <t xml:space="preserve">5E72300</t>
  </si>
  <si>
    <t xml:space="preserve">Произошла ошибка оставшихся банкнот в области датчика GS703 в ходе операции Шаттер Открыт (Shutter Open).</t>
  </si>
  <si>
    <t xml:space="preserve">5E72800</t>
  </si>
  <si>
    <t xml:space="preserve">Произошла ошибка оставшихся банкнот в области датчика GS709 в ходе операции Шаттер Открыт (Shutter Open).</t>
  </si>
  <si>
    <t xml:space="preserve">5E7G100</t>
  </si>
  <si>
    <t xml:space="preserve">Нарушение движения двигателя в сторону укладки в ходе операции Шаттер Открыт (Shutter Open).</t>
  </si>
  <si>
    <t xml:space="preserve">5E7G200</t>
  </si>
  <si>
    <t xml:space="preserve">Нарушение движения двигателя в сторону разделения в ходе операции Шаттер Открыт (Shutter Open).</t>
  </si>
  <si>
    <t xml:space="preserve">5E7G300</t>
  </si>
  <si>
    <t xml:space="preserve">Нарушение остановки двигателя в ходе операции Шаттер Открыт (Shutter Open).</t>
  </si>
  <si>
    <t xml:space="preserve">5E7G400</t>
  </si>
  <si>
    <t xml:space="preserve">Не обнаружен передний конец ленты в ходе операции Шаттер Открыт (Shutter Open).</t>
  </si>
  <si>
    <t xml:space="preserve">5E7G500</t>
  </si>
  <si>
    <t xml:space="preserve">Обнаружен передний конец ленты в ходе операции Шаттер Открыт (Shutter Open).</t>
  </si>
  <si>
    <t xml:space="preserve">5E7G700</t>
  </si>
  <si>
    <t xml:space="preserve">Обнаружен задний конец ленты в ходе операции Шаттер Открыт (Shutter Open).</t>
  </si>
  <si>
    <t xml:space="preserve">5E7J100</t>
  </si>
  <si>
    <t xml:space="preserve">Барабан Модуля временного хранения_TE переполнен в ходе операции Шаттер Открыт (Shutter Open).</t>
  </si>
  <si>
    <t xml:space="preserve">5E7R100</t>
  </si>
  <si>
    <t xml:space="preserve">Модуль временного хранения_TE вернул ошибку таймаута сообщения в ходе готовности к операцииШаттер Открыт (Shutter Open).</t>
  </si>
  <si>
    <t xml:space="preserve">5E7R200</t>
  </si>
  <si>
    <t xml:space="preserve">Модуль временного хранения_TE вернул ошибку таймаута сообщения при проведении транзакции в ходе операции Шаттер Открыт (Shutter Open).</t>
  </si>
  <si>
    <t xml:space="preserve">5E7R300</t>
  </si>
  <si>
    <t xml:space="preserve">Модуль временного хранения_TE вернул ошибку таймаута сообщения в ходе постпроцессинга ошибки операции Шаттер Открыт (Shutter Open Error).</t>
  </si>
  <si>
    <t xml:space="preserve">5E7RJ00</t>
  </si>
  <si>
    <t xml:space="preserve">Модуль временного хранения_TE вернул ошибку таймаута сообщения в ходе операции Шаттер Открыт (Shutter Open).</t>
  </si>
  <si>
    <t xml:space="preserve">5EAA200</t>
  </si>
  <si>
    <t xml:space="preserve">Модуль временного хранения открыт перед выполнением операции Начало Остановки (Stop Ready).</t>
  </si>
  <si>
    <t xml:space="preserve">5EAA300</t>
  </si>
  <si>
    <t xml:space="preserve">Отстыкованное состояние концевого переключателя (inter lock) Верхней части Модуля Рециркуляции Банкнот BMU before Шаттер Открыт (Shutter Open).</t>
  </si>
  <si>
    <t xml:space="preserve">5EAA400</t>
  </si>
  <si>
    <t xml:space="preserve">Выдвинутое состояние Верхней части Модуля Рециркуляции Банкнот BMU перед выполнением операции Шаттер Открыт (Shutter Open).</t>
  </si>
  <si>
    <t xml:space="preserve">5EAA600</t>
  </si>
  <si>
    <t xml:space="preserve">Открыт Модуль обслуживания клиентов CSM перед выполнением операции Шаттер Открыт (Shutter Open).</t>
  </si>
  <si>
    <t xml:space="preserve">5EAE100</t>
  </si>
  <si>
    <t xml:space="preserve">Получена операция без выполнения команды установки начальных данных (Initail Info Set) в ходе операции Шаттер Открыт (Shutter Open).</t>
  </si>
  <si>
    <t xml:space="preserve">5EAE200</t>
  </si>
  <si>
    <t xml:space="preserve">Состояние not operation при получении команды в ходе операции Шаттер Открыт (Shutter Open).</t>
  </si>
  <si>
    <t xml:space="preserve">5EAE300</t>
  </si>
  <si>
    <t xml:space="preserve">Получена операция без выполнения команды чтения системных данных (Sysrem Info Read) в ходе операции Шаттер Открыт (Shutter Open).</t>
  </si>
  <si>
    <t xml:space="preserve">5EAE400</t>
  </si>
  <si>
    <t xml:space="preserve">Транзакция  Шаттер Открыт (Shutter Open) была выполнена без Инициализации после включения питания .</t>
  </si>
  <si>
    <t xml:space="preserve">5EAE600</t>
  </si>
  <si>
    <t xml:space="preserve">Ошибка обработки операции Шаттер Открыт (Shutter Open) в ходе операции Работа кнопки TE (TE Button Operating).</t>
  </si>
  <si>
    <t xml:space="preserve">5EAEE00</t>
  </si>
  <si>
    <t xml:space="preserve">Нарушение последовательности сообщений интерфейса RS485 платы контроллера RBU в ходе операции Шаттер Открыт (Shutter Open).</t>
  </si>
  <si>
    <t xml:space="preserve">5EAEF00</t>
  </si>
  <si>
    <t xml:space="preserve">Нарушение линии связи интерфейса RS485 платы контроллера RBU в ходе операции Шаттер Открыт (Shutter Open).</t>
  </si>
  <si>
    <t xml:space="preserve">5EAH500</t>
  </si>
  <si>
    <t xml:space="preserve">Ошибка Чтения/Записи памяти NVRAM (128 деноминаций) в ходе операции Шаттер Открыт (Shutter Open).</t>
  </si>
  <si>
    <t xml:space="preserve">5EAR100</t>
  </si>
  <si>
    <t xml:space="preserve">Возвращена ошибка таймаута сообщения в ходе готовности к операции Шаттер Открыт (Shutter Open).</t>
  </si>
  <si>
    <t xml:space="preserve">5EAR200</t>
  </si>
  <si>
    <t xml:space="preserve">Возвращена ошибка таймаута сообщения сообщения при проведении транзакции в ходе операции Шаттер Открыт (Shutter Open).</t>
  </si>
  <si>
    <t xml:space="preserve">5EAR300</t>
  </si>
  <si>
    <t xml:space="preserve">Возвращена ошибка таймаута сообщения в ходе постпроцессинга ошибки операции Шаттер Открыт (Shutter Open Error).</t>
  </si>
  <si>
    <t xml:space="preserve">5EAR700</t>
  </si>
  <si>
    <t xml:space="preserve">Контроллер RBU вернул ошибку таймаута сообщения в ходе операции Шаттер Открыт (Shutter Open).</t>
  </si>
  <si>
    <t xml:space="preserve">5EUS100</t>
  </si>
  <si>
    <t xml:space="preserve">Ошибка дублирования номера последовательности USB в ходе операции Шаттер Открыт (Shutter Open).</t>
  </si>
  <si>
    <t xml:space="preserve">5EUS300</t>
  </si>
  <si>
    <t xml:space="preserve">Ошибка длины данных команды USB в ходе операции Шаттер Открыт (Shutter Open).</t>
  </si>
  <si>
    <t xml:space="preserve">5F6B100</t>
  </si>
  <si>
    <t xml:space="preserve">Неправильное положение полученных банкнот в ходе операции Шаттер Закрыт (Shutter Close).</t>
  </si>
  <si>
    <t xml:space="preserve">5F6G100</t>
  </si>
  <si>
    <t xml:space="preserve">Ошибка перемещения Задней Прижимной Пластины BP в положение для укладки в ходе операции Шаттер Закрыт (Shutter Close).</t>
  </si>
  <si>
    <t xml:space="preserve">1. Откройте верхнюю часть Модуля Рециркуляции Банкнот. 2. Откройте шторку Модуля обслуживания клиентов (CSM) (1). 3.  Удалите банкноты и посторонние предметы из Модуля обслуживания клиентов CSM.</t>
  </si>
  <si>
    <t xml:space="preserve">5F6G200</t>
  </si>
  <si>
    <t xml:space="preserve">Ошибка перемещения Задней прижимной пластины BP в положение для депозита в ходе операции Шаттер Закрыт (Shutter Close).</t>
  </si>
  <si>
    <t xml:space="preserve">1. Откройте верхнюю часть Модуля Рециркуляции Банкнот. 2. Откройте шторку (1) Модуля обслуживания клиентов CSM . 3.  Удалите банкноты и посторонние предметы из Модуля обслуживания клиентов CSM.</t>
  </si>
  <si>
    <t xml:space="preserve">5F6GD00</t>
  </si>
  <si>
    <t xml:space="preserve">Не удалось выполнить Поднимание (Lift-up) в ходе операции Шаттер Закрыт (Shutter Close).</t>
  </si>
  <si>
    <t xml:space="preserve">5F6GE00</t>
  </si>
  <si>
    <t xml:space="preserve">Не удалось выполнить Опускание (Lift-down) в ходе операции Шаттер Закрыт (Shutter Close).</t>
  </si>
  <si>
    <t xml:space="preserve">5F6GF00</t>
  </si>
  <si>
    <t xml:space="preserve">Не удалось переместить ролик затвора в исходное положение в ходе операции Шаттер Закрыт (Shutter Close).</t>
  </si>
  <si>
    <t xml:space="preserve">5F6M100</t>
  </si>
  <si>
    <t xml:space="preserve">Ошибка инициализации ограничителя в ходе операции Шаттер Закрыт (Shutter Close).</t>
  </si>
  <si>
    <t xml:space="preserve">5F6M300</t>
  </si>
  <si>
    <t xml:space="preserve">Ошибка закрытия Шаттера в ходе операции Шаттер Закрыт (Shutter Close).</t>
  </si>
  <si>
    <t xml:space="preserve">5F6R100</t>
  </si>
  <si>
    <t xml:space="preserve">Модуль обслуживания клиентов CSM вернул ошибку таймаута сообщения в ходе готовности к операции Шаттер Закрыт (Shutter Close).</t>
  </si>
  <si>
    <t xml:space="preserve">5F6R200</t>
  </si>
  <si>
    <t xml:space="preserve">Модуль обслуживания клиентов CSM вернул ошибку таймаута сообщения при проведении транзакции в ходе операции Шаттер Закрыт (Shutter Close).</t>
  </si>
  <si>
    <t xml:space="preserve">5F6R300</t>
  </si>
  <si>
    <t xml:space="preserve">Модуль обслуживания клиентов CSM вернул ошибку таймаута сообщения в ходе постпроцессинга ошибки операции Шаттер Закрыт (Shutter Close).</t>
  </si>
  <si>
    <t xml:space="preserve">5FAA200</t>
  </si>
  <si>
    <t xml:space="preserve">Модуль временного хранения открыт перед выполнением операции Шаттер Закрыт (Shutter Close).</t>
  </si>
  <si>
    <t xml:space="preserve">5FAA300</t>
  </si>
  <si>
    <t xml:space="preserve">Отстыкованное состояние концевого переключателя (inter lock) Верхней части Модуля Рециркуляции Банкнот BMU перед выполением операции Шаттер Закрыт (Shutter Close).</t>
  </si>
  <si>
    <t xml:space="preserve">5FAA400</t>
  </si>
  <si>
    <t xml:space="preserve">Выдвинутое состояние Верхней части Модуля Рециркуляции Банкнот BMU перед выполением операции Шаттер Закрыт (Shutter Close).</t>
  </si>
  <si>
    <t xml:space="preserve">5FAA600</t>
  </si>
  <si>
    <t xml:space="preserve">Открыт Модуль обслуживания клиентов CSM перед выполнением операции Шаттер Закрыт (Shutter Close).</t>
  </si>
  <si>
    <t xml:space="preserve">5FAE100</t>
  </si>
  <si>
    <t xml:space="preserve">Получена операция без выполнения команды установки начальных данных (Initail Info Set) в ходе операции Шаттер Закрыт (Shutter Close).</t>
  </si>
  <si>
    <t xml:space="preserve">5FAE200</t>
  </si>
  <si>
    <t xml:space="preserve">Состояние not operation при получении команды в ходе операции Шаттер Закрыт (Shutter Close).</t>
  </si>
  <si>
    <t xml:space="preserve">5FAE300</t>
  </si>
  <si>
    <t xml:space="preserve">Получена операция без выполнения команды чтения системных данных (Sysrem Info Read) в ходе операции Шаттер Закрыт (Shutter Close).</t>
  </si>
  <si>
    <t xml:space="preserve">5FAE400</t>
  </si>
  <si>
    <t xml:space="preserve">Транзакция Шаттер Закрыт (Shutter close) была выполнена без Инициализации после включения питания .</t>
  </si>
  <si>
    <t xml:space="preserve">5FAE600</t>
  </si>
  <si>
    <t xml:space="preserve">Ошибка обработки операции Шаттер Закрыт (Shutter close) в ходе операции Работа кнопки TE (TE Button Operating).</t>
  </si>
  <si>
    <t xml:space="preserve">5FAEE00</t>
  </si>
  <si>
    <t xml:space="preserve">Нарушение последовательности сообщений интерфейса RS485 платы контроллера RBU в ходе операции Шаттер Закрыт (Shutter Close).</t>
  </si>
  <si>
    <t xml:space="preserve">5FAEF00</t>
  </si>
  <si>
    <t xml:space="preserve">Нарушение линии связи интерфейса RS485 платы контроллера RBU в ходе операции Шаттер Закрыт (Shutter Close).</t>
  </si>
  <si>
    <t xml:space="preserve">5FAH500</t>
  </si>
  <si>
    <t xml:space="preserve">Ошибка Чтения/Записи памяти NVRAM (128 деноминаций) в ходе операции Шаттер Закрыт (Shutter Close).</t>
  </si>
  <si>
    <t xml:space="preserve">1. Выполните инициализацию Модуля Рециркуляции Банкнот BRM (Восстановление)  2. Перезагрузите банкомат в случае повторения ошибки после инициализации (ошибка таймаута сообщения).</t>
  </si>
  <si>
    <t xml:space="preserve">5FAR100</t>
  </si>
  <si>
    <t xml:space="preserve">Возвращена ошибка таймаута сообщения в ходе готовности к операции Шаттер Закрыт (Shutter Close).</t>
  </si>
  <si>
    <t xml:space="preserve">5FAR200</t>
  </si>
  <si>
    <t xml:space="preserve">Возвращена ошибка таймаута сообщения сообщения при проведении транзакции в ходе операции Шаттер Закрыт (Shutter Close).</t>
  </si>
  <si>
    <t xml:space="preserve">5FAR300</t>
  </si>
  <si>
    <t xml:space="preserve">Возвращена ошибка таймаута сообщения в ходе постпроцессинга ошибки операции Шаттер Закрыт (Ошибка закрытия Шаттера).</t>
  </si>
  <si>
    <t xml:space="preserve">5FAR700</t>
  </si>
  <si>
    <t xml:space="preserve">Контроллер RBU вернул ошибку таймаута сообщения в ходе операции Шаттер Закрыт (Shutter Close).</t>
  </si>
  <si>
    <t xml:space="preserve">5FUS100</t>
  </si>
  <si>
    <t xml:space="preserve">Ошибка дублирования номера последовательности USB в ходе операции Шаттер Закрыт (Shutter Close).</t>
  </si>
  <si>
    <t xml:space="preserve">5FUS300</t>
  </si>
  <si>
    <t xml:space="preserve">Ошибка длины данных команды USB в ходе операции Шаттер Закрыт (Shutter Close).</t>
  </si>
  <si>
    <t xml:space="preserve">5HAE100</t>
  </si>
  <si>
    <t xml:space="preserve">Получена операция без выполнения команды установки начальных данных (Initail Info Set) в ходе операции CST Set Notes Count.</t>
  </si>
  <si>
    <t xml:space="preserve">5HAE200</t>
  </si>
  <si>
    <t xml:space="preserve">Состояние not operation при получении команды в ходе операции Установка счетчика банкнот (CST Set Notes Count).</t>
  </si>
  <si>
    <t xml:space="preserve">5HAE300</t>
  </si>
  <si>
    <t xml:space="preserve">Получена операция без выполнения команды чтения системных данных (System Info Read) в ходе операции Установка счетчика банкнот (CST Set Notes Count).</t>
  </si>
  <si>
    <t xml:space="preserve">5HAE400</t>
  </si>
  <si>
    <t xml:space="preserve">Транзакция Установка счетчиков Кассеты (CST Set notes count) была выполнена без Инициализации после включения питания .</t>
  </si>
  <si>
    <t xml:space="preserve">5HAE600</t>
  </si>
  <si>
    <t xml:space="preserve">Ошибка обработки операции Установка счетчика банкнот (CST Set Notes Count) в ходе операции Работа кнопки TE (TE Button Operating).</t>
  </si>
  <si>
    <t xml:space="preserve">5HAEE00</t>
  </si>
  <si>
    <t xml:space="preserve">Нарушение последовательности сообщений интерфейса RS485 платы контроллера RBU в ходе операции Установка счетчика банкнот (CST Set Notes Count).</t>
  </si>
  <si>
    <t xml:space="preserve">5HAEF00</t>
  </si>
  <si>
    <t xml:space="preserve">Нарушение линии связи интерфейса RS485 платы контроллера RBU в ходе операции Установка счетчика банкнот (CST Set Notes Count).</t>
  </si>
  <si>
    <t xml:space="preserve">5HAH500</t>
  </si>
  <si>
    <t xml:space="preserve">Ошибка Чтения/Записи памяти NVRAM (128 деноминаций) в ходе операции Установка счетчика банкнот (CST Set Notes Count).</t>
  </si>
  <si>
    <t xml:space="preserve">5HAS900</t>
  </si>
  <si>
    <t xml:space="preserve">Полученная деноминация Кассеты Рециркуляции RC1 не используется в Модуле Рециркуляции Банкнот BRM при получении команды Установка счетчика банкнот (CST Set notes count).</t>
  </si>
  <si>
    <t xml:space="preserve">1. Проверьте правильность установки деноминации каccеты 2. Выполните инициализацию Модуля Рециркуляции Банкнот BRM (Восстановление)</t>
  </si>
  <si>
    <t xml:space="preserve">5HASA00</t>
  </si>
  <si>
    <t xml:space="preserve">Полученная деноминация Кассеты Рециркуляции RC2 не используется в Модуле Рециркуляции Банкнот BRM при получении команды Установка счетчика банкнот (CST Set notes count).</t>
  </si>
  <si>
    <t xml:space="preserve">5HASB00</t>
  </si>
  <si>
    <t xml:space="preserve">Полученная деноминация Кассеты Рециркуляции RC3 не используется в Модуле Рециркуляции Банкнот BRM при получении команды Установка счетчика банкнот (CST Set notes count).</t>
  </si>
  <si>
    <t xml:space="preserve">5HASC00</t>
  </si>
  <si>
    <t xml:space="preserve">Полученная деноминация Кассеты Рециркуляции RC4 не используется в Модуле Рециркуляции Банкнот BRM при получении команды Установка счетчика банкнот (CST Set notes count).</t>
  </si>
  <si>
    <t xml:space="preserve">5HASD00</t>
  </si>
  <si>
    <t xml:space="preserve">Полученная деноминация Кассеты Рециркуляции RC5 не используется в Модуле Рециркуляции Банкнот BRM при получении команды Установка счетчика банкнот (CST Set notes count).</t>
  </si>
  <si>
    <t xml:space="preserve">5HASE00</t>
  </si>
  <si>
    <t xml:space="preserve">Полученная деноминация Кассеты Отбраковки RJC не используется в Модуле Рециркуляции Банкнот BRM при получении команды Установка счетчика банкнот (CST Set notes count).</t>
  </si>
  <si>
    <t xml:space="preserve">5HASF00</t>
  </si>
  <si>
    <t xml:space="preserve">Деноминации, полученные в Отсек UTC1 Вспомогательной кассеты не используются в Модуле Рециркуляции Банкнот BRM при получении команды Установка счетчика банкнот (CST Set notes count).</t>
  </si>
  <si>
    <t xml:space="preserve">1. Проверьте установки деноминации 2. Выполните инициализацию Модуля Рециркуляции Банкнот BRM (Восстановление)</t>
  </si>
  <si>
    <t xml:space="preserve">5HASG00</t>
  </si>
  <si>
    <t xml:space="preserve">5HASH00</t>
  </si>
  <si>
    <t xml:space="preserve">Значение счетчика из Кассеты Рециркуляции RC1 больше чем Оставшееся значение счетчика при получении команды Установка счетчика банкнот (CST Set notes count).</t>
  </si>
  <si>
    <t xml:space="preserve">1. Проверьте установленное  кол-во банкнот 2. Выполните инициализацию Модуля Рециркуляции Банкнот BRM (Восстановление)</t>
  </si>
  <si>
    <t xml:space="preserve">5HASJ00</t>
  </si>
  <si>
    <t xml:space="preserve">Значение счетчика из Кассеты Рециркуляции RC2 больше чем Оставшееся значение счетчика при получении команды Установка счетчика банкнот (CST Set notes count).</t>
  </si>
  <si>
    <t xml:space="preserve">5HASK00</t>
  </si>
  <si>
    <t xml:space="preserve">Значение счетчика из Кассеты Рециркуляции RC3 больше чем Оставшееся значение счетчика при получении команды Установка счетчика банкнот (CST Set notes count).</t>
  </si>
  <si>
    <t xml:space="preserve">5HASL00</t>
  </si>
  <si>
    <t xml:space="preserve">Значение счетчика из Кассеты Рециркуляции RC4 больше чем Оставшееся значение счетчика при получении команды Установка счетчика банкнот (CST Set notes count).</t>
  </si>
  <si>
    <t xml:space="preserve">5HASM00</t>
  </si>
  <si>
    <t xml:space="preserve">Значение счетчика из Кассеты Рециркуляции RC5 больше чем Оставшееся значение счетчика при получении команды Установка счетчика банкнот (CST Set notes count).</t>
  </si>
  <si>
    <t xml:space="preserve">5HASN00</t>
  </si>
  <si>
    <t xml:space="preserve">Значение счетчика из Кассеты Отбраковки RJC больше  при получении команды Установка счетчика банкнот (CST Set notes count).</t>
  </si>
  <si>
    <t xml:space="preserve">5HASP00</t>
  </si>
  <si>
    <t xml:space="preserve">Значение счетчика из Вспомогательной Кассеты UTC1 больше  при получении команды Установка счетчика банкнот (CST Set notes count).</t>
  </si>
  <si>
    <t xml:space="preserve">5HASQ00</t>
  </si>
  <si>
    <t xml:space="preserve">Значение счетчика из Вспомогательной Кассеты UTC2 больше  при получении команды Установка счетчика банкнот (CST Set notes count).</t>
  </si>
  <si>
    <t xml:space="preserve">5HBH100</t>
  </si>
  <si>
    <t xml:space="preserve">Ошибка чтения памяти EEPROM Кассеты Рециркуляции RC1 в ходе операции Установка счетчика банкнот (CST Set Notes Count).</t>
  </si>
  <si>
    <t xml:space="preserve">5HBH200</t>
  </si>
  <si>
    <t xml:space="preserve">Ошибка чтения памяти EEPROM Кассеты Рециркуляции RC2 в ходе операции Установка счетчика банкнот (CST Set Notes Count).</t>
  </si>
  <si>
    <t xml:space="preserve">5HBH300</t>
  </si>
  <si>
    <t xml:space="preserve">Ошибка чтения памяти EEPROM Кассеты Рециркуляции RC3 в ходе операции Установка счетчика банкнот (CST Set Notes Count).</t>
  </si>
  <si>
    <t xml:space="preserve">5HBH400</t>
  </si>
  <si>
    <t xml:space="preserve">Ошибка чтения памяти EEPROM Кассеты Рециркуляции RC4 в ходе операции Установка счетчика банкнот (CST Set Notes Count).</t>
  </si>
  <si>
    <t xml:space="preserve">5HBH500</t>
  </si>
  <si>
    <t xml:space="preserve">Ошибка чтения памяти EEPROM Кассеты Рециркуляции RC5 в ходе операции Установка счетчика банкнот (CST Set Notes Count).</t>
  </si>
  <si>
    <t xml:space="preserve">5HBH600</t>
  </si>
  <si>
    <t xml:space="preserve">Ошибка записи памяти EEPROM Кассеты Рециркуляции RC1 в ходе операции Установка счетчика банкнот (CST Set Notes Count).</t>
  </si>
  <si>
    <t xml:space="preserve">5HBH700</t>
  </si>
  <si>
    <t xml:space="preserve">Ошибка записи памяти EEPROM Кассеты Рециркуляции RC2 в ходе операции Установка счетчика банкнот (CST Set Notes Count).</t>
  </si>
  <si>
    <t xml:space="preserve">5HBH800</t>
  </si>
  <si>
    <t xml:space="preserve">Ошибка записи памяти EEPROM Кассеты Рециркуляции RC3 в ходе операции Установка счетчика банкнот (CST Set Notes Count).</t>
  </si>
  <si>
    <t xml:space="preserve">5HBH900</t>
  </si>
  <si>
    <t xml:space="preserve">Ошибка записи памяти EEPROM Кассеты Рециркуляции RC4 в ходе операции Установка счетчика банкнот (CST Set Notes Count).</t>
  </si>
  <si>
    <t xml:space="preserve">5HBHA00</t>
  </si>
  <si>
    <t xml:space="preserve">Ошибка записи памяти EEPROM Кассеты Рециркуляции RC5 в ходе операции Установка счетчика банкнот (CST Set Notes Count).</t>
  </si>
  <si>
    <t xml:space="preserve">5HBHB00</t>
  </si>
  <si>
    <t xml:space="preserve">Ошибка проверки данных памяти EEPROM Кассеты Рециркуляции RC1 в ходе операции Установка счетчика банкнот (CST Set Notes Count).</t>
  </si>
  <si>
    <t xml:space="preserve">5HBHC00</t>
  </si>
  <si>
    <t xml:space="preserve">Ошибка проверки данных памяти EEPROM Кассеты Рециркуляции RC2 в ходе операции Установка счетчика банкнот (CST Set Notes Count).</t>
  </si>
  <si>
    <t xml:space="preserve">5HBHD00</t>
  </si>
  <si>
    <t xml:space="preserve">Ошибка проверки данных памяти EEPROM Кассеты Рециркуляции RC3 в ходе операции Установка счетчика банкнот (CST Set Notes Count).</t>
  </si>
  <si>
    <t xml:space="preserve">5HBHE00</t>
  </si>
  <si>
    <t xml:space="preserve">Ошибка проверки данных памяти EEPROM Кассеты Рециркуляции RC4 в ходе операции Установка счетчика банкнот (CST Set Notes Count).</t>
  </si>
  <si>
    <t xml:space="preserve">5HBHF00</t>
  </si>
  <si>
    <t xml:space="preserve">Ошибка проверки данных памяти EEPROM Кассеты Рециркуляции RC5 в ходе операции Установка счетчика банкнот (CST Set Notes Count).</t>
  </si>
  <si>
    <t xml:space="preserve">5HBHG00</t>
  </si>
  <si>
    <t xml:space="preserve">Не обнаружен концевой переключатель (интерлок) при Чтении/Записи памяти EEPROM Кассеты Рециркуляции RC в ходе операции Установка счетчика банкнот (CST Set Notes Count).</t>
  </si>
  <si>
    <t xml:space="preserve">5HBS000</t>
  </si>
  <si>
    <t xml:space="preserve">Ошибка таймаута связи контроллера RBU в ходе операции Установка счетчика банкнот (CST Set Notes Count).</t>
  </si>
  <si>
    <t xml:space="preserve">5HBS100</t>
  </si>
  <si>
    <t xml:space="preserve">Ошибка последовательности сообщений платы контроллера RBU в ходе операции Установка счетчика банкнот (CST Set Notes Count).</t>
  </si>
  <si>
    <t xml:space="preserve">5HBS200</t>
  </si>
  <si>
    <t xml:space="preserve">Ошибка Информации о памяти MI в ходе соединения контроллера RBU в ходе операции Установка счетчика банкнот (CST Set Notes Count).</t>
  </si>
  <si>
    <t xml:space="preserve">5HUS100</t>
  </si>
  <si>
    <t xml:space="preserve">Ошибка дублирования номера последовательности USB в ходе операции Установка счетчика банкнот (CST Set Notes Count).</t>
  </si>
  <si>
    <t xml:space="preserve">5HUS300</t>
  </si>
  <si>
    <t xml:space="preserve">Ошибка длины данных команды USB  в ходе операции Установка счетчика банкнот (CST Set Notes Count).</t>
  </si>
  <si>
    <t xml:space="preserve">5J8HA01</t>
  </si>
  <si>
    <t xml:space="preserve">Ошибка датчика GS801A в ходе операции Начало Остановки (Stop Ready).</t>
  </si>
  <si>
    <t xml:space="preserve">5J8HA02</t>
  </si>
  <si>
    <t xml:space="preserve">Ошибка датчика GS801B в ходе операции Начало Остановки (Stop Ready).</t>
  </si>
  <si>
    <t xml:space="preserve">5J8HA03</t>
  </si>
  <si>
    <t xml:space="preserve">Ошибка датчиков GS801A, GS801B в ходе операции Начало Остановки (Stop Ready).</t>
  </si>
  <si>
    <t xml:space="preserve">5J8HA04</t>
  </si>
  <si>
    <t xml:space="preserve">Ошибка датчика GS802A в ходе операции Начало Остановки (Stop Ready).</t>
  </si>
  <si>
    <t xml:space="preserve">5J8HA05</t>
  </si>
  <si>
    <t xml:space="preserve">Ошибка датчиков GS801A, GS802A в ходе операции Начало Остановки (Stop Ready).</t>
  </si>
  <si>
    <t xml:space="preserve">5J8HA06</t>
  </si>
  <si>
    <t xml:space="preserve">Ошибка датчиков GS801B, GS802A в ходе операции Начало Остановки (Stop Ready).</t>
  </si>
  <si>
    <t xml:space="preserve">5J8HA07</t>
  </si>
  <si>
    <t xml:space="preserve">Ошибка датчиков GS801A, GS801B, GS802A в ходе операции Начало Остановки (Stop Ready).</t>
  </si>
  <si>
    <t xml:space="preserve">5J8HA08</t>
  </si>
  <si>
    <t xml:space="preserve">Ошибка датчика GS802B в ходе операции Начало Остановки (Stop Ready).</t>
  </si>
  <si>
    <t xml:space="preserve">5J8HA09</t>
  </si>
  <si>
    <t xml:space="preserve">Ошибка датчиков GS801A, GS802B в ходе операции Начало Остановки (Stop Ready).</t>
  </si>
  <si>
    <t xml:space="preserve">5J8HA10</t>
  </si>
  <si>
    <t xml:space="preserve">Ошибка датчиков GS801B, GS802B в ходе операции Начало Остановки (Stop Ready).</t>
  </si>
  <si>
    <t xml:space="preserve">5J8HA11</t>
  </si>
  <si>
    <t xml:space="preserve">Ошибка датчиков GS801A, GS801B, GS802B в ходе операции Начало Остановки (Stop Ready).</t>
  </si>
  <si>
    <t xml:space="preserve">5J8HA12</t>
  </si>
  <si>
    <t xml:space="preserve">Ошибка датчиков GS802A, GS802B в ходе операции Начало Остановки (Stop Ready).</t>
  </si>
  <si>
    <t xml:space="preserve">5J8HA13</t>
  </si>
  <si>
    <t xml:space="preserve">Ошибка датчиков GS801A, GS802A, GS802B в ходе операции Начало Остановки (Stop Ready).</t>
  </si>
  <si>
    <t xml:space="preserve">5J8HA14</t>
  </si>
  <si>
    <t xml:space="preserve">Ошибка датчиков GS801B, GS802A, GS802B в ходе операции Начало Остановки (Stop Ready).</t>
  </si>
  <si>
    <t xml:space="preserve">5J8HA15</t>
  </si>
  <si>
    <t xml:space="preserve">Ошибка датчиков GS801A, GS801B, GS802A, GS802B в ходе операции Начало Остановки (Stop Ready).</t>
  </si>
  <si>
    <t xml:space="preserve">5J8HF03</t>
  </si>
  <si>
    <t xml:space="preserve">Ошибка загрузки данных шейдинга Контактного датчика изображения CIS в ходе операции Начало Остановки (Stop Ready).</t>
  </si>
  <si>
    <t xml:space="preserve">5J8HF04</t>
  </si>
  <si>
    <t xml:space="preserve">Ошибка загрузки таблицы БД распознавания в ходе операции Начало Остановки (Stop Ready).</t>
  </si>
  <si>
    <t xml:space="preserve">5J8HF05</t>
  </si>
  <si>
    <t xml:space="preserve">Ошибка контрольной суммы данных ПЛИС Модуля Валидатора банкнот BC в ходе операции Начало Остановки (Stop Ready).</t>
  </si>
  <si>
    <t xml:space="preserve">5J8HF06</t>
  </si>
  <si>
    <t xml:space="preserve">Ошибка конфигурации ПЛИС Модуля Валидатора банкнот BC в ходе операции Начало Остановки (Stop Ready).</t>
  </si>
  <si>
    <t xml:space="preserve">5J8HF07</t>
  </si>
  <si>
    <t xml:space="preserve">Ошибка загрузки данных заголовка ПЛИС Модуля Валидатора банкнот BC header в ходе операции Начало Остановки (Stop Ready).</t>
  </si>
  <si>
    <t xml:space="preserve">5J8HF08</t>
  </si>
  <si>
    <t xml:space="preserve">Ошибка инициализации ПЛИС в ходе операции Начало Остановки (Stop Ready).</t>
  </si>
  <si>
    <t xml:space="preserve">5J8HF09</t>
  </si>
  <si>
    <t xml:space="preserve">Ошибка чтения ПЛИС в ходе операции Начало Остановки (Stop Ready).</t>
  </si>
  <si>
    <t xml:space="preserve">5J8HF11</t>
  </si>
  <si>
    <t xml:space="preserve">Ошибка загрузки Базы Данных распознавания #01 в ходе операции Начало Остановки (Stop Ready).</t>
  </si>
  <si>
    <t xml:space="preserve">5J8HF12</t>
  </si>
  <si>
    <t xml:space="preserve">Ошибка загрузки Базы Данных распознавания #02 в ходе операции Начало Остановки (Stop Ready).</t>
  </si>
  <si>
    <t xml:space="preserve">5J8HF13</t>
  </si>
  <si>
    <t xml:space="preserve">Ошибка загрузки Базы Данных распознавания #03 в ходе операции Начало Остановки (Stop Ready).</t>
  </si>
  <si>
    <t xml:space="preserve">5J8HF14</t>
  </si>
  <si>
    <t xml:space="preserve">Ошибка загрузки Базы Данных распознавания #04 в ходе операции Начало Остановки (Stop Ready).</t>
  </si>
  <si>
    <t xml:space="preserve">5J8HF15</t>
  </si>
  <si>
    <t xml:space="preserve">Ошибка загрузки Базы Данных распознавания #05 в ходе операции Начало Остановки (Stop Ready).</t>
  </si>
  <si>
    <t xml:space="preserve">5J8HF16</t>
  </si>
  <si>
    <t xml:space="preserve">Ошибка загрузки Базы Данных распознавания #06 в ходе операции Начало Остановки (Stop Ready).</t>
  </si>
  <si>
    <t xml:space="preserve">5J8HF17</t>
  </si>
  <si>
    <t xml:space="preserve">Ошибка загрузки Базы Данных распознавания #07 в ходе операции Начало Остановки (Stop Ready).</t>
  </si>
  <si>
    <t xml:space="preserve">5J8HF18</t>
  </si>
  <si>
    <t xml:space="preserve">Ошибка загрузки Базы Данных распознавания #08 в ходе операции Начало Остановки (Stop Ready).</t>
  </si>
  <si>
    <t xml:space="preserve">5J8HF19</t>
  </si>
  <si>
    <t xml:space="preserve">Ошибка загрузки Базы Данных распознавания #09 в ходе операции Начало Остановки (Stop Ready).</t>
  </si>
  <si>
    <t xml:space="preserve">5J8HF20</t>
  </si>
  <si>
    <t xml:space="preserve">Ошибка загрузки Базы Данных распознавания #10 в ходе операции Начало Остановки (Stop Ready).</t>
  </si>
  <si>
    <t xml:space="preserve">5J8HG01</t>
  </si>
  <si>
    <t xml:space="preserve">Ошибка установки режима при выполнении команды BCU mode в ходе операции Начало Остановки (Stop Ready).</t>
  </si>
  <si>
    <t xml:space="preserve">5J8HG02</t>
  </si>
  <si>
    <t xml:space="preserve">Ошибка установленного уровня распознавания при выполнении команды BCU mode в ходе операции Начало Остановки (Stop Ready).</t>
  </si>
  <si>
    <t xml:space="preserve">5J8HG03</t>
  </si>
  <si>
    <t xml:space="preserve">Ошибка установки начала транзакции при выполнении команды BCU ready в ходе операции Начало Остановки (Stop Ready).</t>
  </si>
  <si>
    <t xml:space="preserve">5J8HG04</t>
  </si>
  <si>
    <t xml:space="preserve">Ошибка установки режима при выполнении команды BCU ready в ходе операции Начало Остановки (Stop Ready).</t>
  </si>
  <si>
    <t xml:space="preserve">5J8HG05</t>
  </si>
  <si>
    <t xml:space="preserve">Ошибка установленного уровня распознавания при выполнении команды BCU ready в ходе операции Начало Остановки (Stop Ready).</t>
  </si>
  <si>
    <t xml:space="preserve">5J8HG06</t>
  </si>
  <si>
    <t xml:space="preserve">Ошибка направления внесения Модуля Валидатора банкнот BC при выполнении команды BCU ready в ходе операции Начало Остановки (Stop Ready).</t>
  </si>
  <si>
    <t xml:space="preserve">5J8HG07</t>
  </si>
  <si>
    <t xml:space="preserve">Ошибка получения неопределенной команды Модуля Валидатора банкнот BCU в ходе операции Начало Остановки (Stop Ready).</t>
  </si>
  <si>
    <t xml:space="preserve">5J8HG08</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</si>
  <si>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Начало Остановки (Stop Ready).</t>
  </si>
  <si>
    <t xml:space="preserve">5J8HG09</t>
  </si>
  <si>
    <t xml:space="preserve">Ошибка настройки кода страны при выполнении команды записи данных в Модуль Валидатора банкнот BCUв ходе операции Начало Остановки (Stop Ready).</t>
  </si>
  <si>
    <t xml:space="preserve">5J8HG10</t>
  </si>
  <si>
    <t xml:space="preserve">Ошибка отсутствия БД распознавания для страны в процессе получения команды BCU data write в ходе операции Начало Остановки (Stop Ready).</t>
  </si>
  <si>
    <t xml:space="preserve">5J8HG11</t>
  </si>
  <si>
    <t xml:space="preserve">Не установлен код страны при получении команды BCU ready в ходе операции Начало Остановки (Stop Ready).</t>
  </si>
  <si>
    <t xml:space="preserve">5J8HG12</t>
  </si>
  <si>
    <t xml:space="preserve">Спецификация Модуля Валидатора банкнот BC отличается от параметра команды записи данных в ходе операции Начало Остановки (Stop Ready).</t>
  </si>
  <si>
    <t xml:space="preserve">5J8HG20</t>
  </si>
  <si>
    <t xml:space="preserve">Ошибка инициализации Контактного датчика изображения CIS при получении команды BCU ready в ходе операции Начало Остановки (Stop Ready).</t>
  </si>
  <si>
    <t xml:space="preserve">5J8HG21</t>
  </si>
  <si>
    <t xml:space="preserve">Ошибка включения при получении команды BCU ready в ходе операции Начало Остановки (Stop Ready).</t>
  </si>
  <si>
    <t xml:space="preserve">5J8HG22</t>
  </si>
  <si>
    <t xml:space="preserve">Ошибка инициализации датчика определения сдвоенных банкнот DD при получении команды BCU ready в ходе операции Начало Остановки (Stop Ready).</t>
  </si>
  <si>
    <t xml:space="preserve">5J8HG23</t>
  </si>
  <si>
    <t xml:space="preserve">Ошибка настройки ЦАП Датчика определения сдвоенных банкнот DD при получении команды BCU ready в ходе операции Начало Остановки (Stop Ready).</t>
  </si>
  <si>
    <t xml:space="preserve">5J8HG24</t>
  </si>
  <si>
    <t xml:space="preserve">Ошибка режима настройки энкодера при получении команды BCU ready в ходе операции Начало Остановки (Stop Ready).</t>
  </si>
  <si>
    <t xml:space="preserve">5J8HG36</t>
  </si>
  <si>
    <t xml:space="preserve">Ошибка режима распознавания при выполнении команды receiving BCU mode в ходе операции Начало Остановки (Stop Ready).</t>
  </si>
  <si>
    <t xml:space="preserve">5J8HG37</t>
  </si>
  <si>
    <t xml:space="preserve">Ошибка настроек транзакции при выполнении команды receiving BCU mode в ходе операции Начало Остановки (Stop Ready).</t>
  </si>
  <si>
    <t xml:space="preserve">5J8HI01</t>
  </si>
  <si>
    <t xml:space="preserve">Ошибка тайм-аута RecogTask Message в ходе операции Начало Остановки (Stop Ready).</t>
  </si>
  <si>
    <t xml:space="preserve">5J8HI02</t>
  </si>
  <si>
    <t xml:space="preserve">Ошибка тайм-аута ScanTask Message в ходе операции Начало Остановки (Stop Ready).</t>
  </si>
  <si>
    <t xml:space="preserve">5J8HI03</t>
  </si>
  <si>
    <t xml:space="preserve">Ошибка тайм-аута UartTask Message в ходе операции Начало Остановки (Stop Ready).</t>
  </si>
  <si>
    <t xml:space="preserve">5J8HI04</t>
  </si>
  <si>
    <t xml:space="preserve">Ошибка тайм-аута BcUsbTask Message в ходе операции Начало Остановки (Stop Ready).</t>
  </si>
  <si>
    <t xml:space="preserve">5J8HJ01</t>
  </si>
  <si>
    <t xml:space="preserve">Ошибка инициализации алгоритма распознавания в ходе операции Начало Остановки (Stop Ready).</t>
  </si>
  <si>
    <t xml:space="preserve">5J8HJ02</t>
  </si>
  <si>
    <t xml:space="preserve">Ошибка готовности Алгоритма Распознавания в ходе операции Начало Остановки (Stop Ready).</t>
  </si>
  <si>
    <t xml:space="preserve">5J8HJ03</t>
  </si>
  <si>
    <t xml:space="preserve">Ошибка алгоритма распознавания набора валют в ходе операции Начало Остановки (Stop Ready).</t>
  </si>
  <si>
    <t xml:space="preserve">5J8HS01</t>
  </si>
  <si>
    <t xml:space="preserve">Ошибка ПЛИС Write Scan Driver Init в ходе операции Начало Остановки (Stop Ready).</t>
  </si>
  <si>
    <t xml:space="preserve">5J8HS02</t>
  </si>
  <si>
    <t xml:space="preserve">Ошибка Sensor (MR/UV/DD/Gate) Power Off Scan Driver Init в ходе операции Начало Остановки (Stop Ready).</t>
  </si>
  <si>
    <t xml:space="preserve">5J8HS03</t>
  </si>
  <si>
    <t xml:space="preserve">Ошибка Контактного датчика изображения CIS Led On Value Set Fail Scan Driver Init в ходе операции Начало Остановки (Stop Ready).</t>
  </si>
  <si>
    <t xml:space="preserve">5J8HS04</t>
  </si>
  <si>
    <t xml:space="preserve">Ошибка Источника Света Set Fail Scan Driver Init в ходе операции Начало Остановки (Stop Ready).</t>
  </si>
  <si>
    <t xml:space="preserve">5J8HS05</t>
  </si>
  <si>
    <t xml:space="preserve">Ошибка Контактного датчика изображения CIS Shading Scan Driver Init в ходе операции Начало Остановки (Stop Ready).</t>
  </si>
  <si>
    <t xml:space="preserve">5J8HS08</t>
  </si>
  <si>
    <t xml:space="preserve">Ошибка ЦАП Set Fail Scan Driver Init в ходе операции Начало Остановки (Stop Ready).</t>
  </si>
  <si>
    <t xml:space="preserve">5J8HS11</t>
  </si>
  <si>
    <t xml:space="preserve">Ошибка ПЛИС Write BCU Ready в ходе операции Начало Остановки (Stop Ready).</t>
  </si>
  <si>
    <t xml:space="preserve">5J8HS12</t>
  </si>
  <si>
    <t xml:space="preserve">Ошибка Sensor (MR/UV/DD/Gate) Power Off BCU Ready в ходе операции Начало Остановки (Stop Ready).</t>
  </si>
  <si>
    <t xml:space="preserve">5J8HS13</t>
  </si>
  <si>
    <t xml:space="preserve">Ошибка Контактного датчика изображения CIS Led On Value Set Fail BCU Ready в ходе операции Начало Остановки (Stop Ready).</t>
  </si>
  <si>
    <t xml:space="preserve">5J8HS14</t>
  </si>
  <si>
    <t xml:space="preserve">Ошибка Источника Света Set Fail BCU Ready в ходе операции Начало Остановки (Stop Ready).</t>
  </si>
  <si>
    <t xml:space="preserve">5J8HS15</t>
  </si>
  <si>
    <t xml:space="preserve">Ошибка Контактного датчика изображения CIS Shading BCU Ready в ходе операции Начало Остановки (Stop Ready).</t>
  </si>
  <si>
    <t xml:space="preserve">5J8HS17</t>
  </si>
  <si>
    <t xml:space="preserve">Ошибка AFE Chip Set BCU Ready в ходе операции Начало Остановки (Stop Ready).</t>
  </si>
  <si>
    <t xml:space="preserve">5J8HS18</t>
  </si>
  <si>
    <t xml:space="preserve">Ошибка ЦАП Set Fail BCU Ready в ходе операции Начало Остановки (Stop Ready).</t>
  </si>
  <si>
    <t xml:space="preserve">5J8HS19</t>
  </si>
  <si>
    <t xml:space="preserve">Ошибка MR/UV/DD Sampling BCU Ready в ходе операции Начало Остановки (Stop Ready).</t>
  </si>
  <si>
    <t xml:space="preserve">5J8HS1A</t>
  </si>
  <si>
    <t xml:space="preserve">Ошибка ЦАП Датчика Холла Set Fail BCU Ready в ходе операции Начало Остановки (Stop Ready).</t>
  </si>
  <si>
    <t xml:space="preserve">5J8HS1B</t>
  </si>
  <si>
    <t xml:space="preserve">Ошибка Датчика Холла Shading Fail BCU Ready в ходе операции Начало Остановки (Stop Ready).</t>
  </si>
  <si>
    <t xml:space="preserve">5J8HS22</t>
  </si>
  <si>
    <t xml:space="preserve">Ошибка Модуля Валидатора BC Stop Sensor (MR/UV/DD/Gate) Power Off Scan Driver Init в ходе операции Начало Остановки (Stop Ready).</t>
  </si>
  <si>
    <t xml:space="preserve">5J8HS28</t>
  </si>
  <si>
    <t xml:space="preserve">Ошибка Модуля Валидатора BC Stop DAC Set Fail Scan Driver Init в ходе операции Начало Остановки (Stop Ready).</t>
  </si>
  <si>
    <t xml:space="preserve">5J8HS29</t>
  </si>
  <si>
    <t xml:space="preserve">Ошибка Модуля Валидатора BC Stop MR/UV/DD Sampling BCU Ready в ходе операции Начало Остановки (Stop Ready).</t>
  </si>
  <si>
    <t xml:space="preserve">5J8R900</t>
  </si>
  <si>
    <t xml:space="preserve">Модуль Валидатора BC вернул ошибку таймаута сообщения в ходе операции Начало Остановки (Stop Ready).</t>
  </si>
  <si>
    <t xml:space="preserve">5J8S100</t>
  </si>
  <si>
    <t xml:space="preserve">Получена неправильная Информация о памяти MI от Модуля Валидатора банкнот BC в ходе операции Начало Остановки (Stop Ready).</t>
  </si>
  <si>
    <t xml:space="preserve">5J8S200</t>
  </si>
  <si>
    <t xml:space="preserve">Получен ненормальный BCC от Модуля Валидатора банкнот в ходе операции Начало Остановки (Stop Ready).</t>
  </si>
  <si>
    <t xml:space="preserve">5J8S400</t>
  </si>
  <si>
    <t xml:space="preserve">Получена ошибка ETC. от Модуля Валидатора банкнот BC в ходе операции Начало Остановки (Stop Ready).</t>
  </si>
  <si>
    <t xml:space="preserve">5J8S900</t>
  </si>
  <si>
    <t xml:space="preserve">Повторная попытка завершилась ошибкой Модуля Валидатора банкнот BC в ходе операции Начало Остановки (Stop Ready).</t>
  </si>
  <si>
    <t xml:space="preserve">5JAE100</t>
  </si>
  <si>
    <t xml:space="preserve">Получена операция без выполнения команды установки начальных данных (Initail Info Set) в ходе операции Начало Остановки (Stop Ready).</t>
  </si>
  <si>
    <t xml:space="preserve">5JAE200</t>
  </si>
  <si>
    <t xml:space="preserve">Состояние not operation при получении команды в ходе операции Начало Остановки (Stop Ready).</t>
  </si>
  <si>
    <t xml:space="preserve">5JAE300</t>
  </si>
  <si>
    <t xml:space="preserve">Получена операция без выполнения команды чтения системных данных (Sysrem Info Read) в ходе операции Начало Остановки (Stop Ready).</t>
  </si>
  <si>
    <t xml:space="preserve">5JAE400</t>
  </si>
  <si>
    <t xml:space="preserve">Транзакция Начало Остановки (Stop Ready) была выполнена без Инициализации после включения питания .</t>
  </si>
  <si>
    <t xml:space="preserve">5JAE600</t>
  </si>
  <si>
    <t xml:space="preserve">Ошибка обработки операции Начало Остановки (Stop Ready) в ходе операции Работа кнопки TE (TE Button Operating).</t>
  </si>
  <si>
    <t xml:space="preserve">5JAEE00</t>
  </si>
  <si>
    <t xml:space="preserve">Нарушение последовательности сообщений интерфейса RS485 платы контроллера RBU в ходе операции Начало Остановки (Stop Ready).</t>
  </si>
  <si>
    <t xml:space="preserve">5JAEF00</t>
  </si>
  <si>
    <t xml:space="preserve">Нарушение линии связи интерфейса RS485 платы контроллера RBU в ходе операции Начало Остановки (Stop Ready).</t>
  </si>
  <si>
    <t xml:space="preserve">5JAH500</t>
  </si>
  <si>
    <t xml:space="preserve">Ошибка Чтения/Записи памяти NVRAM (128 деноминаций) в ходе операции Начало Остановки (Stop Ready).</t>
  </si>
  <si>
    <t xml:space="preserve">5JBR000</t>
  </si>
  <si>
    <t xml:space="preserve">Превышено время ожидание ответа платы контроллера RBU в ходе операции Начало Остановки (Stop Ready).</t>
  </si>
  <si>
    <t xml:space="preserve">5JBR800</t>
  </si>
  <si>
    <t xml:space="preserve">Датчик RBU вернул ошибку таймаута сообщения автоматического затемнения в ходе операции Начало Остановки (Stop Ready).</t>
  </si>
  <si>
    <t xml:space="preserve">5JBS000</t>
  </si>
  <si>
    <t xml:space="preserve">Ошибка таймаута подключения платы контроллера RBU в ходе операции Начало Остановки (Stop Ready).</t>
  </si>
  <si>
    <t xml:space="preserve">5JBS100</t>
  </si>
  <si>
    <t xml:space="preserve">Ошибка последовательности сообщений платы контроллера RBU в ходе операции Начало Остановки (Stop Ready).</t>
  </si>
  <si>
    <t xml:space="preserve">5JBS200</t>
  </si>
  <si>
    <t xml:space="preserve">Ошибка Информации о памяти MI в ходе соединения контроллера RBU when Начало Остановки (Stop Ready).</t>
  </si>
  <si>
    <t xml:space="preserve">5JBSQ00</t>
  </si>
  <si>
    <t xml:space="preserve">Нарушение выполнения параметра (Parameter Perform) чтения результатов команды Авто-Затенения (Auto Dimming Results) в ходе операции Начало Остановки (Stop Ready).</t>
  </si>
  <si>
    <t xml:space="preserve">5JBSS00</t>
  </si>
  <si>
    <t xml:space="preserve">Нарушение параметра команды Авто-Затенения (Auto Dimming) в ходе операции Начало Остановки (Stop Ready).</t>
  </si>
  <si>
    <t xml:space="preserve">5JUS100</t>
  </si>
  <si>
    <t xml:space="preserve">Ошибка дублирования номера последовательности USB в ходе операции Начало Остановки (Stop Ready).</t>
  </si>
  <si>
    <t xml:space="preserve">5JUS300</t>
  </si>
  <si>
    <t xml:space="preserve">Ошибка длины данных команды USB в ходе операции Начало Остановки (Stop Ready).</t>
  </si>
  <si>
    <t xml:space="preserve">5K00100</t>
  </si>
  <si>
    <t xml:space="preserve">GS801 сообщил об ошибке замятия по Светлому типу в ходе операции Удержание Выдачи (Withdrawal Reject).</t>
  </si>
  <si>
    <t xml:space="preserve">5K00200</t>
  </si>
  <si>
    <t xml:space="preserve">GS002 сообщил об ошибке замятия по Светлому типу в ходе операции Удержание Выдачи (Withdrawal Reject).</t>
  </si>
  <si>
    <t xml:space="preserve">5K00300</t>
  </si>
  <si>
    <t xml:space="preserve">GS003 замятие в области датчика по Светлому типуError в ходе операции Удержание Выдачи (Withdrawal Reject).</t>
  </si>
  <si>
    <t xml:space="preserve">5K00400</t>
  </si>
  <si>
    <t xml:space="preserve">GS004 сообщил об ошибке замятия по Светлому типу в ходе операции Удержание Выдачи (Withdrawal Reject).</t>
  </si>
  <si>
    <t xml:space="preserve">1. Откройте верхнюю часть Модуля Рециркуляции Банкнот 2. Откройте модуль Временного хранения_TE (Временный Эскроу) (12) 3. Удалите замятие между Модулем временного хранения_TE (12) и Задним Транспортным Трактом (8)</t>
  </si>
  <si>
    <t xml:space="preserve">5K00500</t>
  </si>
  <si>
    <t xml:space="preserve">GS005 сообщил об ошибке замятия по Светлому типу в ходе операции Удержание Выдачи (Withdrawal Reject).</t>
  </si>
  <si>
    <t xml:space="preserve">5K00600</t>
  </si>
  <si>
    <t xml:space="preserve">GS006 сообщил об ошибке замятия по Светлому типу в ходе операции Удержание Выдачи (Withdrawal Reject).</t>
  </si>
  <si>
    <t xml:space="preserve">1. Откройте верхнюю часть Модуля Рециркуляции Банкнот 2. Откройте модуль Временного хранения_TE (Временный Эскроу) (12)  3. Выньте Вспомогательную (невостребованных/фальшивых банкнот) кассету (9) 4. Удалите замятие между Задним Транспортным Трактом (7) и Задним Транспортным Трактом (11).</t>
  </si>
  <si>
    <t xml:space="preserve">5K00A00</t>
  </si>
  <si>
    <t xml:space="preserve">GS021 сообщил об ошибке замятия по Светлому типу в ходе операции Удержание Выдачи (Withdrawal Reject).</t>
  </si>
  <si>
    <t xml:space="preserve">5K00B00</t>
  </si>
  <si>
    <t xml:space="preserve">GS022 сообщил об ошибке замятия по Светлому типу в ходе операции Удержание Выдачи (Withdrawal Reject).</t>
  </si>
  <si>
    <t xml:space="preserve">5K00M00</t>
  </si>
  <si>
    <t xml:space="preserve">GS031 сообщил об ошибке замятия по Светлому типу в ходе операции Удержание Выдачи (Withdrawal Reject).</t>
  </si>
  <si>
    <t xml:space="preserve">5K00N00</t>
  </si>
  <si>
    <t xml:space="preserve">GS032 сообщил об ошибке замятия по Светлому типу в ходе операции Удержание Выдачи (Withdrawal Reject).</t>
  </si>
  <si>
    <t xml:space="preserve">5K00P00</t>
  </si>
  <si>
    <t xml:space="preserve">GS033 сообщил об ошибке замятия по Светлому типу в ходе операции Удержание Выдачи (Withdrawal Reject).</t>
  </si>
  <si>
    <t xml:space="preserve">5K00Q00</t>
  </si>
  <si>
    <t xml:space="preserve">GS034 сообщил об ошибке замятия по Светлому типу в ходе операции Удержание Выдачи (Withdrawal Reject).</t>
  </si>
  <si>
    <t xml:space="preserve">5K00W00</t>
  </si>
  <si>
    <t xml:space="preserve">GS802 сообщил об ошибке замятия по Светлому типу в ходе операции Удержание Выдачи (Withdrawal Reject).</t>
  </si>
  <si>
    <t xml:space="preserve">5K01100</t>
  </si>
  <si>
    <t xml:space="preserve">GS801 сообщил об ошибке замятия по Темному типу в ходе операции Удержание Выдачи (Withdrawal Reject).</t>
  </si>
  <si>
    <t xml:space="preserve">5K01200</t>
  </si>
  <si>
    <t xml:space="preserve">GS002 сообщил об ошибке замятия по Темному типу в ходе операции Удержание Выдачи (Withdrawal Reject).</t>
  </si>
  <si>
    <t xml:space="preserve">5K01300</t>
  </si>
  <si>
    <t xml:space="preserve">GS003 сообщил об ошибке замятия по Темному типу в ходе операции Удержание Выдачи (Withdrawal Reject).</t>
  </si>
  <si>
    <t xml:space="preserve">5K01400</t>
  </si>
  <si>
    <t xml:space="preserve">GS004 сообщил об ошибке замятия по Темному типу в ходе операции Удержание Выдачи (Withdrawal Reject).</t>
  </si>
  <si>
    <t xml:space="preserve">5K01500</t>
  </si>
  <si>
    <t xml:space="preserve">GS005 сообщил об ошибке замятия по Темному типу в ходе операции Удержание Выдачи (Withdrawal Reject).</t>
  </si>
  <si>
    <t xml:space="preserve">5K01600</t>
  </si>
  <si>
    <t xml:space="preserve">GS006 сообщил об ошибке замятия по Темному типу в ходе операции Удержание Выдачи (Withdrawal Reject).</t>
  </si>
  <si>
    <t xml:space="preserve">5K01A00</t>
  </si>
  <si>
    <t xml:space="preserve">GS021 сообщил об ошибке замятия по Темному типу в ходе операции Удержание Выдачи (Withdrawal Reject).</t>
  </si>
  <si>
    <t xml:space="preserve">5K01B00</t>
  </si>
  <si>
    <t xml:space="preserve">GS022 сообщил об ошибке замятия по Темному типу в ходе операции Удержание Выдачи (Withdrawal Reject).</t>
  </si>
  <si>
    <t xml:space="preserve">5K01G00</t>
  </si>
  <si>
    <t xml:space="preserve">GS614 сообщил об ошибке замятия по Темному типу в ходе операции Удержание Выдачи (Withdrawal Reject).</t>
  </si>
  <si>
    <t xml:space="preserve">5K01H00</t>
  </si>
  <si>
    <t xml:space="preserve">GS618 сообщил об ошибке замятия по Темному типу в ходе операции Удержание Выдачи (Withdrawal Reject).</t>
  </si>
  <si>
    <t xml:space="preserve">5K01J00</t>
  </si>
  <si>
    <t xml:space="preserve">GS619 сообщил об ошибке замятия по Темному типу в ходе операции Удержание Выдачи (Withdrawal Reject).</t>
  </si>
  <si>
    <t xml:space="preserve">5K01K00</t>
  </si>
  <si>
    <t xml:space="preserve">GS703 сообщил об ошибке замятия по Темному типу в ходе операции Удержание Выдачи (Withdrawal Reject).</t>
  </si>
  <si>
    <t xml:space="preserve">5K01M00</t>
  </si>
  <si>
    <t xml:space="preserve">GS031 сообщил об ошибке замятия по Темному типу в ходе операции Удержание Выдачи (Withdrawal Reject).</t>
  </si>
  <si>
    <t xml:space="preserve">5K01N00</t>
  </si>
  <si>
    <t xml:space="preserve">GS032 сообщил об ошибке замятия по Темному типу в ходе операции Удержание Выдачи (Withdrawal Reject).</t>
  </si>
  <si>
    <t xml:space="preserve">5K01P00</t>
  </si>
  <si>
    <t xml:space="preserve">GS033 сообщил об ошибке замятия по Темному типу в ходе операции Удержание Выдачи (Withdrawal Reject).</t>
  </si>
  <si>
    <t xml:space="preserve">5K01Q00</t>
  </si>
  <si>
    <t xml:space="preserve">GS034 сообщил об ошибке замятия по Темному типу в ходе операции Удержание Выдачи (Withdrawal Reject).</t>
  </si>
  <si>
    <t xml:space="preserve">5K01W00</t>
  </si>
  <si>
    <t xml:space="preserve">GS802 сообщил об ошибке замятия по Темному типу в ходе операции Удержание Выдачи (Withdrawal Reject).</t>
  </si>
  <si>
    <t xml:space="preserve">5K02100</t>
  </si>
  <si>
    <t xml:space="preserve">Произошла ошибка оставшихся банкнот в области датчика GS801 в ходе операции Удержание Выдачи (Withdrawal Reject).</t>
  </si>
  <si>
    <t xml:space="preserve">5K02200</t>
  </si>
  <si>
    <t xml:space="preserve">Произошла ошибка оставшихся банкнот в области датчика GS002 в ходе операции Удержание Выдачи (Withdrawal Reject).</t>
  </si>
  <si>
    <t xml:space="preserve">5K02300</t>
  </si>
  <si>
    <t xml:space="preserve">Произошла ошибка оставшихся банкнот в области датчика GS003 в ходе операции Удержание Выдачи (Withdrawal Reject).</t>
  </si>
  <si>
    <t xml:space="preserve">5K02400</t>
  </si>
  <si>
    <t xml:space="preserve">Произошла ошибка оставшихся банкнот в области датчика GS004 в ходе операции Удержание Выдачи (Withdrawal Reject).</t>
  </si>
  <si>
    <t xml:space="preserve">5K02500</t>
  </si>
  <si>
    <t xml:space="preserve">Произошла ошибка оставшихся банкнот в области датчика GS005 в ходе операции Удержание Выдачи (Withdrawal Reject).</t>
  </si>
  <si>
    <t xml:space="preserve">5K02600</t>
  </si>
  <si>
    <t xml:space="preserve">Произошла ошибка оставшихся банкнот в области датчика GS006 в ходе операции Удержание Выдачи (Withdrawal Reject).</t>
  </si>
  <si>
    <t xml:space="preserve">5K02A00</t>
  </si>
  <si>
    <t xml:space="preserve">Произошла ошибка оставшихся банкнот в области датчика GS021 в ходе операции Удержание Выдачи (Withdrawal Reject).</t>
  </si>
  <si>
    <t xml:space="preserve">5K02B00</t>
  </si>
  <si>
    <t xml:space="preserve">Произошла ошибка оставшихся банкнот в области датчика GS022 в ходе операции Удержание Выдачи (Withdrawal Reject).</t>
  </si>
  <si>
    <t xml:space="preserve">5K02G00</t>
  </si>
  <si>
    <t xml:space="preserve">Произошла ошибка оставшихся банкнот в области датчика GS614 в ходе операции Удержание Выдачи (Withdrawal Reject).</t>
  </si>
  <si>
    <t xml:space="preserve">5K02H00</t>
  </si>
  <si>
    <t xml:space="preserve">Произошла ошибка оставшихся банкнот в области датчика GS618 в ходе операции Удержание Выдачи (Withdrawal Reject).</t>
  </si>
  <si>
    <t xml:space="preserve">5K02J00</t>
  </si>
  <si>
    <t xml:space="preserve">Произошла ошибка оставшихся банкнот в области датчика GS619 в ходе операции Удержание Выдачи (Withdrawal Reject).</t>
  </si>
  <si>
    <t xml:space="preserve">5K02K00</t>
  </si>
  <si>
    <t xml:space="preserve">Произошла ошибка оставшихся банкнот в области датчика GS703 в ходе операции Удержание Выдачи (Withdrawal Reject).</t>
  </si>
  <si>
    <t xml:space="preserve">5K02M00</t>
  </si>
  <si>
    <t xml:space="preserve">Произошла ошибка оставшихся банкнот в области датчика GS031 в ходе операции Удержание Выдачи (Withdrawal Reject).</t>
  </si>
  <si>
    <t xml:space="preserve">5K02N00</t>
  </si>
  <si>
    <t xml:space="preserve">Произошла ошибка оставшихся банкнот в области датчика GS032 в ходе операции Удержание Выдачи (Withdrawal Reject).</t>
  </si>
  <si>
    <t xml:space="preserve">5K02P00</t>
  </si>
  <si>
    <t xml:space="preserve">Произошла ошибка оставшихся банкнот в области датчика GS033 в ходе операции Удержание Выдачи (Withdrawal Reject).</t>
  </si>
  <si>
    <t xml:space="preserve">5K02Q00</t>
  </si>
  <si>
    <t xml:space="preserve">Произошла ошибка оставшихся банкнот в области датчика GS034 в ходе операции Удержание Выдачи (Withdrawal Reject).</t>
  </si>
  <si>
    <t xml:space="preserve">5K02W00</t>
  </si>
  <si>
    <t xml:space="preserve">Произошла ошибка оставшихся банкнот в области датчика GS802 в ходе операции Удержание Выдачи (Withdrawal Reject).</t>
  </si>
  <si>
    <t xml:space="preserve">5K05300</t>
  </si>
  <si>
    <t xml:space="preserve">Произошла ошибка Транспортного Тракта по данным датчика GS003 в ходе операции Удержание Выдачи (Withdrawal Reject).</t>
  </si>
  <si>
    <t xml:space="preserve">1. Откройте верхнюю часть Модуля Рециркуляции Банкнот 2. Откройте модуль Временного хранения_TE (Временный Эскроу) (12)  3. Откройте Задний Транспортный Тракт (6) 4. Удалите банкноты и посторонние предметы из Заднего Транспортного Тракта (6) 5. В случае отсутствия банкнот или посторонних предметов проверьте не загрязнен ли датчик</t>
  </si>
  <si>
    <t xml:space="preserve">5K05400</t>
  </si>
  <si>
    <t xml:space="preserve">Произошла ошибка Транспортного Тракта по данным датчика GS004 в ходе операции Удержание Выдачи (Withdrawal Reject).</t>
  </si>
  <si>
    <t xml:space="preserve">5K05600</t>
  </si>
  <si>
    <t xml:space="preserve">Произошла ошибка Транспортного Тракта по данным датчика GS006 в ходе операции Удержание Выдачи (Withdrawal Reject).</t>
  </si>
  <si>
    <t xml:space="preserve">5K05B00</t>
  </si>
  <si>
    <t xml:space="preserve">Произошла ошибка Транспортного Тракта по данным датчика GS022 в ходе операции Удержание Выдачи (Withdrawal Reject).</t>
  </si>
  <si>
    <t xml:space="preserve">1. Откройте нижнюю часть Модуля Рециркуляции Банкнот  2. Откройте Средний Транспортный Тракт 3. Удалите банкноты и посторонние предметы из Кассеты отбраковки  (19) 4. В случае отсутствия банкнот или посторонних предметов проверьте не загрязнен ли датчик</t>
  </si>
  <si>
    <t xml:space="preserve">5K05M00</t>
  </si>
  <si>
    <t xml:space="preserve">Произошла ошибка Транспортного Тракта по данным датчика GS031 в ходе операции Удержание Выдачи (Withdrawal Reject).</t>
  </si>
  <si>
    <t xml:space="preserve">1. Откройте нижнюю часть Модуля Рециркуляции Банкнот  2. Прокрутите круглую ручку Среднего транспортного тракта 3. Удалите банкноты и посторонние предметы из Среднего Транспортного Тракта (13)  4. В случае отсутствия банкнот или посторонних предметов проверьте не загрязнен ли датчик</t>
  </si>
  <si>
    <t xml:space="preserve">5K05N00</t>
  </si>
  <si>
    <t xml:space="preserve">Произошла ошибка Транспортного Тракта по данным датчика GS032 в ходе операции Удержание Выдачи (Withdrawal Reject).</t>
  </si>
  <si>
    <t xml:space="preserve">5K05P00</t>
  </si>
  <si>
    <t xml:space="preserve">Произошла ошибка Транспортного Тракта по данным датчика GS033 в ходе операции Удержание Выдачи (Withdrawal Reject).</t>
  </si>
  <si>
    <t xml:space="preserve">5K05Q00</t>
  </si>
  <si>
    <t xml:space="preserve">Произошла ошибка Транспортного Тракта по данным датчика GS034 в ходе операции Удержание Выдачи (Withdrawal Reject).</t>
  </si>
  <si>
    <t xml:space="preserve">5K06400</t>
  </si>
  <si>
    <t xml:space="preserve">Произошла ошибка Возвращающего Транспортного Тракта (датчик GS004) в ходе операции Удержание Выдачи (Withdrawal Reject).</t>
  </si>
  <si>
    <t xml:space="preserve">5K06600</t>
  </si>
  <si>
    <t xml:space="preserve">Произошла ошибка Возвращающего Транспортного Тракта (датчик GS006) в ходе операции Удержание Выдачи (Withdrawal Reject).</t>
  </si>
  <si>
    <t xml:space="preserve">5K06G00</t>
  </si>
  <si>
    <t xml:space="preserve">Произошла ошибка Возвращающего Транспортного Тракта (датчик GS614) в ходе операции Удержание Выдачи (Withdrawal Reject).</t>
  </si>
  <si>
    <t xml:space="preserve">5K06H00</t>
  </si>
  <si>
    <t xml:space="preserve">Произошла ошибка Возвращающего Транспортного Тракта (датчик GS618) в ходе операции Удержание Выдачи (Withdrawal Reject).</t>
  </si>
  <si>
    <t xml:space="preserve">5K06J00</t>
  </si>
  <si>
    <t xml:space="preserve">Произошла ошибка Возвращающего Транспортного Тракта (датчик GS619) в ходе операции Удержание Выдачи (Withdrawal Reject).</t>
  </si>
  <si>
    <t xml:space="preserve">5K07100</t>
  </si>
  <si>
    <t xml:space="preserve">Произошла ошибка порядка следования банкнот в области датчика GS801 в ходе операции Удержание Выдачи (Withdrawal Reject).</t>
  </si>
  <si>
    <t xml:space="preserve">5K07200</t>
  </si>
  <si>
    <t xml:space="preserve">Произошла ошибка порядка следования банкнот в области датчика GS002 в ходе операции Удержание Выдачи (Withdrawal Reject).</t>
  </si>
  <si>
    <t xml:space="preserve">5K07300</t>
  </si>
  <si>
    <t xml:space="preserve">Произошла ошибка порядка следования банкнот в области датчика GS003 в ходе операции Удержание Выдачи (Withdrawal Reject).</t>
  </si>
  <si>
    <t xml:space="preserve">5K07400</t>
  </si>
  <si>
    <t xml:space="preserve">Произошла ошибка порядка следования банкнот в области датчика GS004 в ходе операции Удержание Выдачи (Withdrawal Reject).</t>
  </si>
  <si>
    <t xml:space="preserve">5K07500</t>
  </si>
  <si>
    <t xml:space="preserve">Произошла ошибка порядка следования банкнот в области датчика GS005 в ходе операции Удержание Выдачи (Withdrawal Reject).</t>
  </si>
  <si>
    <t xml:space="preserve">5K07600</t>
  </si>
  <si>
    <t xml:space="preserve">Произошла ошибка порядка следования банкнот в области датчика GS006 в ходе операции Удержание Выдачи (Withdrawal Reject).</t>
  </si>
  <si>
    <t xml:space="preserve">5K07A00</t>
  </si>
  <si>
    <t xml:space="preserve">Произошла ошибка порядка следования банкнот в области датчика GS021 в ходе операции Удержание Выдачи (Withdrawal Reject).</t>
  </si>
  <si>
    <t xml:space="preserve">5K07B00</t>
  </si>
  <si>
    <t xml:space="preserve">Произошла ошибка порядка следования банкнот в области датчика GS022 в ходе операции Удержание Выдачи (Withdrawal Reject).</t>
  </si>
  <si>
    <t xml:space="preserve">5K07G00</t>
  </si>
  <si>
    <t xml:space="preserve">Произошла ошибка порядка следования банкнот в области датчика GS614 в ходе операции Удержание Выдачи (Withdrawal Reject).</t>
  </si>
  <si>
    <t xml:space="preserve">5K07H00</t>
  </si>
  <si>
    <t xml:space="preserve">Произошла ошибка порядка следования банкнот в области датчика GS618 в ходе операции Удержание Выдачи (Withdrawal Reject).</t>
  </si>
  <si>
    <t xml:space="preserve">5K07J00</t>
  </si>
  <si>
    <t xml:space="preserve">Произошла ошибка порядка следования банкнот в области датчика GS619 в ходе операции Удержание Выдачи (Withdrawal Reject).</t>
  </si>
  <si>
    <t xml:space="preserve">5K07K00</t>
  </si>
  <si>
    <t xml:space="preserve">Произошла ошибка порядка следования банкнот в области датчика GS703 в ходе операции Удержание Выдачи (Withdrawal Reject).</t>
  </si>
  <si>
    <t xml:space="preserve">5K07M00</t>
  </si>
  <si>
    <t xml:space="preserve">Произошла ошибка порядка следования банкнот в области датчика GS031 в ходе операции Удержание Выдачи (Withdrawal Reject).</t>
  </si>
  <si>
    <t xml:space="preserve">5K07N00</t>
  </si>
  <si>
    <t xml:space="preserve">Произошла ошибка порядка следования банкнот в области датчика GS032 в ходе операции Удержание Выдачи (Withdrawal Reject).</t>
  </si>
  <si>
    <t xml:space="preserve">5K07P00</t>
  </si>
  <si>
    <t xml:space="preserve">Нарушение порядка следования банкнот в области датчика GS033 в ходе операции Удержание Выдачи (Withdrawal Reject).</t>
  </si>
  <si>
    <t xml:space="preserve">5K07Q00</t>
  </si>
  <si>
    <t xml:space="preserve">Произошла ошибка порядка следования банкнот в области датчика GS034 в ходе операции Удержание Выдачи (Withdrawal Reject).</t>
  </si>
  <si>
    <t xml:space="preserve">5K07W00</t>
  </si>
  <si>
    <t xml:space="preserve">Произошла ошибка порядка следования банкнот в области датчика GS802 в ходе операции Удержание Выдачи (Withdrawal Reject).</t>
  </si>
  <si>
    <t xml:space="preserve">5K0DR00</t>
  </si>
  <si>
    <t xml:space="preserve">Ошибка синхронизации распознованияв ходе операции Удержание Выдачи (Withdrawal Reject).</t>
  </si>
  <si>
    <t xml:space="preserve">5K0DS00</t>
  </si>
  <si>
    <t xml:space="preserve">5K0DT00</t>
  </si>
  <si>
    <t xml:space="preserve">5K0DU00</t>
  </si>
  <si>
    <t xml:space="preserve">5K0DV00</t>
  </si>
  <si>
    <t xml:space="preserve">5K0DW00</t>
  </si>
  <si>
    <t xml:space="preserve">5K0DX00</t>
  </si>
  <si>
    <t xml:space="preserve">5K0DY00</t>
  </si>
  <si>
    <t xml:space="preserve">5K0F100</t>
  </si>
  <si>
    <t xml:space="preserve">Ошибка motor step out return error двигателя GM001 в ходе операции Удержание Выдачи (Withdrawal Reject).</t>
  </si>
  <si>
    <t xml:space="preserve">5K0F200</t>
  </si>
  <si>
    <t xml:space="preserve">Ошибка motor step out return error двигателя GM002 в ходе операции Удержание Выдачи (Withdrawal Reject).</t>
  </si>
  <si>
    <t xml:space="preserve">5K0F400</t>
  </si>
  <si>
    <t xml:space="preserve">Ошибка motor step out return двигателя GM004 в ходе операции Удержание Выдачи (Withdrawal Reject).</t>
  </si>
  <si>
    <t xml:space="preserve">5K0F500</t>
  </si>
  <si>
    <t xml:space="preserve">Снижено кол-во счетов энкодера двигателя GM001 относительно предыдущих значений в ходе операции Удержание Выдачи (Withdrawal Reject).</t>
  </si>
  <si>
    <t xml:space="preserve">5K0F600</t>
  </si>
  <si>
    <t xml:space="preserve">Снижено кол-во счетов энкодера двигателя GM002 относительно предыдущих значений в ходе операции Удержание Выдачи (Withdrawal Reject).</t>
  </si>
  <si>
    <t xml:space="preserve">5K0F700</t>
  </si>
  <si>
    <t xml:space="preserve">Снижено кол-во счетов энкодера двигателя GM004 относительно предыдущих значений в ходе операции Удержание Выдачи (Withdrawal Reject).</t>
  </si>
  <si>
    <t xml:space="preserve">5K0G100</t>
  </si>
  <si>
    <t xml:space="preserve">Не удалось переключить 3-х направленный Затвор Тракта в режим 0-го градуса в ходе операции Удержание Выдачи (Withdrawal Reject).</t>
  </si>
  <si>
    <t xml:space="preserve">5K0G200</t>
  </si>
  <si>
    <t xml:space="preserve">Не удалось переключить 3-х направленный Затвор Тракта в 120 градусный режим в ходе операции Удержание Выдачи (Withdrawal Reject).</t>
  </si>
  <si>
    <t xml:space="preserve">5K0K100</t>
  </si>
  <si>
    <t xml:space="preserve">Ошибка дублирования серийного номера в ходе операции Удержание Выдачи (Withdrawal Reject)..</t>
  </si>
  <si>
    <t xml:space="preserve">5K0N900</t>
  </si>
  <si>
    <t xml:space="preserve">Кол-во набранных банкнот не совпадает с кол-вом уложенных банкнот при завершении разделения в ходе операции Отбраковка Выдачи (Withdrawal Reject).</t>
  </si>
  <si>
    <t xml:space="preserve">5K0NA00</t>
  </si>
  <si>
    <t xml:space="preserve">Ошибка контрольной суммы при разделении банкнот Модуля временного хранения_TE в ходе операции Удержание Выдачи (Withdrawal Reject).</t>
  </si>
  <si>
    <t xml:space="preserve">5K0NC00</t>
  </si>
  <si>
    <t xml:space="preserve">Не удалось проверить последнюю банкноту в окончании Среднего Транспортного Тракта в ходе операции Удержание Выдачи (Withdrawal Reject).</t>
  </si>
  <si>
    <t xml:space="preserve">5K0NK00</t>
  </si>
  <si>
    <t xml:space="preserve">Ошибка No gate for insertion в ходе операции Удержание Выдачи (Withdrawal Reject).</t>
  </si>
  <si>
    <t xml:space="preserve">5K0Q100</t>
  </si>
  <si>
    <t xml:space="preserve">Ошибка установки Вспомогательной Кассеты UTC в ходе операции Удержание Выдачи (Withdrawal Reject).</t>
  </si>
  <si>
    <t xml:space="preserve">5K0Q200</t>
  </si>
  <si>
    <t xml:space="preserve">Ошибка открытого Модуля временного хранения (TE) в ходе операции Удержание Выдачи (Withdrawal Reject).</t>
  </si>
  <si>
    <t xml:space="preserve">5K0Q300</t>
  </si>
  <si>
    <t xml:space="preserve">Ошибка концевого переключателя BMU в ходе операции Удержание Выдачи (Withdrawal Reject).</t>
  </si>
  <si>
    <t xml:space="preserve">5K0Q400</t>
  </si>
  <si>
    <t xml:space="preserve">Ошибка установки BMU в ходе операции Удержание Выдачи (Withdrawal Reject).</t>
  </si>
  <si>
    <t xml:space="preserve">5K0Q500</t>
  </si>
  <si>
    <t xml:space="preserve">Сейфовая дверь открыта в ходе операции Удержание Выдачи (Withdrawal Reject).</t>
  </si>
  <si>
    <t xml:space="preserve">5K0Q600</t>
  </si>
  <si>
    <t xml:space="preserve">Ошибка открытия CSM в ходе операции Удержание Выдачи (Withdrawal Reject).</t>
  </si>
  <si>
    <t xml:space="preserve">5K0Q700</t>
  </si>
  <si>
    <t xml:space="preserve">Ошибка вынутой Кассеты Отбраковки RJC в ходе операции Удержание Выдачи (Withdrawal Reject).</t>
  </si>
  <si>
    <t xml:space="preserve">5K0Q800</t>
  </si>
  <si>
    <t xml:space="preserve">Ошибка концевого переключателя BMD в ходе операции Удержание Выдачи (Withdrawal Reject).</t>
  </si>
  <si>
    <t xml:space="preserve">5K0Q900</t>
  </si>
  <si>
    <t xml:space="preserve">Ошибка положения BMD в ходе операции Удержание Выдачи (Withdrawal Reject).</t>
  </si>
  <si>
    <t xml:space="preserve">5K0QA00</t>
  </si>
  <si>
    <t xml:space="preserve">Ошибка открытия BC в ходе операции Удержание Выдачи (Withdrawal Reject).</t>
  </si>
  <si>
    <t xml:space="preserve">5K0R100</t>
  </si>
  <si>
    <t xml:space="preserve">BM вернул ошибку таймаута сообщения в ходе готовности к операции Отбраковка Выдачи (Withdrawal Reject).</t>
  </si>
  <si>
    <t xml:space="preserve">5K0R200</t>
  </si>
  <si>
    <t xml:space="preserve">BM вернул ошибку таймаута сообщения при проведении транзакции в ходе операции Отбраковка Выдачи (Withdrawal Reject).</t>
  </si>
  <si>
    <t xml:space="preserve">5K0R300</t>
  </si>
  <si>
    <t xml:space="preserve">BM вернул ошибку таймаута сообщения в ходе постпроцессинга ошибки операции Отбраковка Выдачи (Withdrawal Reject Error).</t>
  </si>
  <si>
    <t xml:space="preserve">5K10500</t>
  </si>
  <si>
    <t xml:space="preserve">GS105 сообщил об ошибке замятия по Светлому типу в ходе операции Удержание Выдачи (Withdrawal Reject).</t>
  </si>
  <si>
    <t xml:space="preserve">5K11100</t>
  </si>
  <si>
    <t xml:space="preserve">GS101 замятие в области датчика в ходе операции Удержание Выдачи (Withdrawal Reject).</t>
  </si>
  <si>
    <t xml:space="preserve">5K11200</t>
  </si>
  <si>
    <t xml:space="preserve">GS102 замятие в области датчика в ходе операции Удержание Выдачи (Withdrawal Reject).</t>
  </si>
  <si>
    <t xml:space="preserve">5K11500</t>
  </si>
  <si>
    <t xml:space="preserve">GS105 сообщил об ошибке замятия по Темному типу в ходе операции Удержание Выдачи (Withdrawal Reject).</t>
  </si>
  <si>
    <t xml:space="preserve">5K12100</t>
  </si>
  <si>
    <t xml:space="preserve">Произошла ошибка оставшихся банкнот в области датчика GS101 в ходе операции Удержание Выдачи (Withdrawal Reject).</t>
  </si>
  <si>
    <t xml:space="preserve">5K12200</t>
  </si>
  <si>
    <t xml:space="preserve">Произошла ошибка оставшихся банкнот в области датчика GS102 в ходе операции Удержание Выдачи (Withdrawal Reject).</t>
  </si>
  <si>
    <t xml:space="preserve">5K12500</t>
  </si>
  <si>
    <t xml:space="preserve">Произошла ошибка оставшихся банкнот (датчик GS105) в ходе операции Удержание Выдачи (Withdrawal Reject).</t>
  </si>
  <si>
    <t xml:space="preserve">5K15500</t>
  </si>
  <si>
    <t xml:space="preserve">Произошла ошибка Транспортного Тракта (датчик GS105) в ходе операции Удержание Выдачи (Withdrawal Reject).</t>
  </si>
  <si>
    <t xml:space="preserve">5K16500</t>
  </si>
  <si>
    <t xml:space="preserve">Произошла ошибка Возвращающего Транспортного Тракта (датчик GS105) в ходе операции Удержание Выдачи (Withdrawal Reject).</t>
  </si>
  <si>
    <t xml:space="preserve">5K17500</t>
  </si>
  <si>
    <t xml:space="preserve">Произошла ошибка порядка следования банкнот в области датчика GS105 в ходе операции Удержание Выдачи (Withdrawal Reject).</t>
  </si>
  <si>
    <t xml:space="preserve">5K1G100</t>
  </si>
  <si>
    <t xml:space="preserve">Не удалось вернуть банкноты в Кассету Рециркуляции RC1 в ходе операции Удержание Выдачи (Withdrawal Reject).</t>
  </si>
  <si>
    <t xml:space="preserve">5K1G200</t>
  </si>
  <si>
    <t xml:space="preserve">Не удалось переместить Прижимную Пластину Кассеты Рециркуляции RC1 в укладывающее положение в ходе операции Удержание Выдачи (Withdrawal Reject).</t>
  </si>
  <si>
    <t xml:space="preserve">5K1G400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</si>
  <si>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Отбраковка Выдачи (Withdrawal Reject).</t>
  </si>
  <si>
    <t xml:space="preserve">5K1G500</t>
  </si>
  <si>
    <t xml:space="preserve">Сбой обратного хода укладывающего ролика Кассеты Рециркуляции RC1 в ходе операции Удержание Выдачи (Withdrawal Reject).(ошибка датчика)</t>
  </si>
  <si>
    <t xml:space="preserve">5K1G600</t>
  </si>
  <si>
    <t xml:space="preserve">Превышен предел количества попыток перемещений укладывающего ролика Кассеты Рециркуляции RC1 в ходе операции Удержание Выдачи (Withdrawal Reject).</t>
  </si>
  <si>
    <t xml:space="preserve">5K1G800</t>
  </si>
  <si>
    <t xml:space="preserve">Ошибка перемещения Прижимной Пластины в прижимающее положение Кассеты Рециркуляции RC1 в ходе операции Удержание Выдачи (Withdrawal Reject).</t>
  </si>
  <si>
    <t xml:space="preserve">5K1GA00</t>
  </si>
  <si>
    <t xml:space="preserve">Ошибка сообщения соленоида Кассеты Рециркуляции RC1 в ходе операции Отбраковка Выдачи (Withdrawal Reject).</t>
  </si>
  <si>
    <t xml:space="preserve">5K1GB00</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</si>
  <si>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</si>
  <si>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5K1GC00</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</si>
  <si>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Удержание Выдачи (Withdrawal Reject).</t>
  </si>
  <si>
    <t xml:space="preserve">5K1GG00</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</si>
  <si>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Удержание Выдачи (Withdrawal Reject).</t>
  </si>
  <si>
    <t xml:space="preserve">5K1GH00</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</si>
  <si>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</si>
  <si>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5K1GJ00</t>
  </si>
  <si>
    <t xml:space="preserve">Сбой обратного хода укладывающего ролика Кассеты Рециркуляции RC1 в ходе операции Удержание Выдачи (Withdrawal Reject).(Перерасход)</t>
  </si>
  <si>
    <t xml:space="preserve">5K1GK00</t>
  </si>
  <si>
    <t xml:space="preserve">Сбой обратного хода укладывающего ролика Кассеты Рециркуляции RC1 в ходе операции Удержание Выдачи (Withdrawal Reject). (Ошибка состояния двигателя)</t>
  </si>
  <si>
    <t xml:space="preserve">5K1GL00</t>
  </si>
  <si>
    <t xml:space="preserve">Не удалось переместить подающий ролик Кассеты Рециркуляции RC1 в исходное положение в ходе операции Удержание Выдачи (Withdrawal Reject).(Ошибка состояния двигателя)</t>
  </si>
  <si>
    <t xml:space="preserve">5K1J300</t>
  </si>
  <si>
    <t xml:space="preserve">Не удалось выполнить полную проверку Кассеты Рециркуляции RC1 в ходе операции Удержание Выдачи (Withdrawal Reject).</t>
  </si>
  <si>
    <t xml:space="preserve">5K1R100</t>
  </si>
  <si>
    <t xml:space="preserve">Ошибка тайм-аута сообщения Кассеты Рециркуляции RC1 в ходе готовности к операции Отбраковка Выдачи (Withdrawal Reject).</t>
  </si>
  <si>
    <t xml:space="preserve">5K1R200</t>
  </si>
  <si>
    <t xml:space="preserve">Ошибка тайм-аута сообщения Кассеты Рециркуляции RC1 при проведении транзакции в ходе операции Отбраковка Выдачи (Withdrawal Reject).</t>
  </si>
  <si>
    <t xml:space="preserve">5K1R300</t>
  </si>
  <si>
    <t xml:space="preserve">Ошибка тайм-аута сообщения Кассеты Рециркуляции RC1 в ходе постпроцессинга ошибки операции Отбраковка Выдачи (Withdrawal Reject Error).</t>
  </si>
  <si>
    <t xml:space="preserve">5K1S100</t>
  </si>
  <si>
    <t xml:space="preserve">Возвращено неизвестное значение Кассеты Рециркуляции RC1 в ходе операции Удержание Выдачи (Withdrawal Reject).</t>
  </si>
  <si>
    <t xml:space="preserve">5K1S200</t>
  </si>
  <si>
    <t xml:space="preserve">Неизвестная команда RC1 в ходе операции Удержание Выдачи (Withdrawal Reject).</t>
  </si>
  <si>
    <t xml:space="preserve">5K20500</t>
  </si>
  <si>
    <t xml:space="preserve">GS205 сообщил об ошибке замятия по Светлому типу в ходе операции Удержание Выдачи (Withdrawal Reject).</t>
  </si>
  <si>
    <t xml:space="preserve">5K21100</t>
  </si>
  <si>
    <t xml:space="preserve">GS201 замятие в области датчика в ходе операции Удержание Выдачи (Withdrawal Reject).</t>
  </si>
  <si>
    <t xml:space="preserve">5K21200</t>
  </si>
  <si>
    <t xml:space="preserve">GS202 замятие в области датчика в ходе операции Удержание Выдачи (Withdrawal Reject).</t>
  </si>
  <si>
    <t xml:space="preserve">5K21500</t>
  </si>
  <si>
    <t xml:space="preserve">GS205 сообщил об ошибке замятия по Темному типу в ходе операции Удержание Выдачи (Withdrawal Reject).</t>
  </si>
  <si>
    <t xml:space="preserve">5K22100</t>
  </si>
  <si>
    <t xml:space="preserve">Произошла ошибка оставшихся банкнот в области датчика GS201 в ходе операции Удержание Выдачи (Withdrawal Reject).</t>
  </si>
  <si>
    <t xml:space="preserve">5K22200</t>
  </si>
  <si>
    <t xml:space="preserve">Произошла ошибка оставшихся банкнот в области датчика GS202 в ходе операции Удержание Выдачи (Withdrawal Reject).</t>
  </si>
  <si>
    <t xml:space="preserve">5K22500</t>
  </si>
  <si>
    <t xml:space="preserve">Произошла ошибка оставшихся банкнот в области датчика GS205 в ходе операции Удержание Выдачи (Withdrawal Reject).</t>
  </si>
  <si>
    <t xml:space="preserve">5K25500</t>
  </si>
  <si>
    <t xml:space="preserve">Произошла ошибка Транспортного Тракта (датчик GS205) в ходе операции Удержание Выдачи (Withdrawal Reject).</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</si>
  <si>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</si>
  <si>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5K26500</t>
  </si>
  <si>
    <t xml:space="preserve">Произошла ошибка Возвращающего Транспортного Тракта (датчик GS205) в ходе операции Удержание Выдачи (Withdrawal Reject).</t>
  </si>
  <si>
    <t xml:space="preserve">5K27500</t>
  </si>
  <si>
    <t xml:space="preserve">Произошла ошибка порядка следования банкнот в области датчика GS205 в ходе операции Удержание Выдачи (Withdrawal Reject).</t>
  </si>
  <si>
    <t xml:space="preserve">5K2G100</t>
  </si>
  <si>
    <t xml:space="preserve">Не удалось вернуть банкноты в Кассету Рециркуляции RC2 в ходе операции Удержание Выдачи (Withdrawal Reject).</t>
  </si>
  <si>
    <t xml:space="preserve">5K2G200</t>
  </si>
  <si>
    <t xml:space="preserve">Не удалось переместить Прижимную Пластину Кассеты Рециркуляции RC2 в укладывающее положение в ходе операции Удержание Выдачи (Withdrawal Reject).</t>
  </si>
  <si>
    <t xml:space="preserve">5K2G400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</si>
  <si>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Отбраковка Выдачи (Withdrawal Reject).</t>
  </si>
  <si>
    <t xml:space="preserve">5K2G500</t>
  </si>
  <si>
    <t xml:space="preserve">Сбой обратного хода укладывающего ролика Кассеты Рециркуляции RC2 в ходе операции Удержание Выдачи (Withdrawal Reject).(ошибка датчика)</t>
  </si>
  <si>
    <t xml:space="preserve">5K2G600</t>
  </si>
  <si>
    <t xml:space="preserve">Превышен предел количества попыток перемещений укладывающего ролика Кассеты Рециркуляции RC2 в ходе операции Удержание Выдачи (Withdrawal Reject).</t>
  </si>
  <si>
    <t xml:space="preserve">5K2G800</t>
  </si>
  <si>
    <t xml:space="preserve">Ошибка перемещения Прижимной Пластины в прижимающее положение Кассеты Рециркуляции RC2 в ходе операции Удержание Выдачи (Withdrawal Reject).</t>
  </si>
  <si>
    <t xml:space="preserve">5K2GA00</t>
  </si>
  <si>
    <t xml:space="preserve">Ошибка сообщения соленоида Кассеты Рециркуляции RC2 в ходе операции Отбраковка Выдачи (Withdrawal Reject).</t>
  </si>
  <si>
    <t xml:space="preserve">5K2GB00</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</si>
  <si>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</si>
  <si>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5K2GC00</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</si>
  <si>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Удержание Выдачи (Withdrawal Reject).</t>
  </si>
  <si>
    <t xml:space="preserve">5K2GG00</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</si>
  <si>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Удержание Выдачи (Withdrawal Reject).</t>
  </si>
  <si>
    <t xml:space="preserve">5K2GH00</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</si>
  <si>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</si>
  <si>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5K2GJ00</t>
  </si>
  <si>
    <t xml:space="preserve">Сбой обратного хода укладывающего ролика Кассеты Рециркуляции RC2 в ходе операции Удержание Выдачи (Withdrawal Reject).(Перерасход)</t>
  </si>
  <si>
    <t xml:space="preserve">5K2GK00</t>
  </si>
  <si>
    <t xml:space="preserve">Сбой обратного хода укладывающего ролика Кассеты Рециркуляции RC2 в ходе операции Удержание Выдачи (Withdrawal Reject). (Ошибка состояния двигателя)</t>
  </si>
  <si>
    <t xml:space="preserve">5K2GL00</t>
  </si>
  <si>
    <t xml:space="preserve">Не удалось переместить подающий ролик Кассеты Рециркуляции RC2 в исходное положение в ходе операции Удержание Выдачи (Withdrawal Reject).(Ошибка состояния двигателя)</t>
  </si>
  <si>
    <t xml:space="preserve">5K2J300</t>
  </si>
  <si>
    <t xml:space="preserve">Не удалось выполнить полную проверку Кассеты Рециркуляции RC2 в ходе операции Удержание Выдачи (Withdrawal Reject).</t>
  </si>
  <si>
    <t xml:space="preserve">5K2R100</t>
  </si>
  <si>
    <t xml:space="preserve">Ошибка тайм-аута сообщения Кассеты Рециркуляции RC2 в ходе готовности к операции Отбраковка Выдачи (Withdrawal Reject).</t>
  </si>
  <si>
    <t xml:space="preserve">5K2R200</t>
  </si>
  <si>
    <t xml:space="preserve">Ошибка тайм-аута сообщения Кассеты Рециркуляции RC2 при проведении транзакции в ходе операции Отбраковка Выдачи (Withdrawal Reject).</t>
  </si>
  <si>
    <t xml:space="preserve">5K2R300</t>
  </si>
  <si>
    <t xml:space="preserve">Ошибка тайм-аута сообщения Кассеты Рециркуляции RC2 в ходе постпроцессинга ошибки операции Отбраковка Выдачи (Withdrawal Reject Error).</t>
  </si>
  <si>
    <t xml:space="preserve">5K2S100</t>
  </si>
  <si>
    <t xml:space="preserve">Возвращено неизвестное значение Кассеты Рециркуляции RC2 в ходе операции Удержание Выдачи (Withdrawal Reject).</t>
  </si>
  <si>
    <t xml:space="preserve">5K2S200</t>
  </si>
  <si>
    <t xml:space="preserve">Неизвестная команда RC2 в ходе операции Удержание Выдачи (Withdrawal Reject).</t>
  </si>
  <si>
    <t xml:space="preserve">5K30500</t>
  </si>
  <si>
    <t xml:space="preserve">GS305 сообщил об ошибке замятия по Светлому типу в ходе операции Удержание Выдачи (Withdrawal Reject).</t>
  </si>
  <si>
    <t xml:space="preserve">5K31100</t>
  </si>
  <si>
    <t xml:space="preserve">GS301 замятие в области датчика в ходе операции Удержание Выдачи (Withdrawal Reject).</t>
  </si>
  <si>
    <t xml:space="preserve">5K31200</t>
  </si>
  <si>
    <t xml:space="preserve">GS302 замятие в области датчика в ходе операции Удержание Выдачи (Withdrawal Reject).</t>
  </si>
  <si>
    <t xml:space="preserve">5K31500</t>
  </si>
  <si>
    <t xml:space="preserve">GS305 сообщил об ошибке замятия по Темному типу в ходе операции Удержание Выдачи (Withdrawal Reject).</t>
  </si>
  <si>
    <t xml:space="preserve">5K32100</t>
  </si>
  <si>
    <t xml:space="preserve">Произошла ошибка оставшихся банкнот в области датчика GS301 в ходе операции Удержание Выдачи (Withdrawal Reject).</t>
  </si>
  <si>
    <t xml:space="preserve">5K32200</t>
  </si>
  <si>
    <t xml:space="preserve">Произошла ошибка оставшихся банкнот в области датчика GS302 в ходе операции Удержание Выдачи (Withdrawal Reject).</t>
  </si>
  <si>
    <t xml:space="preserve">5K32500</t>
  </si>
  <si>
    <t xml:space="preserve">Произошла ошибка оставшихся банкнот (датчик GS305) в ходе операции Удержание Выдачи (Withdrawal Reject).</t>
  </si>
  <si>
    <t xml:space="preserve">5K35500</t>
  </si>
  <si>
    <t xml:space="preserve">Произошла ошибка Транспортного Тракта (датчик GS305) в ходе операции Удержание Выдачи (Withdrawal Reject).</t>
  </si>
  <si>
    <t xml:space="preserve">5K36500</t>
  </si>
  <si>
    <t xml:space="preserve">Произошла ошибка Возвращающего Транспортного Тракта (датчик GS305) в ходе операции Удержание Выдачи (Withdrawal Reject).</t>
  </si>
  <si>
    <t xml:space="preserve">5K37500</t>
  </si>
  <si>
    <t xml:space="preserve">Произошла ошибка порядка следования банкнот в области датчика GS305 в ходе операции Удержание Выдачи (Withdrawal Reject).</t>
  </si>
  <si>
    <t xml:space="preserve">5K3G100</t>
  </si>
  <si>
    <t xml:space="preserve">Не удалось вернуть банкноты в Кассету Рециркуляции RC3 в ходе операции Удержание Выдачи (Withdrawal Reject).</t>
  </si>
  <si>
    <t xml:space="preserve">5K3G200</t>
  </si>
  <si>
    <t xml:space="preserve">Не удалось переместить Прижимную Пластину Кассеты Рециркуляции RC3 в укладывающее положение в ходе операции Удержание Выдачи (Withdrawal Reject).</t>
  </si>
  <si>
    <t xml:space="preserve">5K3G400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</si>
  <si>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Отбраковка Выдачи (Withdrawal Reject).</t>
  </si>
  <si>
    <t xml:space="preserve">5K3G500</t>
  </si>
  <si>
    <t xml:space="preserve">Сбой обратного хода укладывающего ролика Кассеты Рециркуляции RC3 в ходе операции Удержание Выдачи (Withdrawal Reject).(ошибка датчика)</t>
  </si>
  <si>
    <t xml:space="preserve">5K3G600</t>
  </si>
  <si>
    <t xml:space="preserve">Превышен предел количества попыток перемещений укладывающего ролика Кассеты Рециркуляции RC3 в ходе операции Удержание Выдачи (Withdrawal Reject).</t>
  </si>
  <si>
    <t xml:space="preserve">5K3G800</t>
  </si>
  <si>
    <t xml:space="preserve">Ошибка перемещения Прижимной Пластины в прижимающее положение Кассеты Рециркуляции RC3 в ходе операции Удержание Выдачи (Withdrawal Reject).</t>
  </si>
  <si>
    <t xml:space="preserve">5K3GA00</t>
  </si>
  <si>
    <t xml:space="preserve">Ошибка неправильного потока сообщений Кассеты Рециркуляции RC3 в ходе операции Отбраковка Выдачи (Withdrawal Reject).</t>
  </si>
  <si>
    <t xml:space="preserve">5K3GB00</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</si>
  <si>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</si>
  <si>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5K3GC00</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</si>
  <si>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Удержание Выдачи (Withdrawal Reject).</t>
  </si>
  <si>
    <t xml:space="preserve">5K3GG00</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</si>
  <si>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Удержание Выдачи (Withdrawal Reject).</t>
  </si>
  <si>
    <t xml:space="preserve">5K3GH00</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</si>
  <si>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</si>
  <si>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5K3GJ00</t>
  </si>
  <si>
    <t xml:space="preserve">Сбой обратного хода укладывающего ролика Кассеты Рециркуляции RC3 в ходе операции Удержание Выдачи (Withdrawal Reject).(Перерасход)</t>
  </si>
  <si>
    <t xml:space="preserve">5K3GK00</t>
  </si>
  <si>
    <t xml:space="preserve">Сбой обратного хода укладывающего ролика Кассеты Рециркуляции RC3 в ходе операции Удержание Выдачи (Withdrawal Reject). (Ошибка состояния двигателя)</t>
  </si>
  <si>
    <t xml:space="preserve">5K3GL00</t>
  </si>
  <si>
    <t xml:space="preserve">Не удалось переместить подающий ролик Кассеты Рециркуляции RC3 в исходное положение в ходе операции Удержание Выдачи (Withdrawal Reject).(Ошибка состояния двигателя)</t>
  </si>
  <si>
    <t xml:space="preserve">5K3J300</t>
  </si>
  <si>
    <t xml:space="preserve">Не удалось выполнить полную проверку Кассеты Рециркуляции RC3 в ходе операции Удержание Выдачи (Withdrawal Reject).</t>
  </si>
  <si>
    <t xml:space="preserve">5K3R100</t>
  </si>
  <si>
    <t xml:space="preserve">Ошибка тайм-аута сообщения Кассеты Рециркуляции RC3 в ходе готовности к операции Отбраковка Выдачи (Withdrawal Reject).</t>
  </si>
  <si>
    <t xml:space="preserve">5K3R200</t>
  </si>
  <si>
    <t xml:space="preserve">Ошибка тайм-аута сообщения Кассеты Рециркуляции RC3 при проведении транзакции в ходе операции Отбраковка Выдачи (Withdrawal Reject).</t>
  </si>
  <si>
    <t xml:space="preserve">5K3R300</t>
  </si>
  <si>
    <t xml:space="preserve">Ошибка тайм-аута сообщения Кассеты Рециркуляции RC3 в ходе постпроцессинга ошибки операции Отбраковка Выдачи (Withdrawal Reject Error).</t>
  </si>
  <si>
    <t xml:space="preserve">5K3S100</t>
  </si>
  <si>
    <t xml:space="preserve">Возвращено неизвестное значение Кассеты Рециркуляции RC3 в ходе операции Удержание Выдачи (Withdrawal Reject).</t>
  </si>
  <si>
    <t xml:space="preserve">5K3S200</t>
  </si>
  <si>
    <t xml:space="preserve">Неизвестная команда RC3 в ходе операции Удержание Выдачи (Withdrawal Reject).</t>
  </si>
  <si>
    <t xml:space="preserve">5K40500</t>
  </si>
  <si>
    <t xml:space="preserve">GS405 сообщил об ошибке замятия по Светлому типу в ходе операции Удержание Выдачи (Withdrawal Reject).</t>
  </si>
  <si>
    <t xml:space="preserve">5K41100</t>
  </si>
  <si>
    <t xml:space="preserve">GS401 замятие в области датчика в ходе операции Удержание Выдачи (Withdrawal Reject).</t>
  </si>
  <si>
    <t xml:space="preserve">5K41200</t>
  </si>
  <si>
    <t xml:space="preserve">GS402 замятие в области датчика в ходе операции Удержание Выдачи (Withdrawal Reject).</t>
  </si>
  <si>
    <t xml:space="preserve">5K41500</t>
  </si>
  <si>
    <t xml:space="preserve">GS405 сообщил об ошибке замятия по Темному типу в ходе операции Удержание Выдачи (Withdrawal Reject).</t>
  </si>
  <si>
    <t xml:space="preserve">5K42100</t>
  </si>
  <si>
    <t xml:space="preserve">Произошла ошибка оставшихся банкнот в области датчика GS401 в ходе операции Удержание Выдачи (Withdrawal Reject).</t>
  </si>
  <si>
    <t xml:space="preserve">5K42200</t>
  </si>
  <si>
    <t xml:space="preserve">Произошла ошибка оставшихся банкнот в области датчика GS402 в ходе операции Удержание Выдачи (Withdrawal Reject).</t>
  </si>
  <si>
    <t xml:space="preserve">5K42500</t>
  </si>
  <si>
    <t xml:space="preserve">Произошла ошибка оставшихся банкнот в области датчика GS405 в ходе операции Удержание Выдачи (Withdrawal Reject).</t>
  </si>
  <si>
    <t xml:space="preserve">5K45500</t>
  </si>
  <si>
    <t xml:space="preserve">Произошла ошибка Транспортного Тракта (датчик GS405) в ходе операции Удержание Выдачи (Withdrawal Reject).</t>
  </si>
  <si>
    <t xml:space="preserve">5K46500</t>
  </si>
  <si>
    <t xml:space="preserve">Произошла ошибка Возвращающего Транспортного Тракта (датчик GS405) в ходе операции Удержание Выдачи (Withdrawal Reject).</t>
  </si>
  <si>
    <t xml:space="preserve">5K47500</t>
  </si>
  <si>
    <t xml:space="preserve">Произошла ошибка порядка следования банкнот в области датчика GS405 в ходе операции Удержание Выдачи (Withdrawal Reject).</t>
  </si>
  <si>
    <t xml:space="preserve">5K4G100</t>
  </si>
  <si>
    <t xml:space="preserve">Не удалось вернуть банкноты в Кассету Рециркуляции RC4 в ходе операции Удержание Выдачи (Withdrawal Reject).</t>
  </si>
  <si>
    <t xml:space="preserve">5K4G200</t>
  </si>
  <si>
    <t xml:space="preserve">Не удалось переместить Прижимную Пластину Кассеты Рециркуляции RC4 в укладывающее положение в ходе операции Удержание Выдачи (Withdrawal Reject).</t>
  </si>
  <si>
    <t xml:space="preserve">5K4G400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</si>
  <si>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Отбраковка Выдачи (Withdrawal Reject).</t>
  </si>
  <si>
    <t xml:space="preserve">5K4G500</t>
  </si>
  <si>
    <t xml:space="preserve">Сбой обратного хода укладывающего ролика Кассеты Рециркуляции RC4 в ходе операции Удержание Выдачи (Withdrawal Reject).(ошибка датчика)</t>
  </si>
  <si>
    <t xml:space="preserve">5K4G600</t>
  </si>
  <si>
    <t xml:space="preserve">Превышен предел количества попыток перемещений укладывающего ролика Кассеты Рециркуляции RC4 в ходе операции Удержание Выдачи (Withdrawal Reject).</t>
  </si>
  <si>
    <t xml:space="preserve">5K4G800</t>
  </si>
  <si>
    <t xml:space="preserve">Ошибка перемещения Прижимной Пластины в прижимающее положение Кассеты Рециркуляции RC4 в ходе операции Удержание Выдачи (Withdrawal Reject).</t>
  </si>
  <si>
    <t xml:space="preserve">5K4GA00</t>
  </si>
  <si>
    <t xml:space="preserve">Ошибка неправильного потока сообщений Кассеты Рециркуляции RC4 в ходе операции Отбраковка Выдачи (Withdrawal Reject).</t>
  </si>
  <si>
    <t xml:space="preserve">5K4GB00</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</si>
  <si>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</si>
  <si>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5K4GC00</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</si>
  <si>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Удержание Выдачи (Withdrawal Reject).</t>
  </si>
  <si>
    <t xml:space="preserve">5K4GG00</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</si>
  <si>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Удержание Выдачи (Withdrawal Reject).</t>
  </si>
  <si>
    <t xml:space="preserve">5K4GH00</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</si>
  <si>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</si>
  <si>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5K4GJ00</t>
  </si>
  <si>
    <t xml:space="preserve">Сбой обратного хода укладывающего ролика Кассеты Рециркуляции RC4 в ходе операции Удержание Выдачи (Withdrawal Reject).(Перерасход)</t>
  </si>
  <si>
    <t xml:space="preserve">5K4GK00</t>
  </si>
  <si>
    <t xml:space="preserve">Сбой обратного хода укладывающего ролика Кассеты Рециркуляции RC4 в ходе операции Удержание Выдачи (Withdrawal Reject). (Ошибка состояния двигателя)</t>
  </si>
  <si>
    <t xml:space="preserve">5K4GL00</t>
  </si>
  <si>
    <t xml:space="preserve">Не удалось переместить подающий ролик Кассеты Рециркуляции RC4 в исходное положение в ходе операции Удержание Выдачи (Withdrawal Reject).(Ошибка состояния двигателя)</t>
  </si>
  <si>
    <t xml:space="preserve">5K4J300</t>
  </si>
  <si>
    <t xml:space="preserve">Не удалось выполнить полную проверку Кассеты Рециркуляции RC4 в ходе операции Удержание Выдачи (Withdrawal Reject).</t>
  </si>
  <si>
    <t xml:space="preserve">5K4R100</t>
  </si>
  <si>
    <t xml:space="preserve">Ошибка тайм-аута сообщения Кассеты Рециркуляции RC4 в ходе готовности к операции Отбраковка Выдачи (Withdrawal Reject).</t>
  </si>
  <si>
    <t xml:space="preserve">5K4R200</t>
  </si>
  <si>
    <t xml:space="preserve">Ошибка тайм-аута сообщения Кассеты Рециркуляции RC4 при проведении транзакции в ходе операции Отбраковка Выдачи (Withdrawal Reject).</t>
  </si>
  <si>
    <t xml:space="preserve">5K4R300</t>
  </si>
  <si>
    <t xml:space="preserve">Ошибка тайм-аута сообщения Кассеты Рециркуляции RC4 в ходе постпроцессинга ошибки операции Отбраковка Выдачи (Withdrawal Reject Error).</t>
  </si>
  <si>
    <t xml:space="preserve">5K4S100</t>
  </si>
  <si>
    <t xml:space="preserve">Возвращено неизвестное значение Кассеты Рециркуляции RC4 в ходе операции Удержание Выдачи (Withdrawal Reject).</t>
  </si>
  <si>
    <t xml:space="preserve">5K4S200</t>
  </si>
  <si>
    <t xml:space="preserve">Неизвестная команда RC4 в ходе операции Удержание Выдачи (Withdrawal Reject).</t>
  </si>
  <si>
    <t xml:space="preserve">5K50500</t>
  </si>
  <si>
    <t xml:space="preserve">GS505 сообщил об ошибке замятия по Светлому типу в ходе операции Удержание Выдачи (Withdrawal Reject).</t>
  </si>
  <si>
    <t xml:space="preserve">5K51100</t>
  </si>
  <si>
    <t xml:space="preserve">GS501 замятие в области датчика в ходе операции Удержание Выдачи (Withdrawal Reject).</t>
  </si>
  <si>
    <t xml:space="preserve">5K51200</t>
  </si>
  <si>
    <t xml:space="preserve">GS502 замятие в области датчика в ходе операции Удержание Выдачи (Withdrawal Reject).</t>
  </si>
  <si>
    <t xml:space="preserve">5K51500</t>
  </si>
  <si>
    <t xml:space="preserve">GS505 сообщил об ошибке замятия по Темному типу в ходе операции Удержание Выдачи (Withdrawal Reject).</t>
  </si>
  <si>
    <t xml:space="preserve">5K52100</t>
  </si>
  <si>
    <t xml:space="preserve">Произошла ошибка оставшихся банкнот в области датчика GS501 в ходе операции Удержание Выдачи (Withdrawal Reject).</t>
  </si>
  <si>
    <t xml:space="preserve">5K52200</t>
  </si>
  <si>
    <t xml:space="preserve">Произошла ошибка оставшихся банкнот в области датчика GS502 в ходе операции Удержание Выдачи (Withdrawal Reject).</t>
  </si>
  <si>
    <t xml:space="preserve">5K52500</t>
  </si>
  <si>
    <t xml:space="preserve">Произошла ошибка оставшихся банкнот в области датчика GS505 в ходе операции Удержание Выдачи (Withdrawal Reject).</t>
  </si>
  <si>
    <t xml:space="preserve">5K55500</t>
  </si>
  <si>
    <t xml:space="preserve">Произошла ошибка Транспортного Тракта (датчик GS505) в ходе операции Удержание Выдачи (Withdrawal Reject).</t>
  </si>
  <si>
    <t xml:space="preserve">5K56500</t>
  </si>
  <si>
    <t xml:space="preserve">Произошла ошибка Возвращающего Транспортного Тракта (датчик GS505) в ходе операции Удержание Выдачи (Withdrawal Reject).</t>
  </si>
  <si>
    <t xml:space="preserve">5K57500</t>
  </si>
  <si>
    <t xml:space="preserve">Произошла ошибка порядка следования банкнот в области датчика GS505 в ходе операции Удержание Выдачи (Withdrawal Reject).</t>
  </si>
  <si>
    <t xml:space="preserve">5K5G100</t>
  </si>
  <si>
    <t xml:space="preserve">Не удалось вернуть банкноты в Кассету Рециркуляции RC5 в ходе операции Удержание Выдачи (Withdrawal Reject).</t>
  </si>
  <si>
    <t xml:space="preserve">5K5G200</t>
  </si>
  <si>
    <t xml:space="preserve">Не удалось переместить Прижимную Пластину Кассеты Рециркуляции RC5 в укладывающее положение в ходе операции Удержание Выдачи (Withdrawal Reject).</t>
  </si>
  <si>
    <t xml:space="preserve">5K5G400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</si>
  <si>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Отбраковка Выдачи (Withdrawal Reject).</t>
  </si>
  <si>
    <t xml:space="preserve">5K5G500</t>
  </si>
  <si>
    <t xml:space="preserve">Сбой обратного хода укладывающего ролика Кассеты Рециркуляции RC5 в ходе операции Удержание Выдачи (Withdrawal Reject).(ошибка датчика)</t>
  </si>
  <si>
    <t xml:space="preserve">5K5G600</t>
  </si>
  <si>
    <t xml:space="preserve">Превышен предел количества попыток перемещений укладывающего ролика Кассеты Рециркуляции RC5 в ходе операции Удержание Выдачи (Withdrawal Reject).</t>
  </si>
  <si>
    <t xml:space="preserve">5K5G800</t>
  </si>
  <si>
    <t xml:space="preserve">Ошибка перемещения Прижимной Пластины в прижимающее положение Кассеты Рециркуляции RC5 в ходе операции Удержание Выдачи (Withdrawal Reject).</t>
  </si>
  <si>
    <t xml:space="preserve">5K5GA00</t>
  </si>
  <si>
    <t xml:space="preserve">Ошибка неправильного потока сообщений Кассеты Рециркуляции RC5 в ходе операции Отбраковка Выдачи (Withdrawal Reject).</t>
  </si>
  <si>
    <t xml:space="preserve">5K5GB00</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</si>
  <si>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</si>
  <si>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5K5GC00</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</si>
  <si>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Удержание Выдачи (Withdrawal Reject).</t>
  </si>
  <si>
    <t xml:space="preserve">5K5GG00</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</si>
  <si>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Удержание Выдачи (Withdrawal Reject).</t>
  </si>
  <si>
    <t xml:space="preserve">5K5GH00</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</si>
  <si>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</si>
  <si>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5K5GJ00</t>
  </si>
  <si>
    <t xml:space="preserve">Сбой обратного хода укладывающего ролика Кассеты Рециркуляции RC5 в ходе операции Удержание Выдачи (Withdrawal Reject).(Перерасход)</t>
  </si>
  <si>
    <t xml:space="preserve">5K5GK00</t>
  </si>
  <si>
    <t xml:space="preserve">Сбой обратного хода укладывающего ролика Кассеты Рециркуляции RC5 в ходе операции Удержание Выдачи (Withdrawal Reject). (Ошибка состояния двигателя)</t>
  </si>
  <si>
    <t xml:space="preserve">5K5GL00</t>
  </si>
  <si>
    <t xml:space="preserve">Не удалось переместить подающий ролик Кассеты Рециркуляции RC5 в исходное положение в ходе операции Удержание Выдачи (Withdrawal Reject).(Ошибка состояния двигателя)</t>
  </si>
  <si>
    <t xml:space="preserve">5K5J300</t>
  </si>
  <si>
    <t xml:space="preserve">Не удалось выполнить полную проверку Кассеты Рециркуляции RC5 в ходе операции Удержание Выдачи (Withdrawal Reject).</t>
  </si>
  <si>
    <t xml:space="preserve">5K5R100</t>
  </si>
  <si>
    <t xml:space="preserve">Ошибка тайм-аута сообщения Кассеты Рециркуляции RC5 в ходе готовности к операции Отбраковка Выдачи (Withdrawal Reject).</t>
  </si>
  <si>
    <t xml:space="preserve">5K5R200</t>
  </si>
  <si>
    <t xml:space="preserve">Ошибка тайм-аута сообщения Кассеты Рециркуляции RC5 при проведении транзакции в ходе операции Отбраковка Выдачи (Withdrawal Reject).</t>
  </si>
  <si>
    <t xml:space="preserve">5K5R300</t>
  </si>
  <si>
    <t xml:space="preserve">Ошибка тайм-аута сообщения Кассеты Рециркуляции RC5 в ходе постпроцессинга ошибки операции Отбраковка Выдачи (Withdrawal Reject Error).</t>
  </si>
  <si>
    <t xml:space="preserve">5K5S100</t>
  </si>
  <si>
    <t xml:space="preserve">Возвращено неизвестное значение Кассеты Рециркуляции RC5 в ходе операции Удержание Выдачи (Withdrawal Reject).</t>
  </si>
  <si>
    <t xml:space="preserve">5K5S200</t>
  </si>
  <si>
    <t xml:space="preserve">Неизвестная команда RC5 в ходе операции Удержание Выдачи (Withdrawal Reject).</t>
  </si>
  <si>
    <t xml:space="preserve">5K6G100</t>
  </si>
  <si>
    <t xml:space="preserve">Ошибка перемещения Задней Прижимной Пластины BP в положение для укладки в ходе операции Удержание Выдачи (Withdrawal Reject).</t>
  </si>
  <si>
    <t xml:space="preserve">5K6G200</t>
  </si>
  <si>
    <t xml:space="preserve">Ошибка перемещения Задней Прижимной Пластины BP в положение для депозита в ходе операции Удержание Выдачи (Withdrawal Reject).</t>
  </si>
  <si>
    <t xml:space="preserve">5K6G300</t>
  </si>
  <si>
    <t xml:space="preserve">Ошибка перемещения Задней Прижимной Пластины BP в положение для разделения в ходе операции Удержание Выдачи (Withdrawal Reject).</t>
  </si>
  <si>
    <t xml:space="preserve">5K6G400</t>
  </si>
  <si>
    <t xml:space="preserve">Ошибка Контроля Разделения Задней Прижимной Пластины BP в ходе операции Удержание Выдачи (Withdrawal Reject).</t>
  </si>
  <si>
    <t xml:space="preserve">5K6G500</t>
  </si>
  <si>
    <t xml:space="preserve">Ошибка положения Задней Прижимной пластины BP Выданных банкнот в ходе операции Удержание Выдачи (Withdrawal Reject).</t>
  </si>
  <si>
    <t xml:space="preserve">5K6P100</t>
  </si>
  <si>
    <t xml:space="preserve">Ошибка перемещения Прижимной Пластины PP в положение Выдача (укладка) в ходе операции Удержание Выдачи (Withdrawal Reject).</t>
  </si>
  <si>
    <t xml:space="preserve">5K6P200</t>
  </si>
  <si>
    <t xml:space="preserve">Ошибка перемещения Прижимной Пластины в положение депозита в ходе операции Удержание Выдачи (Withdrawal Reject).</t>
  </si>
  <si>
    <t xml:space="preserve">5K6P300</t>
  </si>
  <si>
    <t xml:space="preserve">Ошибка перемещения Прижимной Пластины PP в положение разделения в ходе операции Удержание Выдачи (Withdrawal Reject).</t>
  </si>
  <si>
    <t xml:space="preserve">5K6P400</t>
  </si>
  <si>
    <t xml:space="preserve">Ошибка перемещения Прижимной Пластины PP в положение lose return в ходе операции Удержание Выдачи (Withdrawal Reject).</t>
  </si>
  <si>
    <t xml:space="preserve">5K6P500</t>
  </si>
  <si>
    <t xml:space="preserve">Ошибка выдачи банкнот Прижимной Пластины PP в ходе операции Удержание Выдачи (Withdrawal Reject).</t>
  </si>
  <si>
    <t xml:space="preserve">5K6P600</t>
  </si>
  <si>
    <t xml:space="preserve">Ошибка выравнивания банкнот Прижимной Пластины PP в ходе операции Удержание Выдачи (Withdrawal Reject).</t>
  </si>
  <si>
    <t xml:space="preserve">5K6P700</t>
  </si>
  <si>
    <t xml:space="preserve">Ошибка контроля разделения (во время сепарации) Прижимной Пластины PP в ходе операции Удержание Выдачи (Withdrawal Reject).</t>
  </si>
  <si>
    <t xml:space="preserve">5K6P800</t>
  </si>
  <si>
    <t xml:space="preserve">Ошибка контроля укладки (во время укладывания) Прижимной Пластины PP в ходе операции Удержание Выдачи (Withdrawal Reject).</t>
  </si>
  <si>
    <t xml:space="preserve">5K6P900</t>
  </si>
  <si>
    <t xml:space="preserve">Ошибка возврата банкнот в ходе операции Удержание Выдачи (Withdrawal Reject).</t>
  </si>
  <si>
    <t xml:space="preserve">5K6PA00</t>
  </si>
  <si>
    <t xml:space="preserve">Ошибка preparation stop Прижимной Пластины PP в ходе операции Удержание Выдачи (Withdrawal Reject).</t>
  </si>
  <si>
    <t xml:space="preserve">5K6R100</t>
  </si>
  <si>
    <t xml:space="preserve">Модуль обслуживания клиентов CSM вернул ошибку таймаута сообщения в ходе готовности к операции Отбраковка Выдачи (Withdrawal Reject).</t>
  </si>
  <si>
    <t xml:space="preserve">5K6R200</t>
  </si>
  <si>
    <t xml:space="preserve">Модуль обслуживания клиентов CSM вернул ошибку таймаута сообщения при проведении транзакции в ходе операции Удержание Выдачи (Withdrawal Reject).</t>
  </si>
  <si>
    <t xml:space="preserve">5K6R300</t>
  </si>
  <si>
    <t xml:space="preserve">Модуль обслуживания клиентов CSM вернул ошибку таймаута сообщения в ходе постпроцессинга ошибки операции Отбраковка Выдачи (Withdrawal Reject Error).</t>
  </si>
  <si>
    <t xml:space="preserve">5K71300</t>
  </si>
  <si>
    <t xml:space="preserve">GS703 замятие в области датчика по Темному типу в ходе операции Удержание Выдачи (Withdrawal Reject).</t>
  </si>
  <si>
    <t xml:space="preserve">5K72100</t>
  </si>
  <si>
    <t xml:space="preserve">Произошла ошибка оставшихся банкнот в области датчика GS701 в ходе операции Удержание Выдачи (Withdrawal Reject).</t>
  </si>
  <si>
    <t xml:space="preserve">5K72200</t>
  </si>
  <si>
    <t xml:space="preserve">Произошла ошибка оставшихся банкнот в области датчика GS702 в ходе операции Удержание Выдачи (Withdrawal Reject).</t>
  </si>
  <si>
    <t xml:space="preserve">5K72300</t>
  </si>
  <si>
    <t xml:space="preserve">5K72800</t>
  </si>
  <si>
    <t xml:space="preserve">Произошла ошибка оставшихся банкнот в области датчика GS709 в ходе операции Удержание Выдачи (Withdrawal Reject).</t>
  </si>
  <si>
    <t xml:space="preserve">5K7G100</t>
  </si>
  <si>
    <t xml:space="preserve">Не удалось направить движение двигателя при укладке в ходе операции Удержание Выдачи (Withdrawal Reject).</t>
  </si>
  <si>
    <t xml:space="preserve">5K7G200</t>
  </si>
  <si>
    <t xml:space="preserve">Не удалось направить движение двигателя при разделении в ходе операции Удержание Выдачи (Withdrawal Reject).</t>
  </si>
  <si>
    <t xml:space="preserve">5K7G300</t>
  </si>
  <si>
    <t xml:space="preserve">Нарушение остановки двигателя в ходе операции Удержание Выдачи (Withdrawal Reject).</t>
  </si>
  <si>
    <t xml:space="preserve">5K7G400</t>
  </si>
  <si>
    <t xml:space="preserve">Не обнаружен передний конец ленты в ходе операции Удержание Выдачи (Withdrawal Reject).</t>
  </si>
  <si>
    <t xml:space="preserve">5K7G500</t>
  </si>
  <si>
    <t xml:space="preserve">Обнаружен передний конец ленты в ходе операции Удержание Выдачи (Withdrawal Reject).</t>
  </si>
  <si>
    <t xml:space="preserve">5K7G600</t>
  </si>
  <si>
    <t xml:space="preserve">Не обнаружен задний конец ленты в ходе операции Удержание Выдачи (Withdrawal Reject).</t>
  </si>
  <si>
    <t xml:space="preserve">5K7G700</t>
  </si>
  <si>
    <t xml:space="preserve">Обнаружен задний конец ленты в ходе операции Удержание Выдачи (Withdrawal Reject).</t>
  </si>
  <si>
    <t xml:space="preserve">5K7J100</t>
  </si>
  <si>
    <t xml:space="preserve">Полный барабан TE в ходе операции Удержание Выдачи (Withdrawal Reject).</t>
  </si>
  <si>
    <t xml:space="preserve">5K7J200</t>
  </si>
  <si>
    <t xml:space="preserve">Пустой барабан TE в ходе операции Удержание Выдачи (Withdrawal Reject).</t>
  </si>
  <si>
    <t xml:space="preserve">5K7J300</t>
  </si>
  <si>
    <t xml:space="preserve">Штатная операция Конец Приема (Receipt End) невозможна в ходе операции Удержание Выдачи (Withdrawal Reject).</t>
  </si>
  <si>
    <t xml:space="preserve">5K7R100</t>
  </si>
  <si>
    <t xml:space="preserve">Модуль временного хранения_TE вернул ошибку таймаута сообщения в ходе готовности к операции Отбраковка Выдачи (Withdrawal Reject).</t>
  </si>
  <si>
    <t xml:space="preserve">5K7R200</t>
  </si>
  <si>
    <t xml:space="preserve">Модуль временного хранения_TE вернул ошибку таймаута сообщения в ходе транзакции операции Отбраковка Выдачи (Withdrawal Reject).</t>
  </si>
  <si>
    <t xml:space="preserve">5K7R300</t>
  </si>
  <si>
    <t xml:space="preserve">Модуль временного хранения_TE вернул ошибку таймаута сообщения при устранения ошибки в ходе операции Отбраковка Выдачи (Withdrawal Reject).</t>
  </si>
  <si>
    <t xml:space="preserve">5K8HA01</t>
  </si>
  <si>
    <t xml:space="preserve">Ошибка датчика GS801A в ходе операции Удержание Выдачи (Withdrawal Reject).</t>
  </si>
  <si>
    <t xml:space="preserve">5K8HA02</t>
  </si>
  <si>
    <t xml:space="preserve">Ошибка датчика GS801B в ходе операции Удержание Выдачи (Withdrawal Reject).</t>
  </si>
  <si>
    <t xml:space="preserve">5K8HA03</t>
  </si>
  <si>
    <t xml:space="preserve">Ошибка датчиков GS801A, GS801B в ходе операции Удержание Выдачи (Withdrawal Reject).</t>
  </si>
  <si>
    <t xml:space="preserve">5K8HA04</t>
  </si>
  <si>
    <t xml:space="preserve">Ошибка датчика GS802A в ходе операции Удержание Выдачи (Withdrawal Reject).</t>
  </si>
  <si>
    <t xml:space="preserve">5K8HA05</t>
  </si>
  <si>
    <t xml:space="preserve">Ошибка датчиков GS801A, GS802A в ходе операции Удержание Выдачи (Withdrawal Reject).</t>
  </si>
  <si>
    <t xml:space="preserve">5K8HA06</t>
  </si>
  <si>
    <t xml:space="preserve">Ошибка датчиков GS801B, GS802A в ходе операции Удержание Выдачи (Withdrawal Reject).</t>
  </si>
  <si>
    <t xml:space="preserve">5K8HA07</t>
  </si>
  <si>
    <t xml:space="preserve">Ошибка датчиков GS801A, GS801B, GS802A в ходе операции Удержание Выдачи (Withdrawal Reject).</t>
  </si>
  <si>
    <t xml:space="preserve">5K8HA08</t>
  </si>
  <si>
    <t xml:space="preserve">Ошибка датчика GS802B в ходе операции Удержание Выдачи (Withdrawal Reject).</t>
  </si>
  <si>
    <t xml:space="preserve">5K8HA09</t>
  </si>
  <si>
    <t xml:space="preserve">Ошибка датчиков GS801A, GS802B в ходе операции Удержание Выдачи (Withdrawal Reject).</t>
  </si>
  <si>
    <t xml:space="preserve">5K8HA10</t>
  </si>
  <si>
    <t xml:space="preserve">Ошибка датчиков GS801B, GS802B в ходе операции Удержание Выдачи (Withdrawal Reject).</t>
  </si>
  <si>
    <t xml:space="preserve">5K8HA11</t>
  </si>
  <si>
    <t xml:space="preserve">Ошибка датчиков GS801A, GS801B, GS802B в ходе операции Удержание Выдачи (Withdrawal Reject).</t>
  </si>
  <si>
    <t xml:space="preserve">5K8HA12</t>
  </si>
  <si>
    <t xml:space="preserve">Ошибка датчиков GS802A, GS802B в ходе операции Удержание Выдачи (Withdrawal Reject).</t>
  </si>
  <si>
    <t xml:space="preserve">5K8HA13</t>
  </si>
  <si>
    <t xml:space="preserve">Ошибка датчиков GS801A, GS802A, GS802B в ходе операции Удержание Выдачи (Withdrawal Reject).</t>
  </si>
  <si>
    <t xml:space="preserve">5K8HA14</t>
  </si>
  <si>
    <t xml:space="preserve">Ошибка датчиков GS801B, GS802A, GS802B в ходе операции Удержание Выдачи (Withdrawal Reject).</t>
  </si>
  <si>
    <t xml:space="preserve">5K8HA15</t>
  </si>
  <si>
    <t xml:space="preserve">Ошибка датчиков GS801A, GS801B, GS802A, GS802B в ходе операции Удержание Выдачи (Withdrawal Reject).</t>
  </si>
  <si>
    <t xml:space="preserve">5K8HF03</t>
  </si>
  <si>
    <t xml:space="preserve">Ошибка загрузки данных шейдинга Контактного датчика изображения CIS в ходе операции Удержание Выдачи (Withdrawal Reject).</t>
  </si>
  <si>
    <t xml:space="preserve">5K8HF04</t>
  </si>
  <si>
    <t xml:space="preserve">Ошибка загрузки таблицы БД распознавания в ходе операции Удержание Выдачи (Withdrawal Reject).</t>
  </si>
  <si>
    <t xml:space="preserve">5K8HF05</t>
  </si>
  <si>
    <t xml:space="preserve">Ошибка контрольной суммы данных ПЛИС Модуля Валидатора банкнот BC в ходе операции Удержание Выдачи (Withdrawal Reject).</t>
  </si>
  <si>
    <t xml:space="preserve">5K8HF06</t>
  </si>
  <si>
    <t xml:space="preserve">Ошибка конфигурации ПЛИС Модуля Валидатора банкнот BC в ходе операции Удержание Выдачи (Withdrawal Reject).</t>
  </si>
  <si>
    <t xml:space="preserve">5K8HF07</t>
  </si>
  <si>
    <t xml:space="preserve">Ошибка загрузки данных заголовка ПЛИС Модуля Валидатора банкнот BC header в ходе операции Удержание Выдачи (Withdrawal Reject).</t>
  </si>
  <si>
    <t xml:space="preserve">5K8HF08</t>
  </si>
  <si>
    <t xml:space="preserve">Ошибка инициализации ПЛИС в ходе операции Удержание Выдачи (Withdrawal Reject).</t>
  </si>
  <si>
    <t xml:space="preserve">5K8HF09</t>
  </si>
  <si>
    <t xml:space="preserve">Ошибка чтения ПЛИС в ходе операции Удержание Выдачи (Withdrawal Reject).</t>
  </si>
  <si>
    <t xml:space="preserve">5K8HF11</t>
  </si>
  <si>
    <t xml:space="preserve">Ошибка загрузки Базы Данных распознавания #01 в ходе операции Удержание Выдачи (Withdrawal Reject).</t>
  </si>
  <si>
    <t xml:space="preserve">5K8HF12</t>
  </si>
  <si>
    <t xml:space="preserve">Ошибка загрузки Базы Данных распознавания #02 в ходе операции Удержание Выдачи (Withdrawal Reject).</t>
  </si>
  <si>
    <t xml:space="preserve">5K8HF13</t>
  </si>
  <si>
    <t xml:space="preserve">Ошибка загрузки Базы Данных распознавания #03 в ходе операции Удержание Выдачи (Withdrawal Reject).</t>
  </si>
  <si>
    <t xml:space="preserve">5K8HF14</t>
  </si>
  <si>
    <t xml:space="preserve">Ошибка загрузки Базы Данных распознавания #04 в ходе операции Удержание Выдачи (Withdrawal Reject).</t>
  </si>
  <si>
    <t xml:space="preserve">5K8HF15</t>
  </si>
  <si>
    <t xml:space="preserve">Ошибка загрузки Базы Данных распознавания #05 в ходе операции Удержание Выдачи (Withdrawal Reject).</t>
  </si>
  <si>
    <t xml:space="preserve">5K8HF16</t>
  </si>
  <si>
    <t xml:space="preserve">Ошибка загрузки Базы Данных распознавания #06 в ходе операции Удержание Выдачи (Withdrawal Reject).</t>
  </si>
  <si>
    <t xml:space="preserve">5K8HF17</t>
  </si>
  <si>
    <t xml:space="preserve">Ошибка загрузки Базы Данных распознавания #07 в ходе операции Удержание Выдачи (Withdrawal Reject).</t>
  </si>
  <si>
    <t xml:space="preserve">5K8HF18</t>
  </si>
  <si>
    <t xml:space="preserve">Ошибка загрузки Базы Данных распознавания #08 в ходе операции Удержание Выдачи (Withdrawal Reject).</t>
  </si>
  <si>
    <t xml:space="preserve">5K8HF19</t>
  </si>
  <si>
    <t xml:space="preserve">Ошибка загрузки Базы Данных распознавания #09 в ходе операции Удержание Выдачи (Withdrawal Reject).</t>
  </si>
  <si>
    <t xml:space="preserve">5K8HF20</t>
  </si>
  <si>
    <t xml:space="preserve">Ошибка загрузки Базы Данных распознавания #10 в ходе операции Удержание Выдачи (Withdrawal Reject).</t>
  </si>
  <si>
    <t xml:space="preserve">5K8HG01</t>
  </si>
  <si>
    <t xml:space="preserve">Ошибка установки режима при выполнении команды BCU mode в ходе операции Отбраковка Выдачи (Withdrawal Reject).</t>
  </si>
  <si>
    <t xml:space="preserve">5K8HG02</t>
  </si>
  <si>
    <t xml:space="preserve">Ошибка установленного уровня распознавания при выполнении команды BCU mode в ходе операции Отбраковка Выдачи (Withdrawal Reject).</t>
  </si>
  <si>
    <t xml:space="preserve">5K8HG03</t>
  </si>
  <si>
    <t xml:space="preserve">Ошибка установки начала транзакции при выполнении команды BCU ready в ходе операции Отбраковка Выдачи (Withdrawal Reject).</t>
  </si>
  <si>
    <t xml:space="preserve">5K8HG04</t>
  </si>
  <si>
    <t xml:space="preserve">Ошибка установки режима при выполнении команды BCU ready в ходе операции Отбраковка Выдачи (Withdrawal Reject).</t>
  </si>
  <si>
    <t xml:space="preserve">5K8HG05</t>
  </si>
  <si>
    <t xml:space="preserve">Ошибка установленного уровня распознавания при выполнении команды BCU ready в ходе операции Отбраковка Выдачи (Withdrawal Reject).</t>
  </si>
  <si>
    <t xml:space="preserve">5K8HG06</t>
  </si>
  <si>
    <t xml:space="preserve">Ошибка направления внесения Модуля Валидатора банкнот BC при выполнении команды BCU ready в ходе операции Отбраковка Выдачи (Withdrawal Reject).</t>
  </si>
  <si>
    <t xml:space="preserve">5K8HG07</t>
  </si>
  <si>
    <t xml:space="preserve">Ошибка получения неопределенной команды Модуля Валидатора банкнот BCU в ходе операции Удержание Выдачи (Withdrawal Reject).</t>
  </si>
  <si>
    <t xml:space="preserve">5K8HG08</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</si>
  <si>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Отбраковка Выдачи (Withdrawal Reject).</t>
  </si>
  <si>
    <t xml:space="preserve">5K8HG09</t>
  </si>
  <si>
    <t xml:space="preserve">Ошибка настройки кода страны при выполнении команды записи данных в Модуль Валидатора банкнот BCUв ходе операции Отбраковка Выдачи (Withdrawal Reject).</t>
  </si>
  <si>
    <t xml:space="preserve">5K8HG10</t>
  </si>
  <si>
    <t xml:space="preserve">Ошибка отсутствия БД распознавания для страны в процессе получения команды BCU data write в ходе операции Отбраковка Выдачи (Withdrawal Reject).</t>
  </si>
  <si>
    <t xml:space="preserve">5K8HG11</t>
  </si>
  <si>
    <t xml:space="preserve">Не установлен код страны при получении команды BCU ready в ходе операции Отбраковка Выдачи (Withdrawal Reject).</t>
  </si>
  <si>
    <t xml:space="preserve">5K8HG12</t>
  </si>
  <si>
    <t xml:space="preserve">5K8HG20</t>
  </si>
  <si>
    <t xml:space="preserve">Ошибка инициализации Контактного датчика изображения CIS при получении команды BCU ready в ходе операции Отбраковка Выдачи (Withdrawal Reject).</t>
  </si>
  <si>
    <t xml:space="preserve">5K8HG21</t>
  </si>
  <si>
    <t xml:space="preserve">Ошибка включения при получении команды BCU ready в ходе операции Отбраковка Выдачи (Withdrawal Reject).</t>
  </si>
  <si>
    <t xml:space="preserve">5K8HG22</t>
  </si>
  <si>
    <t xml:space="preserve">Ошибка инициализации датчика определения сдвоенных банкнот DD при получении команды BCU ready в ходе операции Отбраковка Выдачи (Withdrawal Reject).</t>
  </si>
  <si>
    <t xml:space="preserve">5K8HG23</t>
  </si>
  <si>
    <t xml:space="preserve">Ошибка настройки ЦАП Датчика определения сдвоенных банкнот DD при получении команды BCU ready в ходе операции Отбраковка Выдачи (Withdrawal Reject).</t>
  </si>
  <si>
    <t xml:space="preserve">5K8HG24</t>
  </si>
  <si>
    <t xml:space="preserve">Ошибка режима настройки энкодера при получении команды BCU ready в ходе операции Отбраковка Выдачи (Withdrawal Reject).</t>
  </si>
  <si>
    <t xml:space="preserve">5K8HG36</t>
  </si>
  <si>
    <t xml:space="preserve">Ошибка режима распознавания при выполнении команды receiving BCU mode в ходе операции Отбраковка Выдачи (Withdrawal Reject).</t>
  </si>
  <si>
    <t xml:space="preserve">5K8HG37</t>
  </si>
  <si>
    <t xml:space="preserve">Ошибка настроек транзакции при выполнении команды receiving BCU mode в ходе операции Отбраковка Выдачи (Withdrawal Reject).</t>
  </si>
  <si>
    <t xml:space="preserve">5K8HI01</t>
  </si>
  <si>
    <t xml:space="preserve">Ошибка тайм-аута RecogTask Message в ходе операции Отбраковка Выдачи (Withdrawal Reject).</t>
  </si>
  <si>
    <t xml:space="preserve">5K8HI02</t>
  </si>
  <si>
    <t xml:space="preserve">Ошибка тайм-аута ScanTask Message в ходе операции Отбраковка Выдачи (Withdrawal Reject).</t>
  </si>
  <si>
    <t xml:space="preserve">5K8HI03</t>
  </si>
  <si>
    <t xml:space="preserve">Ошибка тайм-аута UartTask Message в ходе операции Отбраковка Выдачи (Withdrawal Reject).</t>
  </si>
  <si>
    <t xml:space="preserve">5K8HI04</t>
  </si>
  <si>
    <t xml:space="preserve">Ошибка тайм-аута BcUsbTask Message в ходе операции Отбраковка Выдачи (Withdrawal Reject).</t>
  </si>
  <si>
    <t xml:space="preserve">5K8HJ01</t>
  </si>
  <si>
    <t xml:space="preserve">Ошибка инициализации алгоритма распознавания в ходе операции Отбраковка Выдачи (Withdrawal Reject).</t>
  </si>
  <si>
    <t xml:space="preserve">5K8HJ02</t>
  </si>
  <si>
    <t xml:space="preserve">Ошибка готовности Алгоритма Распознавания в ходе операции Отбраковка Выдачи (Withdrawal Reject).</t>
  </si>
  <si>
    <t xml:space="preserve">5K8HJ03</t>
  </si>
  <si>
    <t xml:space="preserve">Ошибка алгоритма распознавания набора валют в ходе операции Отбраковка Выдачи (Withdrawal Reject).</t>
  </si>
  <si>
    <t xml:space="preserve">5K8HS01</t>
  </si>
  <si>
    <t xml:space="preserve">Ошибка ПЛИС Write Scan Driver Init в ходе операции Отбраковка Выдачи (Withdrawal Reject).</t>
  </si>
  <si>
    <t xml:space="preserve">5K8HS02</t>
  </si>
  <si>
    <t xml:space="preserve">Ошибка Sensor (MR/UV/DD/Gate) Power Off Scan Driver Init в ходе операции Отбраковка Выдачи (Withdrawal Reject).</t>
  </si>
  <si>
    <t xml:space="preserve">5K8HS03</t>
  </si>
  <si>
    <t xml:space="preserve">Ошибка Контактного датчика изображения CIS Led On Value Set Fail Scan Driver Init в ходе операции Отбраковка Выдачи (Withdrawal Reject).</t>
  </si>
  <si>
    <t xml:space="preserve">5K8HS04</t>
  </si>
  <si>
    <t xml:space="preserve">Ошибка Источника Света Set Fail Scan Driver Init в ходе операции Отбраковка Выдачи (Withdrawal Reject).</t>
  </si>
  <si>
    <t xml:space="preserve">5K8HS05</t>
  </si>
  <si>
    <t xml:space="preserve">Ошибка Контактного датчика изображения CIS Shading Scan Driver Init в ходе операции Отбраковка Выдачи (Withdrawal Reject).</t>
  </si>
  <si>
    <t xml:space="preserve">5K8HS08</t>
  </si>
  <si>
    <t xml:space="preserve">Ошибка ЦАП Set Fail Scan Driver Init в ходе операции Отбраковка Выдачи (Withdrawal Reject).</t>
  </si>
  <si>
    <t xml:space="preserve">5K8HS11</t>
  </si>
  <si>
    <t xml:space="preserve">Ошибка ПЛИС Write BCU Ready в ходе операции Отбраковка Выдачи (Withdrawal Reject).</t>
  </si>
  <si>
    <t xml:space="preserve">5K8HS12</t>
  </si>
  <si>
    <t xml:space="preserve">Ошибка Sensor (MR/UV/DD/Gate) Power Off BCU Ready в ходе операции Отбраковка Выдачи (Withdrawal Reject).</t>
  </si>
  <si>
    <t xml:space="preserve">5K8HS13</t>
  </si>
  <si>
    <t xml:space="preserve">Ошибка Контактного датчика изображения CIS Led On Value Set Fail BCU Ready в ходе операции Отбраковка Выдачи (Withdrawal Reject).</t>
  </si>
  <si>
    <t xml:space="preserve">5K8HS14</t>
  </si>
  <si>
    <t xml:space="preserve">Ошибка Источника Света Set Fail BCU Ready в ходе операции Отбраковка Выдачи (Withdrawal Reject).</t>
  </si>
  <si>
    <t xml:space="preserve">5K8HS15</t>
  </si>
  <si>
    <t xml:space="preserve">Ошибка Контактного датчика изображения CIS Shading BCU Ready в ходе операции Отбраковка Выдачи (Withdrawal Reject).</t>
  </si>
  <si>
    <t xml:space="preserve">5K8HS17</t>
  </si>
  <si>
    <t xml:space="preserve">Ошибка AFE Chip Set BCU Ready в ходе операции Отбраковка Выдачи (Withdrawal Reject).</t>
  </si>
  <si>
    <t xml:space="preserve">5K8HS18</t>
  </si>
  <si>
    <t xml:space="preserve">Ошибка ЦАП Set Fail BCU Ready в ходе операции Отбраковка Выдачи (Withdrawal Reject).</t>
  </si>
  <si>
    <t xml:space="preserve">5K8HS19</t>
  </si>
  <si>
    <t xml:space="preserve">Ошибка MR/UV/DD Sampling BCU Ready в ходе операции Отбраковка Выдачи (Withdrawal Reject).</t>
  </si>
  <si>
    <t xml:space="preserve">5K8HS1A</t>
  </si>
  <si>
    <t xml:space="preserve">Ошибка ЦАП Датчика Холла Set Fail BCU Ready в ходе операции Отбраковка Выдачи (Withdrawal Reject).</t>
  </si>
  <si>
    <t xml:space="preserve">5K8HS1B</t>
  </si>
  <si>
    <t xml:space="preserve">Ошибка Датчика Холла Shading Fail BCU Ready в ходе операции Отбраковка Выдачи (Withdrawal Reject).</t>
  </si>
  <si>
    <t xml:space="preserve">5K8HS22</t>
  </si>
  <si>
    <t xml:space="preserve">Ошибка Модуля Валидатора BC Stop Sensor (MR/UV/DD/Gate) Power Off Scan Driver Init в ходе операции Отбраковка Выдачи (Withdrawal Reject).</t>
  </si>
  <si>
    <t xml:space="preserve">5K8HS28</t>
  </si>
  <si>
    <t xml:space="preserve">Ошибка Модуля Валидатора BC Stop DAC Set Fail Scan Driver Init в ходе операции Отбраковка Выдачи (Withdrawal Reject).</t>
  </si>
  <si>
    <t xml:space="preserve">5K8HS29</t>
  </si>
  <si>
    <t xml:space="preserve">Ошибка Модуля Валидатора BC Stop MR/UV/DD Sampling BCU Ready в ходе операции Отбраковка Выдачи (Withdrawal Reject).</t>
  </si>
  <si>
    <t xml:space="preserve">5K8R100</t>
  </si>
  <si>
    <t xml:space="preserve">Модуль Валидатора BC вернул ошибку таймаута сообщения в ходе готовности к операции Отбраковка Выдачи (Withdrawal Reject).</t>
  </si>
  <si>
    <t xml:space="preserve">5K8R200</t>
  </si>
  <si>
    <t xml:space="preserve">Модуль Валидатора BC вернул ошибку таймаута сообщения при проведении транзакции в ходе операции Удержание Выдачи (Withdrawal Reject).</t>
  </si>
  <si>
    <t xml:space="preserve">5K8R300</t>
  </si>
  <si>
    <t xml:space="preserve">Модуль Валидатора BC вернул ошибку таймаута сообщения в ходе постпроцессинга ошибки операции Отбраковка Выдачи (Withdrawal Reject Error).</t>
  </si>
  <si>
    <t xml:space="preserve">5K8R900</t>
  </si>
  <si>
    <t xml:space="preserve">Модуль Валидатора BC вернул ошибку таймаута сообщения в ходе операции Удержание Выдачи (Withdrawal Reject).</t>
  </si>
  <si>
    <t xml:space="preserve">5K8S100</t>
  </si>
  <si>
    <t xml:space="preserve">Получена неправильная Информация о памяти MI от Модуля Валидатора банкнот BC в ходе операции Удержание Выдачи (Withdrawal Reject).</t>
  </si>
  <si>
    <t xml:space="preserve">5K8S200</t>
  </si>
  <si>
    <t xml:space="preserve">Получен ненормальный BCC от Модуля Валидатора банкнот в ходе операции Удержание Выдачи (Withdrawal Reject).</t>
  </si>
  <si>
    <t xml:space="preserve">5K8S400</t>
  </si>
  <si>
    <t xml:space="preserve">Получена ошибка ETC. от Модуля Валидатора банкнот BC в ходе операции Удержание Выдачи (Withdrawal Reject).</t>
  </si>
  <si>
    <t xml:space="preserve">5K8S900</t>
  </si>
  <si>
    <t xml:space="preserve">Повторная попытка завершилась ошибкой Модуля Валидатора банкнот BC в ходе операции Удержание Выдачи (Withdrawal Reject).</t>
  </si>
  <si>
    <t xml:space="preserve">5K91300</t>
  </si>
  <si>
    <t xml:space="preserve">Датчик Кассеты Отбраковки RJC GSA03 сообщил об ошибке замятия по Темному типу в ходе операции Удержание Выдачи (Withdrawal Reject).</t>
  </si>
  <si>
    <t xml:space="preserve">5K91500</t>
  </si>
  <si>
    <t xml:space="preserve">Датчик Кассеты Отбраковки RJC GSA05 сообщил об ошибке замятия по Темному типу в ходе операции Удержание Выдачи (Withdrawal Reject).</t>
  </si>
  <si>
    <t xml:space="preserve">5K9J100</t>
  </si>
  <si>
    <t xml:space="preserve">Переполненная Кассета Отбраковки RJC в ходе операции Удержание Выдачи (Withdrawal Reject).</t>
  </si>
  <si>
    <t xml:space="preserve">5K9P100</t>
  </si>
  <si>
    <t xml:space="preserve">Ошибка мотора Кассеты Отбраковки RJC в ходе операции Удержание Выдачи (Withdrawal Reject).</t>
  </si>
  <si>
    <t xml:space="preserve">5K9R100</t>
  </si>
  <si>
    <t xml:space="preserve">Ошибка тайм-аута сообщения Кассеты Отбраковки RJC в ходе готовности к операции Отбраковка Выдачи (Withdrawal Reject).</t>
  </si>
  <si>
    <t xml:space="preserve">5K9R200</t>
  </si>
  <si>
    <t xml:space="preserve">Ошибка тайм-аута сообщения Кассеты Отбраковки RJC в ходе операции транзакции Отбраковка Выдачи (Withdrawal Reject).</t>
  </si>
  <si>
    <t xml:space="preserve">5K9R300</t>
  </si>
  <si>
    <t xml:space="preserve">Ошибка тайм-аута сообщения Кассеты Отбраковки RJC в ходе устранения ошибки при операции Отбраковка Выдачи (Withdrawal Reject).</t>
  </si>
  <si>
    <t xml:space="preserve">5KA2100</t>
  </si>
  <si>
    <t xml:space="preserve">Оставшиеся банкноты в Транспортном Тракте (GS801) перед выполнением операции Удержание Выдачи (Withdrawal Reject).</t>
  </si>
  <si>
    <t xml:space="preserve">5KA2200</t>
  </si>
  <si>
    <t xml:space="preserve">Оставшиеся банкноты в Транспортном Тракте (GS002) перед выполнением операции Удержание Выдачи (Withdrawal Reject).</t>
  </si>
  <si>
    <t xml:space="preserve">5KA2300</t>
  </si>
  <si>
    <t xml:space="preserve">Оставшиеся банкноты в Транспортном Тракте (GS003) перед выполнением операции Удержание Выдачи (Withdrawal Reject).</t>
  </si>
  <si>
    <t xml:space="preserve">5KA2400</t>
  </si>
  <si>
    <t xml:space="preserve">Оставшиеся банкноты в Транспортном Тракте (GS004) перед выполнением операции Удержание Выдачи (Withdrawal Reject).</t>
  </si>
  <si>
    <t xml:space="preserve">5KA2500</t>
  </si>
  <si>
    <t xml:space="preserve">Оставшиеся банкноты в Транспортном Тракте (GS005) перед выполнением операции Удержание Выдачи (Withdrawal Reject).</t>
  </si>
  <si>
    <t xml:space="preserve">5KA2600</t>
  </si>
  <si>
    <t xml:space="preserve">Оставшиеся банкноты в Транспортном Тракте (GS006) перед выполнением операции Удержание Выдачи (Withdrawal Reject).</t>
  </si>
  <si>
    <t xml:space="preserve">5KA2A00</t>
  </si>
  <si>
    <t xml:space="preserve">Оставшиеся банкноты в Транспортном Тракте (GS021) перед выполнением операции Удержание Выдачи (Withdrawal Reject).</t>
  </si>
  <si>
    <t xml:space="preserve">5KA2B00</t>
  </si>
  <si>
    <t xml:space="preserve">Оставшиеся банкноты в Транспортном Тракте (GS022) перед выполнением операции Удержание Выдачи (Withdrawal Reject).</t>
  </si>
  <si>
    <t xml:space="preserve">5KA2C00</t>
  </si>
  <si>
    <t xml:space="preserve">Произошла ошибка оставшихся банкнот в Модуле Валидатора банкнот BCU (Контактный датчик изображения CIS) в ходе операции Удержание Выдачи (Withdrawal Reject). .</t>
  </si>
  <si>
    <t xml:space="preserve">5KA2G00</t>
  </si>
  <si>
    <t xml:space="preserve">Оставшиеся банкноты в Транспортном Тракте (GS614) перед выполнением операции Удержание Выдачи (Withdrawal Reject).</t>
  </si>
  <si>
    <t xml:space="preserve">5KA2H00</t>
  </si>
  <si>
    <t xml:space="preserve">Оставшиеся банкноты в Транспортном Тракте (GS618) перед выполнением операции Удержание Выдачи (Withdrawal Reject).</t>
  </si>
  <si>
    <t xml:space="preserve">5KA2J00</t>
  </si>
  <si>
    <t xml:space="preserve">Оставшиеся банкноты в Транспортном Тракте (GS619) перед выполнением операции Удержание Выдачи (Withdrawal Reject).</t>
  </si>
  <si>
    <t xml:space="preserve">5KA2K00</t>
  </si>
  <si>
    <t xml:space="preserve">Оставшиеся банкноты в Транспортном Тракте (GS703) перед выполнением операции Удержание Выдачи (Withdrawal Reject).</t>
  </si>
  <si>
    <t xml:space="preserve">5KA2M00</t>
  </si>
  <si>
    <t xml:space="preserve">Оставшиеся банкноты в Транспортном Тракте (GS031) перед выполнением операции Удержание Выдачи (Withdrawal Reject).</t>
  </si>
  <si>
    <t xml:space="preserve">5KA2N00</t>
  </si>
  <si>
    <t xml:space="preserve">Оставшиеся банкноты в Транспортном Тракте (GS032) перед выполнением операции Удержание Выдачи (Withdrawal Reject).</t>
  </si>
  <si>
    <t xml:space="preserve">5KA2P00</t>
  </si>
  <si>
    <t xml:space="preserve">Оставшиеся банкноты в Транспортном Тракте (GS033) перед выполнением операции Удержание Выдачи (Withdrawal Reject).</t>
  </si>
  <si>
    <t xml:space="preserve">5KA2Q00</t>
  </si>
  <si>
    <t xml:space="preserve">Оставшиеся банкноты в Транспортном Тракте (GS034) перед выполнением операции Удержание Выдачи (Withdrawal Reject).</t>
  </si>
  <si>
    <t xml:space="preserve">5KA2W00</t>
  </si>
  <si>
    <t xml:space="preserve">Оставшиеся банкноты в Транспортном Тракте (GS802) перед выполнением операции Удержание Выдачи (Withdrawal Reject).</t>
  </si>
  <si>
    <t xml:space="preserve">5KAA100</t>
  </si>
  <si>
    <t xml:space="preserve">Вынутое состояние Вспомогательной (невостребованных/фальшивых банкнот) Кассеты UTC перед запуском в ходе операции Удержание Выдачи (Withdrawal Reject).</t>
  </si>
  <si>
    <t xml:space="preserve">5KAA200</t>
  </si>
  <si>
    <t xml:space="preserve">Модуль временного хранения открыт перед выполнением операции Удержание Выдачи (Withdrawal Reject).</t>
  </si>
  <si>
    <t xml:space="preserve">5KAA300</t>
  </si>
  <si>
    <t xml:space="preserve">Отстыкованное состояние концевого переключателя (inter lock) Верхней части Модуля Рециркуляции Банкнот BMU перед выполнением операции Удержание Выдачи (Withdrawal Reject).</t>
  </si>
  <si>
    <t xml:space="preserve">5KAA400</t>
  </si>
  <si>
    <t xml:space="preserve">Отстыкованное состояние Верхней части Модуля Рециркуляции Банкнот BMU перед выполнением операции Удержание Выдачи (Withdrawal Reject).</t>
  </si>
  <si>
    <t xml:space="preserve">5KAA600</t>
  </si>
  <si>
    <t xml:space="preserve">Открыт Модуль обслуживания клиентов CSM перед выполнением операции Удержание Выдачи (Withdrawal Reject).</t>
  </si>
  <si>
    <t xml:space="preserve">5KAA700</t>
  </si>
  <si>
    <t xml:space="preserve">Вынута Кассета Отбраковки RJC перед выполнением операции Удержание Выдачи (Withdrawal Reject).</t>
  </si>
  <si>
    <t xml:space="preserve">5KAA800</t>
  </si>
  <si>
    <t xml:space="preserve">Состояние концевого переключателя (inter lock) Нижней части Модуля Рециркуляции Банкнот BMD перед выполнением операции Удержание Выдачи (Withdrawal Reject).</t>
  </si>
  <si>
    <t xml:space="preserve">5KAA900</t>
  </si>
  <si>
    <t xml:space="preserve">Отстыкованное состояние Нижней части Модуля Рециркуляции Банкнот BMD перед выполнением операции Удержание Выдачи (Withdrawal Reject).</t>
  </si>
  <si>
    <t xml:space="preserve">5KAAA00</t>
  </si>
  <si>
    <t xml:space="preserve">Модуль Валидатора банкнот BC открыт перед работой в ходе операции Удержание Выдачи (Withdrawal Reject).</t>
  </si>
  <si>
    <t xml:space="preserve">5KAAC00</t>
  </si>
  <si>
    <t xml:space="preserve">Переполненная Кассета Отбраковки RJC перед выполнением операции Удержание Выдачи (Withdrawal Reject).</t>
  </si>
  <si>
    <t xml:space="preserve">5KAAL00</t>
  </si>
  <si>
    <t xml:space="preserve">Нештатное состояние Кассеты Рециркуляции (Вынута, не используется, Выдача) для укладки банкнот в ходе операции Удержание Выдачи (Withdrawal Reject).</t>
  </si>
  <si>
    <t xml:space="preserve">1. Откройте нижнюю часть Модуля Рециркуляции Банкнот 2. Проверьте состояние Кассеты Рециркуляции RC (Используемые банкноты, неисправности) 3.Выполните инициализацию Модуля Рециркуляции Банкнот BRM (Восстановление)</t>
  </si>
  <si>
    <t xml:space="preserve">5KAE100</t>
  </si>
  <si>
    <t xml:space="preserve">Получена команда operation без установки начальных данных в ходе операции Отбраковка Выдачи (Withdrawal Reject).</t>
  </si>
  <si>
    <t xml:space="preserve">5KAE200</t>
  </si>
  <si>
    <t xml:space="preserve">Полученная команда не выполнена в ходе операции Удержание Выдачи (Withdrawal Reject).</t>
  </si>
  <si>
    <t xml:space="preserve">5KAE300</t>
  </si>
  <si>
    <t xml:space="preserve">Получена операция без выполнения команды поиска системных данных (System Information Searching) в ходе операции Удержание Выдачи (Withdrawal Reject).</t>
  </si>
  <si>
    <t xml:space="preserve">5KAE400</t>
  </si>
  <si>
    <t xml:space="preserve">Транзакция Отбраковка Выдачи (Withdrawal Reject) была выполнена без Инициализации после включения питания .</t>
  </si>
  <si>
    <t xml:space="preserve">5KAE600</t>
  </si>
  <si>
    <t xml:space="preserve">Ошибка обработки операции Отбраковка Выдачи (Withdrawal Reject) в ходе операции Работа кнопки TE (TE Button Operating).</t>
  </si>
  <si>
    <t xml:space="preserve">5KAEE00</t>
  </si>
  <si>
    <t xml:space="preserve">Ошибка последовательности сообщений интерфейса RS485 платы контроллера RBU в ходе операции Удержание Выдачи (Withdrawal Reject).</t>
  </si>
  <si>
    <t xml:space="preserve">5KAEF00</t>
  </si>
  <si>
    <t xml:space="preserve">Нарушение линии связи интерфейса RS485 платы контроллера RBU error в ходе операции Удержание Выдачи (Withdrawal Reject).</t>
  </si>
  <si>
    <t xml:space="preserve">5KAH500</t>
  </si>
  <si>
    <t xml:space="preserve">Ошибка Чтения/Записи памяти NVRAM (128 деноминаций) в ходе операции Удержание Выдачи (Withdrawal Reject).</t>
  </si>
  <si>
    <t xml:space="preserve">5KANB00</t>
  </si>
  <si>
    <t xml:space="preserve">Несоответствие счетчика Кассеты Отбраковки RJC операции Отбраковка Выдачи (Withdrawal Reject) и счетчика набранных банкнот Модуля временного хранения_TE в ходе операции Выдача (Withdrawal).</t>
  </si>
  <si>
    <t xml:space="preserve">5KANR00</t>
  </si>
  <si>
    <t xml:space="preserve">Несоответствие счетчика набранных банкнот Кассеты Отбраковки RJC и счетчика разделенных банкнот в ходе операции тестирования автовосстановления в ходе операции Удержание Выдачи (Withdrawal Reject).</t>
  </si>
  <si>
    <t xml:space="preserve">5KAR100</t>
  </si>
  <si>
    <t xml:space="preserve">Возвращена ошибка таймаута сообщения в ходе готовности к операции Отбраковка Выдачи (Withdrawal Reject).</t>
  </si>
  <si>
    <t xml:space="preserve">5KAR200</t>
  </si>
  <si>
    <t xml:space="preserve">Возвращена ошибка таймаута сообщения при проведении транзакции в ходе операции Отбраковка Выдачи (Withdrawal Reject).</t>
  </si>
  <si>
    <t xml:space="preserve">5KAR300</t>
  </si>
  <si>
    <t xml:space="preserve">5KAR700</t>
  </si>
  <si>
    <t xml:space="preserve">Возвращена ошибка таймаута сообщения от контроллера RBU Отбраковка Выдачи (Withdrawal Reject)</t>
  </si>
  <si>
    <t xml:space="preserve">5KAR900</t>
  </si>
  <si>
    <t xml:space="preserve">Ошибка таймаута сообщения готовности к укладке в процессе автовосстановления в ходе операции Удержание Выдачи (Withdrawal Reject).</t>
  </si>
  <si>
    <t xml:space="preserve">5KARA01</t>
  </si>
  <si>
    <t xml:space="preserve">Ошибка таймаута сообщения возврата банкнот BM в процессе автовосстановления в ходе операции Удержание Выдачи (Withdrawal Reject).</t>
  </si>
  <si>
    <t xml:space="preserve">5KARB00</t>
  </si>
  <si>
    <t xml:space="preserve">Remainder notes processed вернул ошибку таймаута сообщения в процессе автовосстановления в ходе операции Удержание Выдачи (Withdrawal Reject).</t>
  </si>
  <si>
    <t xml:space="preserve">5KARJ00</t>
  </si>
  <si>
    <t xml:space="preserve">Возвращена ошибка таймаута сообщения при операции Начало Остановки (Stop Ready) в ходе операции Удержание Выдачи (Withdrawal Reject).</t>
  </si>
  <si>
    <t xml:space="preserve">5KAS800</t>
  </si>
  <si>
    <t xml:space="preserve">Значение счетчика набранных банкнот больше значения счетчика Оставшихся банкнот в процессе обновления счетчиков банкнот duringв ходе операции Удержание Выдачи (Withdrawal Reject).</t>
  </si>
  <si>
    <t xml:space="preserve">5KASE00</t>
  </si>
  <si>
    <t xml:space="preserve">Кассета Отбраковки RJC не установлена на прием отбракованных банкнот, при настройках RJC (NOT EXIST или SET NOT TO BE USED) в ходе операции Удержание Выдачи (Withdrawal Reject).</t>
  </si>
  <si>
    <t xml:space="preserve">1. Проверьте настройки Кассеты Отбраковки в процессе Выдачи. 2.Выполните инициализацию Модуля Рециркуляции Банкнот BRM (Восстановление)</t>
  </si>
  <si>
    <t xml:space="preserve">5KBH100</t>
  </si>
  <si>
    <t xml:space="preserve">Ошибка чтения памяти EEPROM Кассеты Рециркуляции RC1 в ходе операции Удержание Выдачи (Withdrawal Reject).</t>
  </si>
  <si>
    <t xml:space="preserve">5KBH200</t>
  </si>
  <si>
    <t xml:space="preserve">Ошибка чтения памяти EEPROM Кассеты Рециркуляции RC2 в ходе операции Удержание Выдачи (Withdrawal Reject).</t>
  </si>
  <si>
    <t xml:space="preserve">5KBH300</t>
  </si>
  <si>
    <t xml:space="preserve">Ошибка чтения памяти EEPROM Кассеты Рециркуляции RC3 в ходе операции Удержание Выдачи (Withdrawal Reject).</t>
  </si>
  <si>
    <t xml:space="preserve">5KBH400</t>
  </si>
  <si>
    <t xml:space="preserve">Ошибка чтения памяти EEPROM Кассеты Рециркуляции RC4 в ходе операции Удержание Выдачи (Withdrawal Reject).</t>
  </si>
  <si>
    <t xml:space="preserve">5KBH500</t>
  </si>
  <si>
    <t xml:space="preserve">Ошибка чтения памяти EEPROM Кассеты Рециркуляции RC5 в ходе операции Удержание Выдачи (Withdrawal Reject).</t>
  </si>
  <si>
    <t xml:space="preserve">5KBH600</t>
  </si>
  <si>
    <t xml:space="preserve">Ошибка записи памяти EEPROM Кассеты Рециркуляции RC1 в ходе операции Удержание Выдачи (Withdrawal Reject).</t>
  </si>
  <si>
    <t xml:space="preserve">5KBH700</t>
  </si>
  <si>
    <t xml:space="preserve">Ошибка записи памяти EEPROM Кассеты Рециркуляции RC2 в ходе операции Удержание Выдачи (Withdrawal Reject).</t>
  </si>
  <si>
    <t xml:space="preserve">5KBH800</t>
  </si>
  <si>
    <t xml:space="preserve">Ошибка записи памяти EEPROM Кассеты Рециркуляции RC3 в ходе операции Удержание Выдачи (Withdrawal Reject).</t>
  </si>
  <si>
    <t xml:space="preserve">5KBH900</t>
  </si>
  <si>
    <t xml:space="preserve">Ошибка записи памяти EEPROM Кассеты Рециркуляции RC4 в ходе операции Удержание Выдачи (Withdrawal Reject).</t>
  </si>
  <si>
    <t xml:space="preserve">5KBHA00</t>
  </si>
  <si>
    <t xml:space="preserve">Ошибка записи памяти EEPROM Кассеты Рециркуляции RC5 в ходе операции Удержание Выдачи (Withdrawal Reject).</t>
  </si>
  <si>
    <t xml:space="preserve">5KBHB00</t>
  </si>
  <si>
    <t xml:space="preserve">Ошибка проверки данных памяти EEPROM Кассеты Рециркуляции RC1 в ходе операции Удержание Выдачи (Withdrawal Reject).</t>
  </si>
  <si>
    <t xml:space="preserve">5KBHC00</t>
  </si>
  <si>
    <t xml:space="preserve">Ошибка проверки данных памяти EEPROM Кассеты Рециркуляции RC2 в ходе операции Удержание Выдачи (Withdrawal Reject).</t>
  </si>
  <si>
    <t xml:space="preserve">5KBHD00</t>
  </si>
  <si>
    <t xml:space="preserve">Ошибка проверки данных памяти EEPROM Кассеты Рециркуляции RC3 в ходе операции Удержание Выдачи (Withdrawal Reject).</t>
  </si>
  <si>
    <t xml:space="preserve">5KBHE00</t>
  </si>
  <si>
    <t xml:space="preserve">Ошибка проверки данных памяти EEPROM Кассеты Рециркуляции RC4 в ходе операции Удержание Выдачи (Withdrawal Reject).</t>
  </si>
  <si>
    <t xml:space="preserve">5KBHF00</t>
  </si>
  <si>
    <t xml:space="preserve">Ошибка проверки данных памяти EEPROM Кассеты Рециркуляции RC5 в ходе операции Удержание Выдачи (Withdrawal Reject).</t>
  </si>
  <si>
    <t xml:space="preserve">5KBHG00</t>
  </si>
  <si>
    <t xml:space="preserve">Не обнаружен концевой переключатель (интерлок) при Чтении/Записи памяти EEPROM Кассеты Рециркуляции RC в ходе операции Удержание Выдачи (Withdrawal Reject).</t>
  </si>
  <si>
    <t xml:space="preserve">5KBR000</t>
  </si>
  <si>
    <t xml:space="preserve">Превышено время ожидание ответа платы контроллера RBU в ходе операции Удержание Выдачи (Withdrawal Reject).</t>
  </si>
  <si>
    <t xml:space="preserve">5KBR700</t>
  </si>
  <si>
    <t xml:space="preserve">Контроллер RBU вернул ошибку таймаута сообщения в ходе операции Удержание Выдачи (Withdrawal Reject).</t>
  </si>
  <si>
    <t xml:space="preserve">5KBS000</t>
  </si>
  <si>
    <t xml:space="preserve">Ошибка таймаута связи контроллера RBU в ходе операции Удержание Выдачи (Withdrawal Reject).</t>
  </si>
  <si>
    <t xml:space="preserve">5KBS100</t>
  </si>
  <si>
    <t xml:space="preserve">Ошибка последовательности сообщений платы контроллера RBU в ходе операции Удержание Выдачи (Withdrawal Reject).</t>
  </si>
  <si>
    <t xml:space="preserve">5KBS200</t>
  </si>
  <si>
    <t xml:space="preserve">Ошибка Информации о памяти MI в ходе соединения контроллера RBU в ходе операции Удержание Выдачи (Withdrawal Reject).</t>
  </si>
  <si>
    <t xml:space="preserve">5KUS100</t>
  </si>
  <si>
    <t xml:space="preserve">Ошибка дублирования номера последовательности USB в ходе операции Удержание Выдачи (Withdrawal Reject).</t>
  </si>
  <si>
    <t xml:space="preserve">5KUS300</t>
  </si>
  <si>
    <t xml:space="preserve">Ошибка длины данных команды USB  в ходе операции Удержание Выдачи (Withdrawal Reject).</t>
  </si>
  <si>
    <t xml:space="preserve">5LAE100</t>
  </si>
  <si>
    <t xml:space="preserve">Получена операция без выполнения команды установки начальных данных (Initail Info Set) в ходе чтения лога (Log Read).</t>
  </si>
  <si>
    <t xml:space="preserve">5LAE200</t>
  </si>
  <si>
    <t xml:space="preserve">Полученная команда не выполнена в ходе чтения лога (Log Read).</t>
  </si>
  <si>
    <t xml:space="preserve">5LAE300</t>
  </si>
  <si>
    <t xml:space="preserve">Получена операция без выполнения команды чтения системных данных (Sysrem Info Read) в ходе чтения лога (Log Read).</t>
  </si>
  <si>
    <t xml:space="preserve">5LAE400</t>
  </si>
  <si>
    <t xml:space="preserve">Транзакция  Чтение Лога (Log Read) была выполнена без Инициализации после включения питания .</t>
  </si>
  <si>
    <t xml:space="preserve">5LAE600</t>
  </si>
  <si>
    <t xml:space="preserve">Ошибка обработки операции Чтения Лога (Log Read) в ходе операции Работа кнопки TE (TE Button Operating).</t>
  </si>
  <si>
    <t xml:space="preserve">5LAEE00</t>
  </si>
  <si>
    <t xml:space="preserve">Нарушение последовательности сообщений интерфейса RS485 платы контроллера RBU в ходе чтения лога (Log Read).</t>
  </si>
  <si>
    <t xml:space="preserve">5LAEF00</t>
  </si>
  <si>
    <t xml:space="preserve">Нарушение линии связи интерфейса RS485 платы контроллера RBU в ходе чтения лога (Log Read).</t>
  </si>
  <si>
    <t xml:space="preserve">5LAH500</t>
  </si>
  <si>
    <t xml:space="preserve">Ошибка Чтения/Записи памяти NVRAM (128 деноминаций) в ходе чтения лога (Log Read).</t>
  </si>
  <si>
    <t xml:space="preserve">5LUS100</t>
  </si>
  <si>
    <t xml:space="preserve">Ошибка дублирования номера последовательности USB в ходе операции чтения лога (Log Read).</t>
  </si>
  <si>
    <t xml:space="preserve">5LUS300</t>
  </si>
  <si>
    <t xml:space="preserve">Ошибка длины данных команды USB  в ходе чтения лога (Log Read).</t>
  </si>
  <si>
    <t xml:space="preserve">5NAE100</t>
  </si>
  <si>
    <t xml:space="preserve">Получена операция без выполнения команды установки начальных данных (Initail Info Set) в ходе операции CST notes count Read.</t>
  </si>
  <si>
    <t xml:space="preserve">5NAE200</t>
  </si>
  <si>
    <t xml:space="preserve">Полученная команда не выполнена в ходе операции Чтение счетчика банкнот (CST notes count Read).</t>
  </si>
  <si>
    <t xml:space="preserve">5NAE300</t>
  </si>
  <si>
    <t xml:space="preserve">Получена операция без выполнения команды чтения системных данных (System Info Read) в ходе операции Чтение счетчика банкнот (CST notes count Read).</t>
  </si>
  <si>
    <t xml:space="preserve">5NAE400</t>
  </si>
  <si>
    <t xml:space="preserve">Транзакция Чтение счетчиков Кассеты (CST notes count Read) была выполнена без Инициализации после включения питания .</t>
  </si>
  <si>
    <t xml:space="preserve">5NAE600</t>
  </si>
  <si>
    <t xml:space="preserve">Ошибка обработки операции Чтение счетчика банкнот (CST notes count Read) в ходе операции Работа кнопки TE (TE Button Operating).</t>
  </si>
  <si>
    <t xml:space="preserve">5NAEE00</t>
  </si>
  <si>
    <t xml:space="preserve">Ошибка последовательности сообщений интерфейса RS485 платы контроллера RBU в ходе операции Чтение счетчика банкнот (CST notes count Read).</t>
  </si>
  <si>
    <t xml:space="preserve">5NAEF00</t>
  </si>
  <si>
    <t xml:space="preserve">Нарушение линии связи интерфейса RS485 платы контроллера RBU error в ходе операции Чтение счетчика банкнот (CST notes count Read).</t>
  </si>
  <si>
    <t xml:space="preserve">5NAH500</t>
  </si>
  <si>
    <t xml:space="preserve">Ошибка Чтения/Записи памяти NVRAM (128 деноминаций) в ходе операции Чтение счетчика банкнот (CST notes count Read).</t>
  </si>
  <si>
    <t xml:space="preserve">5NBH100</t>
  </si>
  <si>
    <t xml:space="preserve">Ошибка чтения памяти EEPROM Кассеты Рециркуляции RC1 в ходе операции Чтение счетчика банкнот (CST notes count Read).</t>
  </si>
  <si>
    <t xml:space="preserve">5NBH200</t>
  </si>
  <si>
    <t xml:space="preserve">Ошибка чтения памяти EEPROM Кассеты Рециркуляции RC2 в ходе операции Чтение счетчика банкнот (CST notes count Read).</t>
  </si>
  <si>
    <t xml:space="preserve">5NBH300</t>
  </si>
  <si>
    <t xml:space="preserve">Ошибка чтения памяти EEPROM Кассеты Рециркуляции RC3 в ходе операции Чтение счетчика банкнот (CST notes count Read).</t>
  </si>
  <si>
    <t xml:space="preserve">5NBH400</t>
  </si>
  <si>
    <t xml:space="preserve">Ошибка чтения памяти EEPROM Кассеты Рециркуляции RC4 в ходе операции Чтение счетчика банкнот (CST notes count Read).</t>
  </si>
  <si>
    <t xml:space="preserve">5NBH500</t>
  </si>
  <si>
    <t xml:space="preserve">Ошибка чтения памяти EEPROM Кассеты Рециркуляции RC5 в ходе операции Чтение счетчика банкнот (CST notes count Read).</t>
  </si>
  <si>
    <t xml:space="preserve">5NBH600</t>
  </si>
  <si>
    <t xml:space="preserve">Ошибка записи памяти EEPROM Кассеты Рециркуляции RC1 в ходе операции Чтение счетчика банкнот (CST notes count Read).</t>
  </si>
  <si>
    <t xml:space="preserve">5NBH700</t>
  </si>
  <si>
    <t xml:space="preserve">Ошибка записи памяти EEPROM Кассеты Рециркуляции RC2 в ходе операции Чтение счетчика банкнот (CST notes count Read).</t>
  </si>
  <si>
    <t xml:space="preserve">5NBH800</t>
  </si>
  <si>
    <t xml:space="preserve">Ошибка записи памяти EEPROM Кассеты Рециркуляции RC3 в ходе операции Чтение счетчика банкнот (CST notes count Read).</t>
  </si>
  <si>
    <t xml:space="preserve">5NBH900</t>
  </si>
  <si>
    <t xml:space="preserve">Ошибка записи памяти EEPROM Кассеты Рециркуляции RC4 в ходе операции Чтение счетчика банкнот (CST notes count Read).</t>
  </si>
  <si>
    <t xml:space="preserve">5NBHA00</t>
  </si>
  <si>
    <t xml:space="preserve">Ошибка записи памяти EEPROM Кассеты Рециркуляции RC5 в ходе операции Чтение счетчика банкнот (CST notes count Read).</t>
  </si>
  <si>
    <t xml:space="preserve">5NBHB00</t>
  </si>
  <si>
    <t xml:space="preserve">Ошибка проверки данных памяти EEPROM Кассеты Рециркуляции RC1 в ходе операции Чтение счетчика банкнот (CST notes count Read).</t>
  </si>
  <si>
    <t xml:space="preserve">5NBHC00</t>
  </si>
  <si>
    <t xml:space="preserve">Ошибка проверки данных памяти EEPROM Кассеты Рециркуляции RC2 в ходе операции Чтение счетчика банкнот (CST notes count Read).</t>
  </si>
  <si>
    <t xml:space="preserve">5NBHD00</t>
  </si>
  <si>
    <t xml:space="preserve">Ошибка проверки данных памяти EEPROM Кассеты Рециркуляции RC3 в ходе операции Чтение счетчика банкнот (CST notes count Read).</t>
  </si>
  <si>
    <t xml:space="preserve">5NBHE00</t>
  </si>
  <si>
    <t xml:space="preserve">Ошибка проверки данных памяти EEPROM Кассеты Рециркуляции RC4 в ходе операции Чтение счетчика банкнот (CST notes count Read).</t>
  </si>
  <si>
    <t xml:space="preserve">5NBHF00</t>
  </si>
  <si>
    <t xml:space="preserve">Ошибка проверки данных памяти EEPROM Кассеты Рециркуляции RC5 в ходе операции Чтение счетчика банкнот (CST notes count Read).</t>
  </si>
  <si>
    <t xml:space="preserve">5NBHG00</t>
  </si>
  <si>
    <t xml:space="preserve">Не обнаружен концевой переключатель (интерлок) при Чтении/Записи памяти EEPROM Кассеты Рециркуляции RC в ходе операции Чтение счетчика банкнот (CST notes count Read).</t>
  </si>
  <si>
    <t xml:space="preserve">5NBS000</t>
  </si>
  <si>
    <t xml:space="preserve">Ошибка таймаута связи контроллера RBU в ходе операции Чтение счетчика банкнот (CST notes count Read).</t>
  </si>
  <si>
    <t xml:space="preserve">5NBS100</t>
  </si>
  <si>
    <t xml:space="preserve">Ошибка последовательности сообщений платы контроллера RBU в ходе операции Чтение счетчика банкнот (CST notes count Read).</t>
  </si>
  <si>
    <t xml:space="preserve">5NBS200</t>
  </si>
  <si>
    <t xml:space="preserve">Ошибка Информации о памяти MI в ходе соединения контроллера RBU в ходе операции Чтение счетчика банкнот (CST notes count Read).</t>
  </si>
  <si>
    <t xml:space="preserve">5NUS100</t>
  </si>
  <si>
    <t xml:space="preserve">Ошибка дублирования номера последовательности USBd error в ходе операции Чтение счетчика банкнот (CST notes count Read).</t>
  </si>
  <si>
    <t xml:space="preserve">5NUS300</t>
  </si>
  <si>
    <t xml:space="preserve">Ошибка длины данных команды USB  в ходе операции Чтение счетчика банкнот (CST notes count Read).</t>
  </si>
  <si>
    <t xml:space="preserve">5OS0100</t>
  </si>
  <si>
    <t xml:space="preserve">Шаттер не открылся после получения команды открытия шаттера (MS2 Светлый). Полностью закрыт (MS1 Светлый).</t>
  </si>
  <si>
    <t xml:space="preserve">5OS1100</t>
  </si>
  <si>
    <t xml:space="preserve">Шаттер не открылся после получения команды открытия шаттера (MS2 Светлый). Наполовину открыт (MS1 Темный).</t>
  </si>
  <si>
    <t xml:space="preserve">5OS3100</t>
  </si>
  <si>
    <t xml:space="preserve">1. Ошибка датчика исходного положения мотора 2. Проверьте датчик исходного положения мотора 3.Проверьте работоспособность моторов MS1 и MS2</t>
  </si>
  <si>
    <t xml:space="preserve">5OSSE00</t>
  </si>
  <si>
    <t xml:space="preserve">Последовательный номер задвоен с командой open.</t>
  </si>
  <si>
    <t xml:space="preserve">5PAE100</t>
  </si>
  <si>
    <t xml:space="preserve">Получена операция без выполнения команды установки начальных данных (Initail Info Set) в ходе операции Удаление счетчика банкнот (CST notes count Detete).</t>
  </si>
  <si>
    <t xml:space="preserve">5PAE200</t>
  </si>
  <si>
    <t xml:space="preserve">Полученная команда не выполнена в ходе операции Удаление счетчика банкнот (CST notes count Detete).</t>
  </si>
  <si>
    <t xml:space="preserve">5PAE300</t>
  </si>
  <si>
    <t xml:space="preserve">Получена операция без выполнения команды чтения системных данных (Sysrem Info Read) в ходе операции Удаление счетчика банкнот (CST notes count Detete).</t>
  </si>
  <si>
    <t xml:space="preserve">5PAE400</t>
  </si>
  <si>
    <t xml:space="preserve">Транзакция Удаление счетчиков Кассеты (CST notes count Detete) была выполнена без Инициализации после включения питания.</t>
  </si>
  <si>
    <t xml:space="preserve">5PAE600</t>
  </si>
  <si>
    <t xml:space="preserve">Ошибка обработки операции Удаление счетчика банкнот (CST notes count Detete) в ходе операции Работа кнопки TE (TE Button Operating).</t>
  </si>
  <si>
    <t xml:space="preserve">5PAEE00</t>
  </si>
  <si>
    <t xml:space="preserve">Ошибка последовательности сообщений интерфейса RS485 платы контроллера RBU в ходе операции Удаление счетчика банкнот (CST notes count Detete).</t>
  </si>
  <si>
    <t xml:space="preserve">5PAEF00</t>
  </si>
  <si>
    <t xml:space="preserve">Нарушение линии связи интерфейса RS485 платы контроллера RBU error в ходе операции Удаление счетчика банкнот (CST notes count Detete).</t>
  </si>
  <si>
    <t xml:space="preserve">5PAH500</t>
  </si>
  <si>
    <t xml:space="preserve">Ошибка Чтения/Записи памяти NVRAM (128 деноминаций) в ходе операции Удаление счетчика банкнот (CST notes count Detete).</t>
  </si>
  <si>
    <t xml:space="preserve">5PBH100</t>
  </si>
  <si>
    <t xml:space="preserve">Ошибка чтения памяти EEPROM Кассеты Рециркуляции RC1 в ходе операции Удаление счетчика банкнот (CST notes count Detete).</t>
  </si>
  <si>
    <t xml:space="preserve">5PBH200</t>
  </si>
  <si>
    <t xml:space="preserve">Ошибка чтения памяти EEPROM Кассеты Рециркуляции RC2 в ходе операции Удаление счетчика банкнот (CST notes count Detete).</t>
  </si>
  <si>
    <t xml:space="preserve">5PBH300</t>
  </si>
  <si>
    <t xml:space="preserve">Ошибка чтения памяти EEPROM Кассеты Рециркуляции RC3 в ходе операции Удаление счетчика банкнот (CST notes count Detete).</t>
  </si>
  <si>
    <t xml:space="preserve">5PBH400</t>
  </si>
  <si>
    <t xml:space="preserve">Ошибка чтения памяти EEPROM Кассеты Рециркуляции RC4 в ходе операции Удаление счетчика банкнот (CST notes count Detete).</t>
  </si>
  <si>
    <t xml:space="preserve">5PBH500</t>
  </si>
  <si>
    <t xml:space="preserve">Ошибка чтения памяти EEPROM Кассеты Рециркуляции RC5 в ходе операции Удаление счетчика банкнот (CST notes count Detete).</t>
  </si>
  <si>
    <t xml:space="preserve">5PBH600</t>
  </si>
  <si>
    <t xml:space="preserve">Ошибка записи памяти EEPROM Кассеты Рециркуляции RC1 в ходе операции Удаление счетчика банкнот (CST notes count Detete).</t>
  </si>
  <si>
    <t xml:space="preserve">5PBH700</t>
  </si>
  <si>
    <t xml:space="preserve">Ошибка записи памяти EEPROM Кассеты Рециркуляции RC2 в ходе операции Удаление счетчика банкнот (CST notes count Detete).</t>
  </si>
  <si>
    <t xml:space="preserve">5PBH800</t>
  </si>
  <si>
    <t xml:space="preserve">Ошибка записи памяти EEPROM Кассеты Рециркуляции RC3 в ходе операции Удаление счетчика банкнот (CST notes count Detete).</t>
  </si>
  <si>
    <t xml:space="preserve">5PBH900</t>
  </si>
  <si>
    <t xml:space="preserve">Ошибка записи памяти EEPROM Кассеты Рециркуляции RC4 в ходе операции Удаление счетчика банкнот (CST notes count Detete).</t>
  </si>
  <si>
    <t xml:space="preserve">5PBHA00</t>
  </si>
  <si>
    <t xml:space="preserve">Ошибка записи памяти EEPROM Кассеты Рециркуляции RC5 в ходе операции Удаление счетчика банкнот (CST notes count Detete).</t>
  </si>
  <si>
    <t xml:space="preserve">5PBHB00</t>
  </si>
  <si>
    <t xml:space="preserve">Ошибка проверки данных памяти EEPROM Кассеты Рециркуляции RC1 в ходе операции Удаление счетчика банкнот (CST notes count Detete).</t>
  </si>
  <si>
    <t xml:space="preserve">5PBHC00</t>
  </si>
  <si>
    <t xml:space="preserve">Ошибка проверки данных памяти EEPROM Кассеты Рециркуляции RC2 в ходе операции Удаление счетчика банкнот (CST notes count Detete).</t>
  </si>
  <si>
    <t xml:space="preserve">5PBHD00</t>
  </si>
  <si>
    <t xml:space="preserve">Ошибка проверки данных памяти EEPROM Кассеты Рециркуляции RC3 в ходе операции Удаление счетчика банкнот (CST notes count Detete).</t>
  </si>
  <si>
    <t xml:space="preserve">5PBHE00</t>
  </si>
  <si>
    <t xml:space="preserve">Ошибка проверки данных памяти EEPROM Кассеты Рециркуляции RC4 в ходе операции Удаление счетчика банкнот (CST notes count Detete).</t>
  </si>
  <si>
    <t xml:space="preserve">5PBHF00</t>
  </si>
  <si>
    <t xml:space="preserve">Ошибка проверки данных памяти EEPROM Кассеты Рециркуляции RC5 в ходе операции Удаление счетчика банкнот (CST notes count Detete).</t>
  </si>
  <si>
    <t xml:space="preserve">5PBHG00</t>
  </si>
  <si>
    <t xml:space="preserve">Не обнаружен концевой переключатель (интерлок) при Чтении/Записи памяти EEPROM Кассеты Рециркуляции RC в ходе операции Удаление счетчика банкнот (CST notes count Detete).</t>
  </si>
  <si>
    <t xml:space="preserve">5PBS000</t>
  </si>
  <si>
    <t xml:space="preserve">Ошибка таймаута связи контроллера RBU в ходе операции Чтение Исходных Данных (Read Initial Info).</t>
  </si>
  <si>
    <t xml:space="preserve">5PBS100</t>
  </si>
  <si>
    <t xml:space="preserve">Ошибка последовательности сообщений платы контроллера RBU в ходе операции Чтение Исходных Данных (Read Initial Info).</t>
  </si>
  <si>
    <t xml:space="preserve">5PBS200</t>
  </si>
  <si>
    <t xml:space="preserve">Ошибка Информации о памяти MI в ходе соединения контроллера RBU в ходе операции в ходе операции Чтение Исходных Данных (Read Initial Info).</t>
  </si>
  <si>
    <t xml:space="preserve">5PUS100</t>
  </si>
  <si>
    <t xml:space="preserve">Ошибка дублирования номера последовательности USB в ходе операции Чтение Исходных Данных (Read Initial Info).</t>
  </si>
  <si>
    <t xml:space="preserve">5PUS300</t>
  </si>
  <si>
    <t xml:space="preserve">Ошибка длины данных команды USB  в ходе операции Чтение Исходных Данных (Read Initial Info).</t>
  </si>
  <si>
    <t xml:space="preserve">5Q0G100</t>
  </si>
  <si>
    <t xml:space="preserve">Не удалось переключить 3-х направленный Затвор Тракта в режим 0-го градуса в ходе операции Удержание из CSM + TE (Retract CSM + TE).</t>
  </si>
  <si>
    <t xml:space="preserve">5Q0G200</t>
  </si>
  <si>
    <t xml:space="preserve">Не удалось переключить 3-х направленный Затвор Тракта в 120 градусный режим в ходе операции Удержание из CSM + TE (Retract CSM + TE).</t>
  </si>
  <si>
    <t xml:space="preserve">5Q0K100</t>
  </si>
  <si>
    <t xml:space="preserve">Ошибка дублирования серийного номера в ходе операции Удержание из CSM + TE (Retract CSM + TE)..</t>
  </si>
  <si>
    <t xml:space="preserve">5Q0K200</t>
  </si>
  <si>
    <t xml:space="preserve">Переполненная Вспомогательная кассета UTC1 и UTC2 в ходе операции Удержание из CSM + TE (Retract CSM + TE).</t>
  </si>
  <si>
    <t xml:space="preserve">5Q0NA00</t>
  </si>
  <si>
    <t xml:space="preserve">Ошибка контрольной суммы при разделении банкнот Модуля временного хранения_TE в ходе операции Удержание из CSM + TE (Retract CSM + TE).</t>
  </si>
  <si>
    <t xml:space="preserve">5Q0NK00</t>
  </si>
  <si>
    <t xml:space="preserve">Ошибка No gate for insertion в ходе операции Удержание из CSM + TE (Retract CSM + TE).</t>
  </si>
  <si>
    <t xml:space="preserve">5Q0Q100</t>
  </si>
  <si>
    <t xml:space="preserve">Ошибка установки Вспомогательной Кассеты UTC в ходе операции Удержание из CSM + TE (Retract CSM + TE).</t>
  </si>
  <si>
    <t xml:space="preserve">5Q0Q200</t>
  </si>
  <si>
    <t xml:space="preserve">Ошибка открытого Модуля временного хранения (TE) в ходе операции Удержание из CSM + TE (Retract CSM + TE).</t>
  </si>
  <si>
    <t xml:space="preserve">5Q0Q300</t>
  </si>
  <si>
    <t xml:space="preserve">Ошибка концевого переключателя BMU в ходе операции Удержание из CSM + TE (Retract CSM + TE).</t>
  </si>
  <si>
    <t xml:space="preserve">5Q0Q400</t>
  </si>
  <si>
    <t xml:space="preserve">Ошибка установки BMU в ходе операции Удержание из CSM + TE (Retract CSM + TE).</t>
  </si>
  <si>
    <t xml:space="preserve">5Q0Q500</t>
  </si>
  <si>
    <t xml:space="preserve">Сейфовая дверь открыта в ходе операции Удержание из CSM + TE (Retract CSM + TE).</t>
  </si>
  <si>
    <t xml:space="preserve">5Q0Q600</t>
  </si>
  <si>
    <t xml:space="preserve">Ошибка открытия CSM в ходе операции Удержание из CSM + TE (Retract CSM + TE).</t>
  </si>
  <si>
    <t xml:space="preserve">5Q0Q700</t>
  </si>
  <si>
    <t xml:space="preserve">Ошибка вынутой Кассеты Отбраковки RJC в ходе операции Удержание из CSM + TE (Retract CSM + TE).</t>
  </si>
  <si>
    <t xml:space="preserve">5Q0Q800</t>
  </si>
  <si>
    <t xml:space="preserve">Ошибка концевого переключателя BMD в ходе операции Удержание из CSM + TE (Retract CSM + TE).</t>
  </si>
  <si>
    <t xml:space="preserve">5Q0Q900</t>
  </si>
  <si>
    <t xml:space="preserve">Ошибка положения BMD в ходе операции Удержание из CSM + TE (Retract CSM + TE).</t>
  </si>
  <si>
    <t xml:space="preserve">5Q0QA00</t>
  </si>
  <si>
    <t xml:space="preserve">Ошибка открытия BC в ходе операции Удержание из CSM + TE (Retract CSM + TE).</t>
  </si>
  <si>
    <t xml:space="preserve">5Q0R100</t>
  </si>
  <si>
    <t xml:space="preserve">BM вернул ошибку таймаута сообщения в ходе готовности к операции Удержание из CSM + TE (Retract CSM + TE).</t>
  </si>
  <si>
    <t xml:space="preserve">5Q0R300</t>
  </si>
  <si>
    <t xml:space="preserve">BM вернул ошибку таймаута сообщения в ходе постпроцессинга ошибки операции Удержание из CSM + TE (Retract CSM + TE Error).</t>
  </si>
  <si>
    <t xml:space="preserve">5Q1G100</t>
  </si>
  <si>
    <t xml:space="preserve">Не удалось вернуть банкноты в Кассету Рециркуляции RC1 в ходе операции Удержание из CSM + TE (Retract CSM + TE).</t>
  </si>
  <si>
    <t xml:space="preserve">5Q1G200</t>
  </si>
  <si>
    <t xml:space="preserve">Не удалось переместить Прижимную Пластину Кассеты Рециркуляции RC1 в укладывающее положение в ходе операции Удержание из CSM + TE (Retract CSM + TE).</t>
  </si>
  <si>
    <t xml:space="preserve">5Q1G400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</si>
  <si>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Удержание из CSM + TE (Retract CSM + TE).</t>
  </si>
  <si>
    <t xml:space="preserve">5Q1G500</t>
  </si>
  <si>
    <t xml:space="preserve">Сбой обратного хода укладывающего ролика Кассеты Рециркуляции RC1 в ходе операции Удержание из CSM + TE (Retract CSM + TE).(ошибка датчика)</t>
  </si>
  <si>
    <t xml:space="preserve">5Q1G600</t>
  </si>
  <si>
    <t xml:space="preserve">Превышен предел количества попыток перемещений укладывающего ролика Кассеты Рециркуляции RC1 в ходе операции Удержание из CSM + TE (Retract CSM + TE).</t>
  </si>
  <si>
    <t xml:space="preserve">5Q1G800</t>
  </si>
  <si>
    <t xml:space="preserve">Не удалось переместить Прижимную Пластину в прижимающее положение Кассеты Рециркуляции RC1 в ходе операции Удержание из CSM + TE (Retract CSM + TE).</t>
  </si>
  <si>
    <t xml:space="preserve">5Q1GA00</t>
  </si>
  <si>
    <t xml:space="preserve">Ошибка неправильного потока сообщений Кассеты Рециркуляции RC1 в ходе операции Удержание из CSM + TE (Retract CSM + TE).</t>
  </si>
  <si>
    <t xml:space="preserve">5Q1GB00</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</si>
  <si>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Удержание из CSM + TE (Retract CSM + TE).</t>
  </si>
  <si>
    <t xml:space="preserve">5Q1GC00</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</si>
  <si>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Удержание из CSM + TE (Retract CSM + TE).</t>
  </si>
  <si>
    <t xml:space="preserve">5Q1GG00</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</si>
  <si>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Удержание из CSM + TE (Retract CSM + TE).</t>
  </si>
  <si>
    <t xml:space="preserve">5Q1GH00</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</si>
  <si>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Удержание из CSM + TE (Retract CSM + TE).</t>
  </si>
  <si>
    <t xml:space="preserve">5Q1GJ00</t>
  </si>
  <si>
    <t xml:space="preserve">Сбой обратного хода укладывающего ролика Кассеты Рециркуляции RC1 в ходе операции Удержание из CSM + TE (Retract CSM + TE).(Перерасход)</t>
  </si>
  <si>
    <t xml:space="preserve">5Q1GK00</t>
  </si>
  <si>
    <t xml:space="preserve">Сбой обратного хода укладывающего ролика Кассеты Рециркуляции RC1 в ходе операции Удержание из CSM + TE (Retract CSM + TE). (Ошибка состояния двигателя)</t>
  </si>
  <si>
    <t xml:space="preserve">5Q1GL00</t>
  </si>
  <si>
    <t xml:space="preserve">Не удалось переместить подающий ролик Кассеты Рециркуляции RC1 в исходное положение в ходе операции Удержание из CSM + TE (Retract CSM + TE).(Ошибка состояния двигателя)</t>
  </si>
  <si>
    <t xml:space="preserve">5Q1J300</t>
  </si>
  <si>
    <t xml:space="preserve">Ошибка проверки переполнения Кассеты Рециркуляции RC1 в ходе операции Удержание из CSM + TE (Retract CSM + TE).</t>
  </si>
  <si>
    <t xml:space="preserve">5Q1R100</t>
  </si>
  <si>
    <t xml:space="preserve">5Q1R300</t>
  </si>
  <si>
    <t xml:space="preserve">Ошибка тайм-аута сообщения Кассеты Рециркуляции RC1 в ходе постпроцессинга ошибки операции Удержание из CSM + TE (Retract CSM + TE Error).</t>
  </si>
  <si>
    <t xml:space="preserve">5Q1S100</t>
  </si>
  <si>
    <t xml:space="preserve">Возвращено неизвестное значение Кассеты Рециркуляции RC1 в ходе операции Удержание из CSM + TE (Retract CSM + TE).</t>
  </si>
  <si>
    <t xml:space="preserve">5Q1S200</t>
  </si>
  <si>
    <t xml:space="preserve">Неизвестная команда RC1 в ходе операции Удержание из CSM + TE (Retract CSM + TE).</t>
  </si>
  <si>
    <t xml:space="preserve">5Q2G100</t>
  </si>
  <si>
    <t xml:space="preserve">Не удалось вернуть банкноты в Кассету Рециркуляции RC2 в ходе операции Удержание из CSM + TE (Retract CSM + TE).</t>
  </si>
  <si>
    <t xml:space="preserve">5Q2G200</t>
  </si>
  <si>
    <t xml:space="preserve">5Q2G400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</si>
  <si>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Удержание из CSM + TE (Retract CSM + TE).</t>
  </si>
  <si>
    <t xml:space="preserve">5Q2G500</t>
  </si>
  <si>
    <t xml:space="preserve">Сбой обратного хода укладывающего ролика Кассеты Рециркуляции RC2 в ходе операции Удержание из CSM + TE (Retract CSM + TE).(ошибка датчика)</t>
  </si>
  <si>
    <t xml:space="preserve">5Q2G600</t>
  </si>
  <si>
    <t xml:space="preserve">Превышен предел количества попыток перемещений укладывающего ролика Кассеты Рециркуляции RC2 в ходе операции Удержание из CSM + TE (Retract CSM + TE).</t>
  </si>
  <si>
    <t xml:space="preserve">5Q2G800</t>
  </si>
  <si>
    <t xml:space="preserve">Не удалось переместить Прижимную Пластину в прижимающее положение Кассеты Рециркуляции RC2 в ходе операции Удержание из CSM + TE (Retract CSM + TE).</t>
  </si>
  <si>
    <t xml:space="preserve">5Q2GA00</t>
  </si>
  <si>
    <t xml:space="preserve">Ошибка неправильного потока сообщений Кассеты Рециркуляции RC2 в ходе операции Удержание из CSM + TE (Retract CSM + TE).</t>
  </si>
  <si>
    <t xml:space="preserve">5Q2GB00</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</si>
  <si>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Удержание из CSM + TE (Retract CSM + TE).</t>
  </si>
  <si>
    <t xml:space="preserve">5Q2GC00</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</si>
  <si>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Удержание из CSM + TE (Retract CSM + TE).</t>
  </si>
  <si>
    <t xml:space="preserve">5Q2GG00</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</si>
  <si>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Удержание из CSM + TE (Retract CSM + TE).</t>
  </si>
  <si>
    <t xml:space="preserve">5Q2GH00</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</si>
  <si>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Удержание из CSM + TE (Retract CSM + TE).</t>
  </si>
  <si>
    <t xml:space="preserve">5Q2GJ00</t>
  </si>
  <si>
    <t xml:space="preserve">Сбой обратного хода укладывающего ролика Кассеты Рециркуляции RC2 в ходе операции Удержание из CSM + TE (Retract CSM + TE).(Перерасход)</t>
  </si>
  <si>
    <t xml:space="preserve">5Q2GK00</t>
  </si>
  <si>
    <t xml:space="preserve">Сбой обратного хода укладывающего ролика Кассеты Рециркуляции RC2 в ходе операции Удержание из CSM + TE (Retract CSM + TE). (Ошибка состояния двигателя)</t>
  </si>
  <si>
    <t xml:space="preserve">5Q2GL00</t>
  </si>
  <si>
    <t xml:space="preserve">Не удалось переместить подающий ролик Кассеты Рециркуляции RC2 в исходное положение в ходе операции Удержание из CSM + TE (Retract CSM + TE).(Ошибка состояния двигателя)</t>
  </si>
  <si>
    <t xml:space="preserve">5Q2J300</t>
  </si>
  <si>
    <t xml:space="preserve">Ошибка проверки переполнения Кассеты Рециркуляции RC2 в ходе операции Удержание из CSM + TE (Retract CSM + TE).</t>
  </si>
  <si>
    <t xml:space="preserve">5Q2R100</t>
  </si>
  <si>
    <t xml:space="preserve">Ошибка тайм-аута сообщения Кассеты Рециркуляции RC2 в ходе готовности к операции Удержание из CSM + TE (Retract CSM + TE).</t>
  </si>
  <si>
    <t xml:space="preserve">5Q2R300</t>
  </si>
  <si>
    <t xml:space="preserve">Ошибка тайм-аута сообщения Кассеты Рециркуляции RC2 в ходе постпроцессинга ошибки операции Удержание из CSM + TE (Retract CSM + TE Error).</t>
  </si>
  <si>
    <t xml:space="preserve">5Q2S100</t>
  </si>
  <si>
    <t xml:space="preserve">Возвращено неизвестное значение Кассеты Рециркуляции RC2 в ходе операции Удержание из CSM + TE (Retract CSM + TE).</t>
  </si>
  <si>
    <t xml:space="preserve">5Q2S200</t>
  </si>
  <si>
    <t xml:space="preserve">Неизвестная команда RC2 в ходе операции Удержание из CSM + TE (Retract CSM + TE).</t>
  </si>
  <si>
    <t xml:space="preserve">5Q3G100</t>
  </si>
  <si>
    <t xml:space="preserve">Не удалось вернуть банкноты из Кассеты Рециркуляции RC3 в ходе операции Удержание из CSM + TE (Retract CSM + TE).</t>
  </si>
  <si>
    <t xml:space="preserve">5Q3G200</t>
  </si>
  <si>
    <t xml:space="preserve">Не удалось переместить Прижимную Пластину Кассеты Рециркуляции RC3 в укладывающее положение в ходе операции Удержание из CSM + TE (Retract CSM + TE).</t>
  </si>
  <si>
    <t xml:space="preserve">5Q3G400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</si>
  <si>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Удержание из CSM + TE (Retract CSM + TE).</t>
  </si>
  <si>
    <t xml:space="preserve">5Q3G500</t>
  </si>
  <si>
    <t xml:space="preserve">Сбой обратного хода укладывающего ролика Кассеты Рециркуляции RC3 в ходе операции Удержание из CSM + TE (Retract CSM + TE).(ошибка датчика)</t>
  </si>
  <si>
    <t xml:space="preserve">5Q3G600</t>
  </si>
  <si>
    <t xml:space="preserve">Превышен предел количества попыток перемещений укладывающего ролика Кассеты Рециркуляции RC3 в ходе операции Удержание из CSM + TE (Retract CSM + TE).</t>
  </si>
  <si>
    <t xml:space="preserve">5Q3G800</t>
  </si>
  <si>
    <t xml:space="preserve">Не удалось переместить Прижимную Пластину в прижимающее положение Кассеты Рециркуляции RC3 в ходе операции Удержание из CSM + TE (Retract CSM + TE).</t>
  </si>
  <si>
    <t xml:space="preserve">5Q3GA00</t>
  </si>
  <si>
    <t xml:space="preserve">Ошибка неправильного потока сообщений Кассеты Рециркуляции RC3 в ходе операции Удержание из CSM + TE (Retract CSM + TE).</t>
  </si>
  <si>
    <t xml:space="preserve">5Q3GB00</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</si>
  <si>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Удержание из CSM + TE (Retract CSM + TE).</t>
  </si>
  <si>
    <t xml:space="preserve">5Q3GC00</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</si>
  <si>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Удержание из CSM + TE (Retract CSM + TE).</t>
  </si>
  <si>
    <t xml:space="preserve">5Q3GG00</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</si>
  <si>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Удержание из CSM + TE (Retract CSM + TE).</t>
  </si>
  <si>
    <t xml:space="preserve">5Q3GH00</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</si>
  <si>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Удержание из CSM + TE (Retract CSM + TE).</t>
  </si>
  <si>
    <t xml:space="preserve">5Q3GJ00</t>
  </si>
  <si>
    <t xml:space="preserve">Сбой обратного хода укладывающего ролика Кассеты Рециркуляции RC3 в ходе операции Удержание из CSM + TE (Retract CSM + TE).(Перерасход)</t>
  </si>
  <si>
    <t xml:space="preserve">5Q3GK00</t>
  </si>
  <si>
    <t xml:space="preserve">Сбой обратного хода укладывающего ролика Кассеты Рециркуляции RC3 в ходе операции Удержание из CSM + TE (Retract CSM + TE). (Ошибка состояния двигателя)</t>
  </si>
  <si>
    <t xml:space="preserve">5Q3GL00</t>
  </si>
  <si>
    <t xml:space="preserve">Не удалось переместить подающий ролик Кассеты Рециркуляции RC3 в исходное положение в ходе операции Удержание из CSM + TE (Retract CSM + TE).(Ошибка состояния двигателя)</t>
  </si>
  <si>
    <t xml:space="preserve">5Q3J300</t>
  </si>
  <si>
    <t xml:space="preserve">Ошибка проверки переполнения Кассеты Рециркуляции RC3 в ходе операции Удержание из CSM + TE (Retract CSM + TE).</t>
  </si>
  <si>
    <t xml:space="preserve">5Q3R100</t>
  </si>
  <si>
    <t xml:space="preserve">Ошибка тайм-аута сообщения Кассеты Рециркуляции RC3 в ходе готовности к операции Удержание из CSM + TE (Retract CSM + TE).</t>
  </si>
  <si>
    <t xml:space="preserve">5Q3R300</t>
  </si>
  <si>
    <t xml:space="preserve">Ошибка тайм-аута сообщения Кассеты Рециркуляции RC3 в ходе постпроцессинга ошибки операции Удержание из CSM + TE (Retract CSM + TE Error).</t>
  </si>
  <si>
    <t xml:space="preserve">5Q3S100</t>
  </si>
  <si>
    <t xml:space="preserve">Возвращено неизвестное значение Кассеты Рециркуляции RC3 в ходе операции Удержание из CSM + TE (Retract CSM + TE).</t>
  </si>
  <si>
    <t xml:space="preserve">5Q3S200</t>
  </si>
  <si>
    <t xml:space="preserve">Неизвестная команда RC3 в ходе операции Удержание из CSM + TE (Retract CSM + TE).</t>
  </si>
  <si>
    <t xml:space="preserve">5Q4G100</t>
  </si>
  <si>
    <t xml:space="preserve">Не удалось вернуть банкноты в Кассету Рециркуляции RC4 в ходе операции Удержание из CSM + TE (Retract CSM + TE).</t>
  </si>
  <si>
    <t xml:space="preserve">5Q4G200</t>
  </si>
  <si>
    <t xml:space="preserve">Не удалось переместить Прижимную Пластину Кассеты Рециркуляции RC4 в укладывающее положение в ходе операции Удержание из CSM + TE (Retract CSM + TE).</t>
  </si>
  <si>
    <t xml:space="preserve">5Q4G400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</si>
  <si>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Удержание из CSM + TE (Retract CSM + TE).</t>
  </si>
  <si>
    <t xml:space="preserve">5Q4G500</t>
  </si>
  <si>
    <t xml:space="preserve">Сбой обратного хода укладывающего ролика Кассеты Рециркуляции RC4 в ходе операции Удержание из CSM + TE (Retract CSM + TE).(ошибка датчика)</t>
  </si>
  <si>
    <t xml:space="preserve">5Q4G600</t>
  </si>
  <si>
    <t xml:space="preserve">Превышен предел количества попыток перемещений укладывающего ролика Кассеты Рециркуляции RC4 в ходе операции Удержание из CSM + TE (Retract CSM + TE).</t>
  </si>
  <si>
    <t xml:space="preserve">5Q4G800</t>
  </si>
  <si>
    <t xml:space="preserve">Не удалось переместить Прижимную Пластину в прижимающее положение Кассеты Рециркуляции RC4 в ходе операции Удержание из CSM + TE (Retract CSM + TE).</t>
  </si>
  <si>
    <t xml:space="preserve">5Q4GA00</t>
  </si>
  <si>
    <t xml:space="preserve">Ошибка неправильного потока сообщений Кассеты Рециркуляции RC4 в ходе операции Удержание из CSM + TE (Retract CSM + TE).</t>
  </si>
  <si>
    <t xml:space="preserve">5Q4GB00</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</si>
  <si>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Удержание из CSM + TE (Retract CSM + TE).</t>
  </si>
  <si>
    <t xml:space="preserve">5Q4GC00</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</si>
  <si>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Удержание из CSM + TE (Retract CSM + TE).</t>
  </si>
  <si>
    <t xml:space="preserve">5Q4GG00</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</si>
  <si>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Удержание из CSM + TE (Retract CSM + TE).</t>
  </si>
  <si>
    <t xml:space="preserve">5Q4GH00</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</si>
  <si>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Удержание из CSM + TE (Retract CSM + TE).</t>
  </si>
  <si>
    <t xml:space="preserve">5Q4GJ00</t>
  </si>
  <si>
    <t xml:space="preserve">Сбой обратного хода укладывающего ролика Кассеты Рециркуляции RC4 в ходе операции Удержание из CSM + TE (Retract CSM + TE).(Перерасход)</t>
  </si>
  <si>
    <t xml:space="preserve">5Q4GK00</t>
  </si>
  <si>
    <t xml:space="preserve">Сбой обратного хода укладывающего ролика Кассеты Рециркуляции RC4 в ходе операции Удержание из CSM + TE (Retract CSM + TE). (Ошибка состояния двигателя)</t>
  </si>
  <si>
    <t xml:space="preserve">5Q4GL00</t>
  </si>
  <si>
    <t xml:space="preserve">Не удалось переместить подающий ролик Кассеты Рециркуляции RC4 в исходное положение в ходе операции Удержание из CSM + TE (Retract CSM + TE).(Ошибка состояния двигателя)</t>
  </si>
  <si>
    <t xml:space="preserve">5Q4J300</t>
  </si>
  <si>
    <t xml:space="preserve">Ошибка проверки переполнения Кассеты Рециркуляции RC4 в ходе операции Удержание из CSM + TE (Retract CSM + TE).</t>
  </si>
  <si>
    <t xml:space="preserve">5Q4R100</t>
  </si>
  <si>
    <t xml:space="preserve">5Q4R300</t>
  </si>
  <si>
    <t xml:space="preserve">Ошибка тайм-аута сообщения Кассеты Рециркуляции RC4 при обработке ошибки в ходе операции Удержание из CSM + TE (Retract CSM + TE).</t>
  </si>
  <si>
    <t xml:space="preserve">5Q4S100</t>
  </si>
  <si>
    <t xml:space="preserve">Возвращено неизвестное значение Кассеты Рециркуляции RC4 в ходе операции Удержание из CSM + TE (Retract CSM + TE).</t>
  </si>
  <si>
    <t xml:space="preserve">5Q4S200</t>
  </si>
  <si>
    <t xml:space="preserve">Неизвестная команда RC4 в ходе операции Удержание из CSM + TE (Retract CSM + TE).</t>
  </si>
  <si>
    <t xml:space="preserve">5Q5G100</t>
  </si>
  <si>
    <t xml:space="preserve">Не удалось вернуть банкноты в Кассету Рециркуляции RC5 в ходе операции Удержание из CSM + TE (Retract CSM + TE).</t>
  </si>
  <si>
    <t xml:space="preserve">5Q5G200</t>
  </si>
  <si>
    <t xml:space="preserve">Не удалось переместить Прижимную Пластину Кассеты Рециркуляции RC5 в укладывающее положение в ходе операции Удержание из CSM + TE (Retract CSM + TE).</t>
  </si>
  <si>
    <t xml:space="preserve">5Q5G400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</si>
  <si>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Удержание из CSM + TE (Retract CSM + TE).</t>
  </si>
  <si>
    <t xml:space="preserve">5Q5G500</t>
  </si>
  <si>
    <t xml:space="preserve">Сбой обратного хода укладывающего ролика Кассеты Рециркуляции RC5 в ходе операции Удержание из CSM + TE (Retract CSM + TE).(ошибка датчика)</t>
  </si>
  <si>
    <t xml:space="preserve">5Q5G600</t>
  </si>
  <si>
    <t xml:space="preserve">Превышен предел количества попыток перемещений укладывающего ролика Кассеты Рециркуляции RC5 в ходе операции Удержание из CSM + TE (Retract CSM + TE).</t>
  </si>
  <si>
    <t xml:space="preserve">5Q5G800</t>
  </si>
  <si>
    <t xml:space="preserve">Не удалось переместить Прижимную Пластину в прижимающее положение Кассеты Рециркуляции RC5 в ходе операции Удержание из CSM + TE (Retract CSM + TE).</t>
  </si>
  <si>
    <t xml:space="preserve">5Q5GA00</t>
  </si>
  <si>
    <t xml:space="preserve">Ошибка неправильного потока сообщений Кассеты Рециркуляции RC5 в ходе операции Удержание из CSM + TE (Retract CSM + TE).</t>
  </si>
  <si>
    <t xml:space="preserve">5Q5GB00</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</si>
  <si>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Удержание из CSM + TE (Retract CSM + TE).</t>
  </si>
  <si>
    <t xml:space="preserve">5Q5GC00</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</si>
  <si>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Удержание из CSM + TE (Retract CSM + TE).</t>
  </si>
  <si>
    <t xml:space="preserve">5Q5GG00</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</si>
  <si>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Удержание из CSM + TE (Retract CSM + TE).</t>
  </si>
  <si>
    <t xml:space="preserve">5Q5GH00</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</si>
  <si>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Удержание из CSM + TE (Retract CSM + TE).</t>
  </si>
  <si>
    <t xml:space="preserve">5Q5GJ00</t>
  </si>
  <si>
    <t xml:space="preserve">Сбой обратного хода укладывающего ролика Кассеты Рециркуляции RC5 в ходе операции Удержание из CSM + TE (Retract CSM + TE).(Перерасход)</t>
  </si>
  <si>
    <t xml:space="preserve">5Q5GK00</t>
  </si>
  <si>
    <t xml:space="preserve">Сбой обратного хода укладывающего ролика Кассеты Рециркуляции RC5 в ходе операции Удержание из CSM + TE (Retract CSM + TE). (Ошибка состояния двигателя)</t>
  </si>
  <si>
    <t xml:space="preserve">5Q5GL00</t>
  </si>
  <si>
    <t xml:space="preserve">Не удалось переместить подающий ролик Кассеты Рециркуляции RC5 в исходное положение в ходе операции Удержание из CSM + TE (Retract CSM + TE).(Ошибка состояния двигателя)</t>
  </si>
  <si>
    <t xml:space="preserve">5Q5J300</t>
  </si>
  <si>
    <t xml:space="preserve">Ошибка проверки переполнения Кассеты Рециркуляции RC5 в ходе операции Удержание из CSM + TE (Retract CSM + TE).</t>
  </si>
  <si>
    <t xml:space="preserve">5Q5R100</t>
  </si>
  <si>
    <t xml:space="preserve">Ошибка тайм-аута сообщения Кассеты Рециркуляции RC5 в ходе готовности к операции Удержание из CSM + TE (Retract CSM + TE).</t>
  </si>
  <si>
    <t xml:space="preserve">5Q5R300</t>
  </si>
  <si>
    <t xml:space="preserve">Ошибка тайм-аута сообщения Кассеты Рециркуляции RC5 в ходе постпроцессинга ошибки операции Удержание из CSM + TE (Retract CSM + TE Error).</t>
  </si>
  <si>
    <t xml:space="preserve">5Q5S100</t>
  </si>
  <si>
    <t xml:space="preserve">Неопределенные возвратные значения Кассеты Рециркуляции RC5 в ходе операции Удержание из CSM + TE (Retract CSM + TE).</t>
  </si>
  <si>
    <t xml:space="preserve">5Q5S200</t>
  </si>
  <si>
    <t xml:space="preserve">Неизвестная команда RC5 в ходе операции Удержание из CSM + TE (Retract CSM + TE).</t>
  </si>
  <si>
    <t xml:space="preserve">5Q6G100</t>
  </si>
  <si>
    <t xml:space="preserve">Ошибка перемещения Задней прижимной пластины BP в положение для укладывания банкнот в пачку в ходе операции Удержание из CSM + TE (Retract CSM + TE).</t>
  </si>
  <si>
    <t xml:space="preserve">5Q6G200</t>
  </si>
  <si>
    <t xml:space="preserve">Ошибка выдачи банкнот Задней прижимной пластины BP в ходе операции Удержание из CSM + TE (Retract CSM + TE).</t>
  </si>
  <si>
    <t xml:space="preserve">5Q6G300</t>
  </si>
  <si>
    <t xml:space="preserve">Ошибка перемещения Задней прижимной пластины BP в положение для разделения банкнот в ходе операции Удержание из CSM + TE (Retract CSM + TE).</t>
  </si>
  <si>
    <t xml:space="preserve">5Q6G500</t>
  </si>
  <si>
    <t xml:space="preserve">Ошибка положения Задней прижимной пластины BP при выдаче банкнот в ходе операции Удержание из CSM + TE (Retract CSM + TE).</t>
  </si>
  <si>
    <t xml:space="preserve">5Q6GD00</t>
  </si>
  <si>
    <t xml:space="preserve">Не удалось выполнить Поднимание (Lift-up) в ходе операции Удержание из CSM + TE (Retract CSM + TE).</t>
  </si>
  <si>
    <t xml:space="preserve">5Q6GE00</t>
  </si>
  <si>
    <t xml:space="preserve">Не удалось выполнить Опускание (Lift-down) в ходе операции Удержание из CSM + TE (Retract CSM + TE).</t>
  </si>
  <si>
    <t xml:space="preserve">5Q6GF00</t>
  </si>
  <si>
    <t xml:space="preserve">Не удалось переместить ролик затвора в исходное положение в ходе операции Удержание из CSM + TE (Retract CSM + TE).</t>
  </si>
  <si>
    <t xml:space="preserve">5Q6M100</t>
  </si>
  <si>
    <t xml:space="preserve">Ошибка инициализации ограничителя в ходе операции Удержание из CSM + TE (Retract CSM + TE).</t>
  </si>
  <si>
    <t xml:space="preserve">5Q6M300</t>
  </si>
  <si>
    <t xml:space="preserve">Ошибка закрытия Шаттера в ходе операции Удержание из CSM + TE (Retract CSM + TE).</t>
  </si>
  <si>
    <t xml:space="preserve">5Q6M400</t>
  </si>
  <si>
    <t xml:space="preserve">Ошибка опускания ограничителя в ходе операции Удержание из CSM + TE (Retract CSM + TE).</t>
  </si>
  <si>
    <t xml:space="preserve">5Q6M500</t>
  </si>
  <si>
    <t xml:space="preserve">Ошибка поднятия ограничителя в ходе операции Удержание из CSM + TE (Retract CSM + TE).</t>
  </si>
  <si>
    <t xml:space="preserve">5Q6M600</t>
  </si>
  <si>
    <t xml:space="preserve">Ошибка закрытия шаттера при инициализации ограничителя в ходе операции Удержание из CSM + TE (Retract CSM + TE).</t>
  </si>
  <si>
    <t xml:space="preserve">5Q6P100</t>
  </si>
  <si>
    <t xml:space="preserve">Ошибка перемещения Прижимной Пластины PP в положение Выдача (укладка) в ходе операции Удержание из CSM + TE (Retract CSM + TE).</t>
  </si>
  <si>
    <t xml:space="preserve">5Q6P200</t>
  </si>
  <si>
    <t xml:space="preserve">Ошибка перемещения Прижимной Пластины в положение депозита в ходе операции Удержание из CSM + TE (Retract CSM + TE).</t>
  </si>
  <si>
    <t xml:space="preserve">5Q6P300</t>
  </si>
  <si>
    <t xml:space="preserve">Ошибка перемещения Прижимной Пластины PP в положение разделения в ходе операции Удержание из CSM + TE (Retract CSM + TE).</t>
  </si>
  <si>
    <t xml:space="preserve">5Q6P400</t>
  </si>
  <si>
    <t xml:space="preserve">Ошибка перемещения Прижимной Пластины PP в положение lose return в ходе операции Удержание из CSM + TE (Retract CSM + TE).</t>
  </si>
  <si>
    <t xml:space="preserve">5Q6P500</t>
  </si>
  <si>
    <t xml:space="preserve">Ошибка перемещения Прижимной Пластины PP в положение выдачи банкнот в ходе операции Удержание из CSM + TE (Retract CSM + TE).</t>
  </si>
  <si>
    <t xml:space="preserve">5Q6P600</t>
  </si>
  <si>
    <t xml:space="preserve">Ошибка выравнивания банкнот Прижимной Пластины PP в ходе операции Удержание из CSM + TE (Retract CSM + TE).</t>
  </si>
  <si>
    <t xml:space="preserve">5Q6P700</t>
  </si>
  <si>
    <t xml:space="preserve">Ошибка контроля разделения (во время сепарации) Прижимной Пластины PP в ходе операции Удержание из CSM + TE (Retract CSM + TE).</t>
  </si>
  <si>
    <t xml:space="preserve">5Q6P800</t>
  </si>
  <si>
    <t xml:space="preserve">Ошибка контроля укладки (во время укладывания) Прижимной Пластины PP в ходе операции Удержание из CSM + TE (Retract CSM + TE).</t>
  </si>
  <si>
    <t xml:space="preserve">5Q6P900</t>
  </si>
  <si>
    <t xml:space="preserve">Ошибка возврата банкнот в ходе операции Удержание из CSM + TE (Retract CSM + TE).</t>
  </si>
  <si>
    <t xml:space="preserve">5Q6R100</t>
  </si>
  <si>
    <t xml:space="preserve">Модуль обслуживания клиентов CSM вернул ошибку таймаута сообщения в ходе готовности к операции Удержание из CSM + TE (Retract CSM + TE).</t>
  </si>
  <si>
    <t xml:space="preserve">5Q6R300</t>
  </si>
  <si>
    <t xml:space="preserve">Модуль обслуживания клиентов CSM вернул ошибку таймаута сообщения в ходе постпроцессинга ошибки операции Удержание из CSM + TE (Retract CSM + TE Error).</t>
  </si>
  <si>
    <t xml:space="preserve">5Q7G100</t>
  </si>
  <si>
    <t xml:space="preserve">Нарушение работы двигателя в сторону укладки в ходе операции Удержание из CSM + TE (Retract CSM + TE).</t>
  </si>
  <si>
    <t xml:space="preserve">5Q7G200</t>
  </si>
  <si>
    <t xml:space="preserve">Нарушение работы двигателя в сторону разделения в ходе операции в ходе операции Удержание из CSM + TE (Retract CSM + TE).</t>
  </si>
  <si>
    <t xml:space="preserve">5Q7G300</t>
  </si>
  <si>
    <t xml:space="preserve">Нарушение остановки двигателя в ходе операции Удержание из CSM + TE (Retract CSM + TE).</t>
  </si>
  <si>
    <t xml:space="preserve">5Q7G400</t>
  </si>
  <si>
    <t xml:space="preserve">Не обнаружен передний конец ленты в ходе операции Удержание из CSM + TE (Retract CSM + TE).</t>
  </si>
  <si>
    <t xml:space="preserve">5Q7G500</t>
  </si>
  <si>
    <t xml:space="preserve">Обнаружен передний конец ленты в ходе операции Удержание из CSM + TE (Retract CSM + TE).</t>
  </si>
  <si>
    <t xml:space="preserve">5Q7G600</t>
  </si>
  <si>
    <t xml:space="preserve">Не обнаружен задний конец ленты в ходе операции Удержание из CSM + TE (Retract CSM + TE).</t>
  </si>
  <si>
    <t xml:space="preserve">5Q7G700</t>
  </si>
  <si>
    <t xml:space="preserve">Обнаружен задний конец ленты в ходе операции Удержание из CSM + TE (Retract CSM + TE).</t>
  </si>
  <si>
    <t xml:space="preserve">5Q7J100</t>
  </si>
  <si>
    <t xml:space="preserve">Полный барабан TE в ходе операции Удержание из CSM + TE (Retract CSM + TE).</t>
  </si>
  <si>
    <t xml:space="preserve">5Q7J200</t>
  </si>
  <si>
    <t xml:space="preserve">Пустой барабан TE в ходе операции Удержание из CSM + TE (Retract CSM + TE).</t>
  </si>
  <si>
    <t xml:space="preserve">5Q7R100</t>
  </si>
  <si>
    <t xml:space="preserve">Модуль временного хранения_TE вернул ошибку таймаута сообщения в ходе готовности к операции Удержание из CSM + TE (Retract CSM + TE).</t>
  </si>
  <si>
    <t xml:space="preserve">5Q7R300</t>
  </si>
  <si>
    <t xml:space="preserve">Модуль временного хранения_TE вернул ошибку таймаута сообщения в ходе постпроцессинга ошибки операции Удержание из CSM + TE (Retract CSM + TE Error).</t>
  </si>
  <si>
    <t xml:space="preserve">5Q8HA01</t>
  </si>
  <si>
    <t xml:space="preserve">Ошибка датчика GS801A в ходе операции Удержание из CSM + TE (Retract CSM + TE).</t>
  </si>
  <si>
    <t xml:space="preserve">5Q8HA02</t>
  </si>
  <si>
    <t xml:space="preserve">Ошибка датчика GS801B в ходе операции Удержание из CSM + TE (Retract CSM + TE).</t>
  </si>
  <si>
    <t xml:space="preserve">5Q8HA03</t>
  </si>
  <si>
    <t xml:space="preserve">Ошибка датчиков GS801A, GS801B в ходе операции Удержание из CSM + TE (Retract CSM + TE).</t>
  </si>
  <si>
    <t xml:space="preserve">5Q8HA04</t>
  </si>
  <si>
    <t xml:space="preserve">Ошибка датчика GS802A в ходе операции Удержание из CSM + TE (Retract CSM + TE).</t>
  </si>
  <si>
    <t xml:space="preserve">5Q8HA05</t>
  </si>
  <si>
    <t xml:space="preserve">Ошибка датчиков GS801A, GS802A в ходе операции Удержание из CSM + TE (Retract CSM + TE).</t>
  </si>
  <si>
    <t xml:space="preserve">5Q8HA06</t>
  </si>
  <si>
    <t xml:space="preserve">Ошибка датчиков GS801B, GS802A в ходе операции Удержание из CSM + TE (Retract CSM + TE).</t>
  </si>
  <si>
    <t xml:space="preserve">5Q8HA07</t>
  </si>
  <si>
    <t xml:space="preserve">Ошибка датчиков GS801A, GS801B, GS802A в ходе операции Удержание из CSM + TE (Retract CSM + TE).</t>
  </si>
  <si>
    <t xml:space="preserve">5Q8HA08</t>
  </si>
  <si>
    <t xml:space="preserve">Ошибка датчика GS802B в ходе операции Удержание из CSM + TE (Retract CSM + TE).</t>
  </si>
  <si>
    <t xml:space="preserve">5Q8HA09</t>
  </si>
  <si>
    <t xml:space="preserve">Ошибка датчиков GS801A, GS802B в ходе операции Удержание из CSM + TE (Retract CSM + TE).</t>
  </si>
  <si>
    <t xml:space="preserve">5Q8HA10</t>
  </si>
  <si>
    <t xml:space="preserve">Ошибка датчиков GS801B, GS802B в ходе операции Удержание из CSM + TE (Retract CSM + TE).</t>
  </si>
  <si>
    <t xml:space="preserve">5Q8HA11</t>
  </si>
  <si>
    <t xml:space="preserve">Ошибка датчиков GS801A, GS801B, GS802B в ходе операции Удержание из CSM + TE (Retract CSM + TE).</t>
  </si>
  <si>
    <t xml:space="preserve">5Q8HA12</t>
  </si>
  <si>
    <t xml:space="preserve">Ошибка датчиков GS802A, GS802B в ходе операции Удержание из CSM + TE (Retract CSM + TE).</t>
  </si>
  <si>
    <t xml:space="preserve">5Q8HA13</t>
  </si>
  <si>
    <t xml:space="preserve">Ошибка датчиков GS801A, GS802A, GS802B в ходе операции Удержание из CSM + TE (Retract CSM + TE).</t>
  </si>
  <si>
    <t xml:space="preserve">5Q8HA14</t>
  </si>
  <si>
    <t xml:space="preserve">Ошибка датчиков GS801B, GS802A, GS802B в ходе операции Удержание из CSM + TE (Retract CSM + TE).</t>
  </si>
  <si>
    <t xml:space="preserve">5Q8HA15</t>
  </si>
  <si>
    <t xml:space="preserve">Ошибка датчиков GS801A, GS801B, GS802A, GS802B в ходе операции Удержание из CSM + TE (Retract CSM + TE).</t>
  </si>
  <si>
    <t xml:space="preserve">5Q8HF03</t>
  </si>
  <si>
    <t xml:space="preserve">Ошибка загрузки данных шейдинга Контактного датчика изображения CIS в ходе операции Удержание из CSM + TE (Retract CSM + TE).</t>
  </si>
  <si>
    <t xml:space="preserve">5Q8HF04</t>
  </si>
  <si>
    <t xml:space="preserve">Ошибка загрузки таблицы БД распознавания в ходе операции Удержание из CSM + TE (Retract CSM + TE).</t>
  </si>
  <si>
    <t xml:space="preserve">5Q8HF05</t>
  </si>
  <si>
    <t xml:space="preserve">Ошибка контрольной суммы данных ПЛИС Модуля Валидатора банкнот BC в ходе операции Удержание из CSM + TE (Retract CSM + TE).</t>
  </si>
  <si>
    <t xml:space="preserve">5Q8HF06</t>
  </si>
  <si>
    <t xml:space="preserve">Ошибка конфигурации ПЛИС Модуля Валидатора банкнот BC в ходе операции Удержание из CSM + TE (Retract CSM + TE).</t>
  </si>
  <si>
    <t xml:space="preserve">5Q8HF07</t>
  </si>
  <si>
    <t xml:space="preserve">Ошибка загрузки данных заголовка ПЛИС Модуля Валидатора банкнот BC header в ходе операции Удержание из CSM + TE (Retract CSM + TE).</t>
  </si>
  <si>
    <t xml:space="preserve">5Q8HF08</t>
  </si>
  <si>
    <t xml:space="preserve">Ошибка инициализации ПЛИС в ходе операции Удержание из CSM + TE (Retract CSM + TE).</t>
  </si>
  <si>
    <t xml:space="preserve">5Q8HF09</t>
  </si>
  <si>
    <t xml:space="preserve">Ошибка чтения ПЛИС в ходе операции Удержание из CSM + TE (Retract CSM + TE).</t>
  </si>
  <si>
    <t xml:space="preserve">5Q8HF11</t>
  </si>
  <si>
    <t xml:space="preserve">Ошибка загрузки Базы Данных распознавания #01 в ходе операции Удержание из CSM + TE (Retract CSM + TE).</t>
  </si>
  <si>
    <t xml:space="preserve">5Q8HF12</t>
  </si>
  <si>
    <t xml:space="preserve">Ошибка загрузки Базы Данных распознавания #02 в ходе операции Удержание из CSM + TE (Retract CSM + TE).</t>
  </si>
  <si>
    <t xml:space="preserve">5Q8HF13</t>
  </si>
  <si>
    <t xml:space="preserve">Ошибка загрузки Базы Данных распознавания #03 в ходе операции Удержание из CSM + TE (Retract CSM + TE).</t>
  </si>
  <si>
    <t xml:space="preserve">5Q8HF14</t>
  </si>
  <si>
    <t xml:space="preserve">Ошибка загрузки Базы Данных распознавания #04 в ходе операции Удержание из CSM + TE (Retract CSM + TE).</t>
  </si>
  <si>
    <t xml:space="preserve">5Q8HF15</t>
  </si>
  <si>
    <t xml:space="preserve">Ошибка загрузки Базы Данных распознавания #05 в ходе операции Удержание из CSM + TE (Retract CSM + TE).</t>
  </si>
  <si>
    <t xml:space="preserve">5Q8HF16</t>
  </si>
  <si>
    <t xml:space="preserve">Ошибка загрузки Базы Данных распознавания #06 в ходе операции Удержание из CSM + TE (Retract CSM + TE).</t>
  </si>
  <si>
    <t xml:space="preserve">5Q8HF17</t>
  </si>
  <si>
    <t xml:space="preserve">Ошибка загрузки Базы Данных распознавания #07 в ходе операции Удержание из CSM + TE (Retract CSM + TE).</t>
  </si>
  <si>
    <t xml:space="preserve">5Q8HF18</t>
  </si>
  <si>
    <t xml:space="preserve">Ошибка загрузки Базы Данных распознавания #08 в ходе операции Удержание из CSM + TE (Retract CSM + TE).</t>
  </si>
  <si>
    <t xml:space="preserve">5Q8HF19</t>
  </si>
  <si>
    <t xml:space="preserve">Ошибка загрузки Базы Данных распознавания #09 в ходе операции Удержание из CSM + TE (Retract CSM + TE).</t>
  </si>
  <si>
    <t xml:space="preserve">5Q8HF20</t>
  </si>
  <si>
    <t xml:space="preserve">Ошибка загрузки Базы Данных распознавания #10 в ходе операции Удержание из CSM + TE (Retract CSM + TE).</t>
  </si>
  <si>
    <t xml:space="preserve">5Q8HG01</t>
  </si>
  <si>
    <t xml:space="preserve">Ошибка установки режима при выполнении команды BCU mode в ходе операции Удержание из CSM + TE (Retract CSM + TE).</t>
  </si>
  <si>
    <t xml:space="preserve">5Q8HG02</t>
  </si>
  <si>
    <t xml:space="preserve">Ошибка установленного уровня распознавания при выполнении команды BCU mode в ходе операции Удержание из CSM + TE (Retract CSM + TE).</t>
  </si>
  <si>
    <t xml:space="preserve">5Q8HG03</t>
  </si>
  <si>
    <t xml:space="preserve">Ошибка установки начала транзакции при выполнении команды BCU ready в ходе операции Удержание из CSM + TE (Retract CSM + TE).</t>
  </si>
  <si>
    <t xml:space="preserve">5Q8HG04</t>
  </si>
  <si>
    <t xml:space="preserve">Ошибка установки режима при выполнении команды BCU ready в ходе операции Удержание из CSM + TE (Retract CSM + TE).</t>
  </si>
  <si>
    <t xml:space="preserve">5Q8HG05</t>
  </si>
  <si>
    <t xml:space="preserve">Ошибка установленного уровня распознавания при выполнении команды BCU ready в ходе операции Удержание из CSM + TE (Retract CSM + TE).</t>
  </si>
  <si>
    <t xml:space="preserve">5Q8HG06</t>
  </si>
  <si>
    <t xml:space="preserve">Ошибка направления внесения Модуля Валидатора банкнот BC при выполнении команды BCU ready в ходе операции Удержание из CSM + TE (Retract CSM + TE).</t>
  </si>
  <si>
    <t xml:space="preserve">5Q8HG07</t>
  </si>
  <si>
    <t xml:space="preserve">Ошибка получения неопределенной команды Модуля Валидатора банкнот BCU в ходе операции Удержание из CSM + TE (Retract CSM + TE).</t>
  </si>
  <si>
    <t xml:space="preserve">5Q8HG08</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</si>
  <si>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Удержание из CSM + TE (Retract CSM + TE).</t>
  </si>
  <si>
    <t xml:space="preserve">5Q8HG09</t>
  </si>
  <si>
    <t xml:space="preserve">Ошибка настройки кода страны при выполнении команды записи данных в Модуль Валидатора банкнот BCUв ходе операции Удержание из CSM + TE (Retract CSM + TE).</t>
  </si>
  <si>
    <t xml:space="preserve">5Q8HG10</t>
  </si>
  <si>
    <t xml:space="preserve">Ошибка отсутствия БД распознавания для страны в процессе получения команды BCU data write в ходе операции Удержание из CSM + TE (Retract CSM + TE).</t>
  </si>
  <si>
    <t xml:space="preserve">5Q8HG11</t>
  </si>
  <si>
    <t xml:space="preserve">Не установлен код страны при получении команды BCU ready в ходе операции Удержание из CSM + TE (Retract CSM + TE).</t>
  </si>
  <si>
    <t xml:space="preserve">5Q8HG12</t>
  </si>
  <si>
    <t xml:space="preserve">Спецификация Модуля Валидатора банкнот BC отличается от параметра команды записи данных в ходе операции Удержание из CSM + TE (Retract CSM + TE).</t>
  </si>
  <si>
    <t xml:space="preserve">5Q8HG20</t>
  </si>
  <si>
    <t xml:space="preserve">Ошибка инициализации Контактного датчика изображения CIS при получении команды BCU ready в ходе операции Удержание из CSM + TE (Retract CSM + TE).</t>
  </si>
  <si>
    <t xml:space="preserve">5Q8HG21</t>
  </si>
  <si>
    <t xml:space="preserve">Ошибка включения при получении команды BCU ready в ходе операции Удержание из CSM + TE (Retract CSM + TE).</t>
  </si>
  <si>
    <t xml:space="preserve">5Q8HG22</t>
  </si>
  <si>
    <t xml:space="preserve">Ошибка инициализации датчика определения сдвоенных банкнот DD при получении команды BCU ready в ходе операции Удержание из CSM + TE (Retract CSM + TE).</t>
  </si>
  <si>
    <t xml:space="preserve">5Q8HG23</t>
  </si>
  <si>
    <t xml:space="preserve">Ошибка настройки ЦАП Датчика определения сдвоенных банкнот DD при получении команды BCU ready в ходе операции Удержание из CSM + TE (Retract CSM + TE).</t>
  </si>
  <si>
    <t xml:space="preserve">5Q8HG24</t>
  </si>
  <si>
    <t xml:space="preserve">Ошибка режима настройки энкодера при получении команды BCU ready в ходе операции Удержание из CSM + TE (Retract CSM + TE).</t>
  </si>
  <si>
    <t xml:space="preserve">5Q8HG36</t>
  </si>
  <si>
    <t xml:space="preserve">Ошибка режима распознавания при выполнении команды receiving BCU mode в ходе операции Удержание из CSM + TE (Retract CSM + TE).</t>
  </si>
  <si>
    <t xml:space="preserve">5Q8HG37</t>
  </si>
  <si>
    <t xml:space="preserve">Ошибка настроек транзакции при выполнении команды receiving BCU mode в ходе операции Удержание из CSM + TE (Retract CSM + TE).</t>
  </si>
  <si>
    <t xml:space="preserve">5Q8HI01</t>
  </si>
  <si>
    <t xml:space="preserve">Ошибка тайм-аута RecogTask Message в ходе операции Удержание из CSM + TE (Retract CSM + TE).</t>
  </si>
  <si>
    <t xml:space="preserve">5Q8HI02</t>
  </si>
  <si>
    <t xml:space="preserve">Ошибка тайм-аута ScanTask Message в ходе операции Удержание из CSM + TE (Retract CSM + TE).</t>
  </si>
  <si>
    <t xml:space="preserve">5Q8HI03</t>
  </si>
  <si>
    <t xml:space="preserve">Ошибка тайм-аута UartTask Message в ходе операции Удержание из CSM + TE (Retract CSM + TE).</t>
  </si>
  <si>
    <t xml:space="preserve">5Q8HI04</t>
  </si>
  <si>
    <t xml:space="preserve">Ошибка тайм-аута BcUsbTask Message в ходе операции Удержание из CSM + TE (Retract CSM + TE).</t>
  </si>
  <si>
    <t xml:space="preserve">5Q8HJ01</t>
  </si>
  <si>
    <t xml:space="preserve">Ошибка инициализации алгоритма распознавания в ходе операции Удержание из CSM + TE (Retract CSM + TE).</t>
  </si>
  <si>
    <t xml:space="preserve">5Q8HJ02</t>
  </si>
  <si>
    <t xml:space="preserve">Ошибка готовности Алгоритма Распознавания в ходе операции Удержание из CSM + TE (Retract CSM + TE).</t>
  </si>
  <si>
    <t xml:space="preserve">5Q8HJ03</t>
  </si>
  <si>
    <t xml:space="preserve">Ошибка алгоритма распознавания набора валют в ходе операции Удержание из CSM + TE (Retract CSM + TE).</t>
  </si>
  <si>
    <t xml:space="preserve">5Q8HS01</t>
  </si>
  <si>
    <t xml:space="preserve">Ошибка ПЛИС Write Scan Driver Init в ходе операции Удержание из CSM + TE (Retract CSM + TE).</t>
  </si>
  <si>
    <t xml:space="preserve">5Q8HS02</t>
  </si>
  <si>
    <t xml:space="preserve">Ошибка Sensor (MR/UV/DD/Gate) Power Off Scan Driver Init в ходе операции Удержание из CSM + TE (Retract CSM + TE).</t>
  </si>
  <si>
    <t xml:space="preserve">5Q8HS03</t>
  </si>
  <si>
    <t xml:space="preserve">Ошибка Контактного датчика изображения CIS Led On Value Set Fail Scan Driver Init в ходе операции Удержание из CSM + TE (Retract CSM + TE).</t>
  </si>
  <si>
    <t xml:space="preserve">5Q8HS04</t>
  </si>
  <si>
    <t xml:space="preserve">Ошибка Источника Света Set Fail Scan Driver Init в ходе операции Удержание из CSM + TE (Retract CSM + TE).</t>
  </si>
  <si>
    <t xml:space="preserve">5Q8HS05</t>
  </si>
  <si>
    <t xml:space="preserve">Ошибка Контактного датчика изображения CIS Shading Scan Driver Init в ходе операции Удержание из CSM + TE (Retract CSM + TE).</t>
  </si>
  <si>
    <t xml:space="preserve">5Q8HS08</t>
  </si>
  <si>
    <t xml:space="preserve">Ошибка ЦАП Set Fail Scan Driver Init в ходе операции Удержание из CSM + TE (Retract CSM + TE).</t>
  </si>
  <si>
    <t xml:space="preserve">5Q8HS11</t>
  </si>
  <si>
    <t xml:space="preserve">Ошибка ПЛИС Write BCU Ready в ходе операции Удержание из CSM + TE (Retract CSM + TE).</t>
  </si>
  <si>
    <t xml:space="preserve">5Q8HS12</t>
  </si>
  <si>
    <t xml:space="preserve">Ошибка Sensor (MR/UV/DD/Gate) Power Off BCU Ready в ходе операции Удержание из CSM + TE (Retract CSM + TE).</t>
  </si>
  <si>
    <t xml:space="preserve">5Q8HS13</t>
  </si>
  <si>
    <t xml:space="preserve">Ошибка Контактного датчика изображения CIS Led On Value Set Fail BCU Ready в ходе операции Удержание из CSM + TE (Retract CSM + TE).</t>
  </si>
  <si>
    <t xml:space="preserve">5Q8HS14</t>
  </si>
  <si>
    <t xml:space="preserve">Ошибка Источника Света Set Fail BCU Ready в ходе операции Удержание из CSM + TE (Retract CSM + TE).</t>
  </si>
  <si>
    <t xml:space="preserve">5Q8HS15</t>
  </si>
  <si>
    <t xml:space="preserve">Ошибка Контактного датчика изображения CIS Shading BCU Ready в ходе операции Удержание из CSM + TE (Retract CSM + TE).</t>
  </si>
  <si>
    <t xml:space="preserve">5Q8HS17</t>
  </si>
  <si>
    <t xml:space="preserve">Ошибка AFE Chip Set BCU Ready в ходе операции Удержание из CSM + TE (Retract CSM + TE).</t>
  </si>
  <si>
    <t xml:space="preserve">5Q8HS18</t>
  </si>
  <si>
    <t xml:space="preserve">Ошибка ЦАП Set Fail BCU Ready в ходе операции Удержание из CSM + TE (Retract CSM + TE).</t>
  </si>
  <si>
    <t xml:space="preserve">5Q8HS19</t>
  </si>
  <si>
    <t xml:space="preserve">Ошибка MR/UV/DD Sampling BCU Ready в ходе операции Удержание из CSM + TE (Retract CSM + TE).</t>
  </si>
  <si>
    <t xml:space="preserve">5Q8HS1A</t>
  </si>
  <si>
    <t xml:space="preserve">Ошибка ЦАП Датчика Холла Set Fail BCU Ready в ходе операции Удержание из CSM + TE (Retract CSM + TE).</t>
  </si>
  <si>
    <t xml:space="preserve">5Q8HS1B</t>
  </si>
  <si>
    <t xml:space="preserve">Ошибка Датчика Холла Shading Fail BCU Ready в ходе операции Удержание из CSM + TE (Retract CSM + TE).</t>
  </si>
  <si>
    <t xml:space="preserve">5Q8HS22</t>
  </si>
  <si>
    <t xml:space="preserve">Ошибка Модуля Валидатора BC Stop Sensor (MR/UV/DD/Gate) Power Off Scan Driver Init в ходе операции Удержание из CSM + TE (Retract CSM + TE).</t>
  </si>
  <si>
    <t xml:space="preserve">5Q8HS28</t>
  </si>
  <si>
    <t xml:space="preserve">Ошибка Модуля Валидатора BC Stop DAC Set Fail Scan Driver Init в ходе операции Удержание из CSM + TE (Retract CSM + TE).</t>
  </si>
  <si>
    <t xml:space="preserve">5Q8HS29</t>
  </si>
  <si>
    <t xml:space="preserve">Ошибка Модуля Валидатора BC Stop MR/UV/DD Sampling BCU Ready в ходе операции Удержание из CSM + TE (Retract CSM + TE).</t>
  </si>
  <si>
    <t xml:space="preserve">5Q8R100</t>
  </si>
  <si>
    <t xml:space="preserve">Модуль Валидатора BC вернул ошибку таймаута сообщения в ходе готовности к операции Удержание из CSM + TE (Retract CSM + TE).</t>
  </si>
  <si>
    <t xml:space="preserve">5Q8R200</t>
  </si>
  <si>
    <t xml:space="preserve">Модуль Валидатора BC вернул ошибку таймаута сообщения при проведении транзакции в ходе операции Удержание из CSM + TE (Retract CSM + TE).</t>
  </si>
  <si>
    <t xml:space="preserve">5Q8R300</t>
  </si>
  <si>
    <t xml:space="preserve">Модуль Валидатора BC вернул ошибку таймаута сообщения в ходе постпроцессинга ошибки операции Удержание из CSM + TE (Retract CSM + TE Error).</t>
  </si>
  <si>
    <t xml:space="preserve">5Q8R900</t>
  </si>
  <si>
    <t xml:space="preserve">Модуль Валидатора BC вернул ошибку таймаута сообщения в ходе операции Удержание из CSM + TE (Retract CSM + TE).</t>
  </si>
  <si>
    <t xml:space="preserve">5Q8S100</t>
  </si>
  <si>
    <t xml:space="preserve">Получена неправильная Информация о памяти MI от Модуля Валидатора банкнот BC в ходе операции Удержание из CSM + TE (Retract CSM + TE).</t>
  </si>
  <si>
    <t xml:space="preserve">5Q8S200</t>
  </si>
  <si>
    <t xml:space="preserve">Получен ненормальный BCC от Модуля Валидатора банкнот в ходе операции Удержание из CSM + TE (Retract CSM + TE).</t>
  </si>
  <si>
    <t xml:space="preserve">5Q8S400</t>
  </si>
  <si>
    <t xml:space="preserve">Получена ошибка ETC. от Модуля Валидатора банкнот BC в ходе операции Удержание из CSM + TE (Retract CSM + TE).</t>
  </si>
  <si>
    <t xml:space="preserve">5Q8S900</t>
  </si>
  <si>
    <t xml:space="preserve">Повторная попытка завершилась ошибкой Модуля Валидатора банкнот BC в ходе операции Удержание из CSM + TE (Retract CSM + TE).</t>
  </si>
  <si>
    <t xml:space="preserve">5Q9J100</t>
  </si>
  <si>
    <t xml:space="preserve">Переполненная Кассета Отбраковки RJC в ходе операции Удержание из CSM + TE (Retract CSM + TE).</t>
  </si>
  <si>
    <t xml:space="preserve">5Q9R100</t>
  </si>
  <si>
    <t xml:space="preserve">Ошибка тайм-аута сообщения Кассеты Отбраковки RJC в ходе готовности к операции Удержание из CSM + TE (Retract CSM + TE).</t>
  </si>
  <si>
    <t xml:space="preserve">5Q9R300</t>
  </si>
  <si>
    <t xml:space="preserve">Ошибка тайм-аута сообщения Кассеты Отбраковки RJC в ходе постпроцессинга ошибки операции Удержание из CSM + TE (Retract CSM + TE Error).</t>
  </si>
  <si>
    <t xml:space="preserve">5QA2100</t>
  </si>
  <si>
    <t xml:space="preserve">Оставшиеся банкноты в Возвращающем Тракте (GS801) перед выполнением операции Удержание из CSM + TE (Retract CSM + TE).</t>
  </si>
  <si>
    <t xml:space="preserve">5QA2200</t>
  </si>
  <si>
    <t xml:space="preserve">Оставшиеся банкноты в Возвращающем Тракте (GS002) перед выполнением операции Удержание из CSM + TE (Retract CSM + TE).</t>
  </si>
  <si>
    <t xml:space="preserve">5QA2300</t>
  </si>
  <si>
    <t xml:space="preserve">Оставшиеся банкноты в Возвращающем Тракте (GS003) перед выполнением операции Удержание из CSM + TE (Retract CSM + TE).</t>
  </si>
  <si>
    <t xml:space="preserve">5QA2400</t>
  </si>
  <si>
    <t xml:space="preserve">Оставшиеся банкноты в Возвращающем Тракте (GS004) перед выполнением операции Удержание из CSM + TE (Retract CSM + TE).</t>
  </si>
  <si>
    <t xml:space="preserve">5QA2500</t>
  </si>
  <si>
    <t xml:space="preserve">Оставшиеся банкноты в Возвращающем Тракте (GS005) перед выполнением операции Удержание из CSM + TE (Retract CSM + TE).</t>
  </si>
  <si>
    <t xml:space="preserve">5QA2600</t>
  </si>
  <si>
    <t xml:space="preserve">Оставшиеся банкноты в Возвращающем Тракте (GS006) перед выполнением операции Удержание из CSM + TE (Retract CSM + TE).</t>
  </si>
  <si>
    <t xml:space="preserve">5QA2A00</t>
  </si>
  <si>
    <t xml:space="preserve">Оставшиеся банкноты в Возвращающем Тракте (GS021) перед выполнением операции Удержание из CSM + TE (Retract CSM + TE).</t>
  </si>
  <si>
    <t xml:space="preserve">5QA2B00</t>
  </si>
  <si>
    <t xml:space="preserve">Оставшиеся банкноты в Возвращающем Тракте (GS022) перед выполнением операции Удержание из CSM + TE (Retract CSM + TE).</t>
  </si>
  <si>
    <t xml:space="preserve">5QA2G00</t>
  </si>
  <si>
    <t xml:space="preserve">Оставшиеся банкноты в Возвращающем Тракте (GS614) перед выполнением операции Удержание из CSM + TE (Retract CSM + TE).</t>
  </si>
  <si>
    <t xml:space="preserve">5QA2H00</t>
  </si>
  <si>
    <t xml:space="preserve">Оставшиеся банкноты в Возвращающем Тракте (GS618) перед выполнением операции Удержание из CSM + TE (Retract CSM + TE).</t>
  </si>
  <si>
    <t xml:space="preserve">5QA2J00</t>
  </si>
  <si>
    <t xml:space="preserve">Оставшиеся банкноты в Возвращающем Тракте (GS619) перед выполнением операции Удержание из CSM + TE (Retract CSM + TE).</t>
  </si>
  <si>
    <t xml:space="preserve">5QA2K00</t>
  </si>
  <si>
    <t xml:space="preserve">Оставшиеся банкноты в Возвращающем Тракте (GS703) перед выполнением операции Удержание из CSM + TE (Retract CSM + TE).</t>
  </si>
  <si>
    <t xml:space="preserve">5QA2M00</t>
  </si>
  <si>
    <t xml:space="preserve">Оставшиеся банкноты в Возвращающем Тракте (GS031) перед выполнением операции Удержание из CSM + TE (Retract CSM + TE).</t>
  </si>
  <si>
    <t xml:space="preserve">5QA2N00</t>
  </si>
  <si>
    <t xml:space="preserve">Оставшиеся банкноты в Возвращающем Тракте (GS032) перед выполнением операции Удержание из CSM + TE (Retract CSM + TE).</t>
  </si>
  <si>
    <t xml:space="preserve">5QA2P00</t>
  </si>
  <si>
    <t xml:space="preserve">Оставшиеся банкноты в Возвращающем Тракте (GS033) перед выполнением операции Удержание из CSM + TE (Retract CSM + TE).</t>
  </si>
  <si>
    <t xml:space="preserve">5QA2Q00</t>
  </si>
  <si>
    <t xml:space="preserve">Оставшиеся банкноты в Возвращающем Тракте (GS034) перед выполнением операции Удержание из CSM + TE (Retract CSM + TE).</t>
  </si>
  <si>
    <t xml:space="preserve">5QA2W00</t>
  </si>
  <si>
    <t xml:space="preserve">Оставшиеся банкноты в Возвращающем Тракте (GS802) перед выполнением операции Удержание из CSM + TE (Retract CSM + TE).</t>
  </si>
  <si>
    <t xml:space="preserve">5QAA100</t>
  </si>
  <si>
    <t xml:space="preserve">Вынутое состояние Вспомогательной (невостребованных/фальшивых банкнот) Кассеты UTC перед выполнением операции Удержание из CSM + TE (Retract CSM + TE).</t>
  </si>
  <si>
    <t xml:space="preserve">5QAA200</t>
  </si>
  <si>
    <t xml:space="preserve">Модуль временного хранения открыт перед выполнением операции Удержание из CSM + TE (Retract CSM + TE).</t>
  </si>
  <si>
    <t xml:space="preserve">5QAA300</t>
  </si>
  <si>
    <t xml:space="preserve">Отстыкованное состояние концевого переключателя (inter lock) Верхней части Модуля Рециркуляции Банкнот BMU перед выполнением операции Удержание из CSM + TE (Retract CSM + TE).</t>
  </si>
  <si>
    <t xml:space="preserve">5QAA400</t>
  </si>
  <si>
    <t xml:space="preserve">Выдвинутое состояние Верхней части Модуля Рециркуляции Банкнот BMU перед выполнением операции Удержание из CSM + TE (Retract CSM + TE).</t>
  </si>
  <si>
    <t xml:space="preserve">5QAA500</t>
  </si>
  <si>
    <t xml:space="preserve">Status of Safe door open перед выполнением операции Удержание из CSM + TE (Retract CSM + TE).</t>
  </si>
  <si>
    <t xml:space="preserve">5QAA600</t>
  </si>
  <si>
    <t xml:space="preserve">Открыт Модуль обслуживания клиентов CSM перед выполнением операции Удержание из CSM + TE (Retract CSM + TE).</t>
  </si>
  <si>
    <t xml:space="preserve">5QAA700</t>
  </si>
  <si>
    <t xml:space="preserve">Вынутое состояние Кассеты Отбраковки RJC перед выполнением операции Удержание из CSM + TE (Retract CSM + TE).</t>
  </si>
  <si>
    <t xml:space="preserve">5QAA800</t>
  </si>
  <si>
    <t xml:space="preserve">Отстыкованное состояние концевого переключателя (inter lock) Нижней части Модуля Рециркуляции Банкнот BMD перед выполнением операции Удержание из CSM + TE (Retract CSM + TE).</t>
  </si>
  <si>
    <t xml:space="preserve">5QAA900</t>
  </si>
  <si>
    <t xml:space="preserve">Выдвинутое состояние Нижней части Модуля Рециркуляции Банкнот BMD перед выполнением операции Удержание из CSM + TE (Retract CSM + TE).</t>
  </si>
  <si>
    <t xml:space="preserve">5QAAA00</t>
  </si>
  <si>
    <t xml:space="preserve">Модуль Валидатора банкнот BC открыт перед работой в ходе операции Удержание из CSM + TE (Retract CSM + TE).</t>
  </si>
  <si>
    <t xml:space="preserve">5QAAB00</t>
  </si>
  <si>
    <t xml:space="preserve">Переполненная Кассета Рециркуляции RC перед выполнением операции Удержание из CSM + TE (Retract CSM + TE).</t>
  </si>
  <si>
    <t xml:space="preserve">5QAAC00</t>
  </si>
  <si>
    <t xml:space="preserve">Переполненная Кассета Отбраковки RJC перед выполнением операции Удержание из CSM + TE (Retract CSM + TE).</t>
  </si>
  <si>
    <t xml:space="preserve">5QAAD00</t>
  </si>
  <si>
    <t xml:space="preserve">Переполненная Вспомогательная кассета UTC1 перед выполнением операции Удержание из CSM + TE (Retract CSM + TE).</t>
  </si>
  <si>
    <t xml:space="preserve">5QAAE00</t>
  </si>
  <si>
    <t xml:space="preserve">Переполненная Вспомогательная кассета UTC2 перед выполнением операции Удержание из CSM + TE (Retract CSM + TE).</t>
  </si>
  <si>
    <t xml:space="preserve">5QAAF00</t>
  </si>
  <si>
    <t xml:space="preserve">Пустая Кассета Рециркуляции RC перед выполнением операции Удержание из CSM + TE (Retract CSM + TE).</t>
  </si>
  <si>
    <t xml:space="preserve">5QAAG00</t>
  </si>
  <si>
    <t xml:space="preserve">Вынутое состояние Кассеты Рециркуляции RC при сохранении подозрительных банкнот перед выполнением операции Удержание из CSM + TE (Retract CSM + TE).</t>
  </si>
  <si>
    <t xml:space="preserve">5QAAH00</t>
  </si>
  <si>
    <t xml:space="preserve">Кассета Рециркуляции RC не используется для сохранения банкнот, удержанных из Модуля обслуживания клиентов CSM перед выполнением операции Удержание из CSM + TE (Retract CSM + TE).</t>
  </si>
  <si>
    <t xml:space="preserve">5QAAK00</t>
  </si>
  <si>
    <t xml:space="preserve">Отсеки UTC1 и UTC2 назначены для удержания во Вспомогательной Кассете, которая не используется перед выполнением в ходе операции Удержание из CSM + TE (Retract CSM + TE).</t>
  </si>
  <si>
    <t xml:space="preserve">5QAE100</t>
  </si>
  <si>
    <t xml:space="preserve">Получена операция без выполнения команды установки начальных данных (Initail Info Set) в ходе операции Удержание из CSM + TE (Retract CSM + TE).</t>
  </si>
  <si>
    <t xml:space="preserve">5QAE200</t>
  </si>
  <si>
    <t xml:space="preserve">Состояние not operation при получении команды в ходе операции Удержание из CSM + TE (Retract CSM + TE).</t>
  </si>
  <si>
    <t xml:space="preserve">5QAE300</t>
  </si>
  <si>
    <t xml:space="preserve">Получена операция без выполнения команды чтения системных данных (Sysrem Info Read) в ходе операции Удержание из CSM + TE (Retract CSM + TE).</t>
  </si>
  <si>
    <t xml:space="preserve">5QAE400</t>
  </si>
  <si>
    <t xml:space="preserve">Транзакция Удержание из CSM + TE (Retract CSM + TE) была выполнена без Инициализации после включения питания .</t>
  </si>
  <si>
    <t xml:space="preserve">5QAE600</t>
  </si>
  <si>
    <t xml:space="preserve">Ошибка обработки операции Удержание из CSM + TE (Retract CSM + TE) в ходе операции Работа кнопки TE (TE Button Operating).</t>
  </si>
  <si>
    <t xml:space="preserve">5QAEE00</t>
  </si>
  <si>
    <t xml:space="preserve">Нарушение последовательности сообщений интерфейса RS485 платы контроллера RBU в ходе операции Удержание из CSM + TE (Retract CSM + TE).</t>
  </si>
  <si>
    <t xml:space="preserve">5QAEF00</t>
  </si>
  <si>
    <t xml:space="preserve">Нарушение линии связи интерфейса RS485 платы контроллера RBU в ходе операции Удержание из CSM + TE (Retract CSM + TE).</t>
  </si>
  <si>
    <t xml:space="preserve">5QAH500</t>
  </si>
  <si>
    <t xml:space="preserve">Ошибка Чтения/Записи памяти NVRAM (128 деноминаций) в ходе операции Удержание из CSM + TE (Retract CSM + TE).</t>
  </si>
  <si>
    <t xml:space="preserve">5QAR100</t>
  </si>
  <si>
    <t xml:space="preserve">Возвращена ошибка таймаута сообщения during operation ready в ходе операции Удержание из CSM + TE (Retract CSM + TE).</t>
  </si>
  <si>
    <t xml:space="preserve">5QAR300</t>
  </si>
  <si>
    <t xml:space="preserve">Возвращена ошибка таймаута сообщения в ходе постпроцессинга ошибки операции Удержание из CSM + TE (Retract CSM + TE Error).</t>
  </si>
  <si>
    <t xml:space="preserve">5QAR700</t>
  </si>
  <si>
    <t xml:space="preserve">Контроллер RBU вернул ошибку таймаута сообщения в ходе операции Удержание из CSM + TE (Retract CSM + TE).</t>
  </si>
  <si>
    <t xml:space="preserve">5QBH100</t>
  </si>
  <si>
    <t xml:space="preserve">Ошибка чтения памяти EEPROM Кассеты Рециркуляции RC1 в ходе операции Удержание из CSM + TE (Retract CSM + TE).</t>
  </si>
  <si>
    <t xml:space="preserve">5QBH200</t>
  </si>
  <si>
    <t xml:space="preserve">Ошибка чтения памяти EEPROM Кассеты Рециркуляции RC2 в ходе операции Удержание из CSM + TE (Retract CSM + TE).</t>
  </si>
  <si>
    <t xml:space="preserve">5QBH300</t>
  </si>
  <si>
    <t xml:space="preserve">Ошибка чтения памяти EEPROM Кассеты Рециркуляции RC3 в ходе операции Удержание из CSM + TE (Retract CSM + TE).</t>
  </si>
  <si>
    <t xml:space="preserve">5QBH400</t>
  </si>
  <si>
    <t xml:space="preserve">Ошибка чтения памяти EEPROM Кассеты Рециркуляции RC4 в ходе операции Удержание из CSM + TE (Retract CSM + TE).</t>
  </si>
  <si>
    <t xml:space="preserve">5QBH500</t>
  </si>
  <si>
    <t xml:space="preserve">Ошибка чтения памяти EEPROM Кассеты Рециркуляции RC5 в ходе операции Удержание из CSM + TE (Retract CSM + TE).</t>
  </si>
  <si>
    <t xml:space="preserve">5QBH600</t>
  </si>
  <si>
    <t xml:space="preserve">Ошибка записи памяти EEPROM Кассеты Рециркуляции RC1 в ходе операции Удержание из CSM + TE (Retract CSM + TE).</t>
  </si>
  <si>
    <t xml:space="preserve">5QBH700</t>
  </si>
  <si>
    <t xml:space="preserve">Ошибка записи памяти EEPROM Кассеты Рециркуляции RC2 в ходе операции Удержание из CSM + TE (Retract CSM + TE).</t>
  </si>
  <si>
    <t xml:space="preserve">5QBH800</t>
  </si>
  <si>
    <t xml:space="preserve">Ошибка записи памяти EEPROM Кассеты Рециркуляции RC3 в ходе операции Удержание из CSM + TE (Retract CSM + TE).</t>
  </si>
  <si>
    <t xml:space="preserve">5QBH900</t>
  </si>
  <si>
    <t xml:space="preserve">Ошибка записи памяти EEPROM Кассеты Рециркуляции RC4 в ходе операции Удержание из CSM + TE (Retract CSM + TE).</t>
  </si>
  <si>
    <t xml:space="preserve">5QBHA00</t>
  </si>
  <si>
    <t xml:space="preserve">Ошибка записи памяти EEPROM Кассеты Рециркуляции RC5 в ходе операции Удержание из CSM + TE (Retract CSM + TE).</t>
  </si>
  <si>
    <t xml:space="preserve">5QBHB00</t>
  </si>
  <si>
    <t xml:space="preserve">Ошибка проверки данных памяти EEPROM Кассеты Рециркуляции RC1 в ходе операции Удержание из CSM + TE (Retract CSM + TE).</t>
  </si>
  <si>
    <t xml:space="preserve">5QBHC00</t>
  </si>
  <si>
    <t xml:space="preserve">Ошибка проверки данных памяти EEPROM Кассеты Рециркуляции RC2 в ходе операции Удержание из CSM + TE (Retract CSM + TE).</t>
  </si>
  <si>
    <t xml:space="preserve">5QBHD00</t>
  </si>
  <si>
    <t xml:space="preserve">Ошибка проверки данных памяти EEPROM Кассеты Рециркуляции RC3 в ходе операции Удержание из CSM + TE (Retract CSM + TE).</t>
  </si>
  <si>
    <t xml:space="preserve">5QBHE00</t>
  </si>
  <si>
    <t xml:space="preserve">Ошибка проверки данных памяти EEPROM Кассеты Рециркуляции RC4 в ходе операции Удержание из CSM + TE (Retract CSM + TE).</t>
  </si>
  <si>
    <t xml:space="preserve">5QBHF00</t>
  </si>
  <si>
    <t xml:space="preserve">Ошибка проверки данных памяти EEPROM Кассеты Рециркуляции RC5 в ходе операции Удержание из CSM + TE (Retract CSM + TE).</t>
  </si>
  <si>
    <t xml:space="preserve">5QBHG00</t>
  </si>
  <si>
    <t xml:space="preserve">Не обнаружен концевой переключатель (интерлок) при Чтении/Записи памяти EEPROM Кассеты Рециркуляции RC в ходе операции Удержание из CSM + TE (Retract CSM + TE).</t>
  </si>
  <si>
    <t xml:space="preserve">5QBR000</t>
  </si>
  <si>
    <t xml:space="preserve">Превышено время ожидание ответа платы контроллера RBU в ходе операции Удержание из CSM + TE (Retract CSM + TE).</t>
  </si>
  <si>
    <t xml:space="preserve">5QBR700</t>
  </si>
  <si>
    <t xml:space="preserve">5QBS000</t>
  </si>
  <si>
    <t xml:space="preserve">Ошибка таймаута связи контроллера RBU в ходе операции Удержание из CSM + TE (Retract CSM + TE).</t>
  </si>
  <si>
    <t xml:space="preserve">5QBS100</t>
  </si>
  <si>
    <t xml:space="preserve">Ошибка последовательности сообщений платы контроллера RBU в ходе операции Удержание из CSM + TE (Retract CSM + TE).</t>
  </si>
  <si>
    <t xml:space="preserve">5QBS200</t>
  </si>
  <si>
    <t xml:space="preserve">Ошибка Информации о памяти MI в ходе соединения контроллера RBU в ходе операции Удержание из CSM + TE (Retract CSM + TE).</t>
  </si>
  <si>
    <t xml:space="preserve">5QUS100</t>
  </si>
  <si>
    <t xml:space="preserve">Ошибка дублирования номера последовательности USB в ходе операции Удержание из CSM + TE (Retract CSM + TE).</t>
  </si>
  <si>
    <t xml:space="preserve">5QUS300</t>
  </si>
  <si>
    <t xml:space="preserve">Ошибка длины данных команды USB  в ходе операции Удержание из CSM + TE (Retract CSM + TE).</t>
  </si>
  <si>
    <t xml:space="preserve">5RAE100</t>
  </si>
  <si>
    <t xml:space="preserve">5RAE200</t>
  </si>
  <si>
    <t xml:space="preserve">5RAE300</t>
  </si>
  <si>
    <t xml:space="preserve">5RAE400</t>
  </si>
  <si>
    <t xml:space="preserve">5RAE600</t>
  </si>
  <si>
    <t xml:space="preserve">Ошибка обработки операции Чтение Начальных Данных (Read Initial Info) в ходе операции Работа кнопки TE (TE Button Operating).</t>
  </si>
  <si>
    <t xml:space="preserve">5RAEE00</t>
  </si>
  <si>
    <t xml:space="preserve">5RAEF00</t>
  </si>
  <si>
    <t xml:space="preserve">5RAH500</t>
  </si>
  <si>
    <t xml:space="preserve">Ошибка Чтения/Записи памяти NVRAM (128 деноминаций) в ходе операции Чтение Исходных Данных (Read Initial Info).</t>
  </si>
  <si>
    <t xml:space="preserve">5RBH100</t>
  </si>
  <si>
    <t xml:space="preserve">Ошибка чтения памяти EEPROM Кассеты Рециркуляции RC1 в ходе операции Чтение Исходных Данных (Read Initial Info).</t>
  </si>
  <si>
    <t xml:space="preserve">5RBH200</t>
  </si>
  <si>
    <t xml:space="preserve">Ошибка чтения памяти EEPROM Кассеты Рециркуляции RC2 в ходе операции Чтение Исходных Данных (Read Initial Info).</t>
  </si>
  <si>
    <t xml:space="preserve">5RBH300</t>
  </si>
  <si>
    <t xml:space="preserve">Ошибка чтения памяти EEPROM Кассеты Рециркуляции RC3 в ходе операции Чтение Исходных Данных (Read Initial Info).</t>
  </si>
  <si>
    <t xml:space="preserve">5RBH400</t>
  </si>
  <si>
    <t xml:space="preserve">Ошибка чтения памяти EEPROM Кассеты Рециркуляции RC4 в ходе операции Чтение Исходных Данных (Read Initial Info).</t>
  </si>
  <si>
    <t xml:space="preserve">5RBH500</t>
  </si>
  <si>
    <t xml:space="preserve">Ошибка чтения памяти EEPROM Кассеты Рециркуляции RC5 в ходе операции Чтение Исходных Данных (Read Initial Info).</t>
  </si>
  <si>
    <t xml:space="preserve">5RBH600</t>
  </si>
  <si>
    <t xml:space="preserve">Ошибка записи памяти EEPROM Кассеты Рециркуляции RC1 в ходе операции Чтение Исходных Данных (Read Initial Info).</t>
  </si>
  <si>
    <t xml:space="preserve">5RBH700</t>
  </si>
  <si>
    <t xml:space="preserve">Ошибка записи памяти EEPROM Кассеты Рециркуляции RC2 в ходе операции Чтение Исходных Данных (Read Initial Info).</t>
  </si>
  <si>
    <t xml:space="preserve">5RBH800</t>
  </si>
  <si>
    <t xml:space="preserve">Ошибка записи памяти EEPROM Кассеты Рециркуляции RC3 в ходе операции Чтение Исходных Данных (Read Initial Info).</t>
  </si>
  <si>
    <t xml:space="preserve">5RBH900</t>
  </si>
  <si>
    <t xml:space="preserve">Ошибка записи памяти EEPROM Кассеты Рециркуляции RC4 в ходе операции Чтение Исходных Данных (Read Initial Info).</t>
  </si>
  <si>
    <t xml:space="preserve">5RBHA00</t>
  </si>
  <si>
    <t xml:space="preserve">Ошибка записи памяти EEPROM Кассеты Рециркуляции RC5 в ходе операции Чтение Исходных Данных (Read Initial Info).</t>
  </si>
  <si>
    <t xml:space="preserve">5RBHB00</t>
  </si>
  <si>
    <t xml:space="preserve">5RBHC00</t>
  </si>
  <si>
    <t xml:space="preserve">5RBHD00</t>
  </si>
  <si>
    <t xml:space="preserve">5RBHE00</t>
  </si>
  <si>
    <t xml:space="preserve">5RBHF00</t>
  </si>
  <si>
    <t xml:space="preserve">5RBHG00</t>
  </si>
  <si>
    <t xml:space="preserve">5RBS000</t>
  </si>
  <si>
    <t xml:space="preserve">5RBS100</t>
  </si>
  <si>
    <t xml:space="preserve">5RBS200</t>
  </si>
  <si>
    <t xml:space="preserve">Ошибка Информации о памяти MI в ходе соединения контроллера RBU в ходе операции Чтение Исходных Данных (Read Initial Info).</t>
  </si>
  <si>
    <t xml:space="preserve">5RUS100</t>
  </si>
  <si>
    <t xml:space="preserve">5RUS300</t>
  </si>
  <si>
    <t xml:space="preserve">5S8HG30</t>
  </si>
  <si>
    <t xml:space="preserve">Ошибка контрольной суммы CRC таблицы поддельных банкнот при получении ответа на команду запроса/регистрации таблицы поддельных банкнот Модуля Валидатора банкнот BCU..</t>
  </si>
  <si>
    <t xml:space="preserve">1. Проверьте контрольную сумму CRC таблицы поддельных банкнот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</si>
  <si>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5S8HG31</t>
  </si>
  <si>
    <t xml:space="preserve">Ошибка CRC при получении табицы поддельных банкнот и кол-ва записей в таблице при получении ответа на команду запроса/регистрации таблицы поддельных банкнот Модуля Валидатора банкнот BCU.</t>
  </si>
  <si>
    <t xml:space="preserve">1. Проверьте контрольную сумму CRC таблицы поддельных банкнот, кол-во записей в таблице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</si>
  <si>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5S8HG32</t>
  </si>
  <si>
    <t xml:space="preserve">Превышение кол-ва записей таблицы поддельных банкнот (более 200) при получении ответа на команду запроса/регистрации таблицы поддельных банкнот Модуля Валидатора банкнот BCU.</t>
  </si>
  <si>
    <t xml:space="preserve">1. Проверьте кол-во в таблице поддельных банкнот (counterfeil-bill-table)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</si>
  <si>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5S8HG33</t>
  </si>
  <si>
    <t xml:space="preserve">Ошибка таблицы поддельных банкнот (код страны '0') при получении ответа на команду запроса/регистрации таблицы поддельных банкнот Модуля Валидатора банкнот BCU..</t>
  </si>
  <si>
    <t xml:space="preserve">1. Проверьте настройки страны таблицы поддельных банкнот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</si>
  <si>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5S8HG34</t>
  </si>
  <si>
    <t xml:space="preserve">Ошибка таблицы поддельных банкнот (длина таблицы) при получении ответа на команду запроса/регистрации таблицы поддельных банкнот Модуля Валидатора банкнот BCU..</t>
  </si>
  <si>
    <t xml:space="preserve">1. Проверьте длину таблицы поддельных банкнот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</si>
  <si>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5S8HG36</t>
  </si>
  <si>
    <t xml:space="preserve">Ошибка режима распознавания при выполнении команды receiving BCU mode..</t>
  </si>
  <si>
    <t xml:space="preserve">5S8HG37</t>
  </si>
  <si>
    <t xml:space="preserve">Ошибка настроек транзакции при выполнении команды receiving BCU mode..</t>
  </si>
  <si>
    <t xml:space="preserve">5S8HG38</t>
  </si>
  <si>
    <t xml:space="preserve">Ошибка таблицы поддельных банкнот (сеператор) при получении ответа на команду запроса/регистрации таблицы поддельных банкнот Модуля Валидатора банкнот BCU..</t>
  </si>
  <si>
    <t xml:space="preserve">1. Проверьте настройки разделителя таблицы поддельных банкнот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</si>
  <si>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5S8HG39</t>
  </si>
  <si>
    <t xml:space="preserve">Ошибка установки серийного номера таблицы поддельных банкнот (установлено '*' при выполнении поиска по секции) при получении ответа на команду запроса/регистрации таблицы поддельных банкнот Модуля Валидатора банкнот BCU..</t>
  </si>
  <si>
    <t xml:space="preserve">1. Проверьте настройки серийных номеров таблицы поддельных банкнот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</si>
  <si>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5S8HG40</t>
  </si>
  <si>
    <t xml:space="preserve">Ошибка установки серийного номера таблицы поддельных банкнот (Первая установка находится на последней позиции при выполнении поиска по секции) при получении ответа на команду запроса/регистрации таблицы поддельных банкнот Модуля Валидатора банкнот BCU..</t>
  </si>
  <si>
    <t xml:space="preserve">5S8HG41</t>
  </si>
  <si>
    <t xml:space="preserve">Ошибка установки серийного номера таблицы поддельных банкнот (Последняя установка находится на первой позиции при выполнении поиска по секции) при получении ответа на команду запроса/регистрации таблицы поддельных банкнот Модуля Валидатора банкнот BCU..</t>
  </si>
  <si>
    <t xml:space="preserve">5S8HG42</t>
  </si>
  <si>
    <t xml:space="preserve">Ошибка установки серийного номера таблицы поддельных банкнот (Неверно установлен порядок при выполнении поиска по секции) при получении ответа на команду запроса/регистрации таблицы поддельных банкнот Модуля Валидатора банкнот BCU..</t>
  </si>
  <si>
    <t xml:space="preserve">5S8HG43</t>
  </si>
  <si>
    <t xml:space="preserve">Ошибка установки серийного номера таблицы поддельных банкнот (Ошибка длины при выполнении поиска по секции) при получении ответа на команду запроса/регистрации таблицы поддельных банкнот Модуля Валидатора банкнот BCU..</t>
  </si>
  <si>
    <t xml:space="preserve">5S8HG44</t>
  </si>
  <si>
    <t xml:space="preserve">Ошибка установки серийного номера таблицы поддельных банкнот (Неверно установлена страна при выполнении поиска по секции) при получении ответа на команду запроса/регистрации таблицы поддельных банкнот Модуля Валидатора банкнот BCU..</t>
  </si>
  <si>
    <t xml:space="preserve">5S8R100</t>
  </si>
  <si>
    <t xml:space="preserve">Модуль Валидатора BC вернул ошибку таймаута сообщения при выполнении команды запроса/регистрации получения таблицы поддельных банкнот BCU.</t>
  </si>
  <si>
    <t xml:space="preserve">5S8R200</t>
  </si>
  <si>
    <t xml:space="preserve">5S8R300</t>
  </si>
  <si>
    <t xml:space="preserve">5S8R900</t>
  </si>
  <si>
    <t xml:space="preserve">5S8S100</t>
  </si>
  <si>
    <t xml:space="preserve">Получена неправильная Информация о памяти MI от Модуля Валидатора банкнот BC при получении ответа на команду запроса/регистрации таблицы поддельных банкнот Модуля Валидатора банкнот BCU..</t>
  </si>
  <si>
    <t xml:space="preserve">5S8S200</t>
  </si>
  <si>
    <t xml:space="preserve">Получен ненормальный BCC от Модуля Валидатора банкнот при получении ответа на команду запроса/регистрации таблицы поддельных банкнот Модуля Валидатора банкнот BCU..</t>
  </si>
  <si>
    <t xml:space="preserve">5S8S400</t>
  </si>
  <si>
    <t xml:space="preserve">Получена ошибка ETC. от Модуля Валидатора банкнот BC при получении ответа на команду запроса/регистрации таблицы поддельных банкнот Модуля Валидатора банкнот BCU..</t>
  </si>
  <si>
    <t xml:space="preserve">5S8S900</t>
  </si>
  <si>
    <t xml:space="preserve">Повторная попытка завершилась ошибкой Модуля Валидатора банкнот BC при получении ответа на команду запроса/регистрации таблицы поддельных банкнот Модуля Валидатора банкнот BCU.</t>
  </si>
  <si>
    <t xml:space="preserve">5SAE100</t>
  </si>
  <si>
    <t xml:space="preserve">Получена операция без выполнения команды установки начальных данных (Initail Info Set) при получении ответа на команду запроса/регистрации таблицы поддельных банкнот Модуля Валидатора банкнот BCU.</t>
  </si>
  <si>
    <t xml:space="preserve">5SAE200</t>
  </si>
  <si>
    <t xml:space="preserve">Состояние not operation при получении команды при получении ответа на команду запроса/регистрации таблицы поддельных банкнот Модуля Валидатора банкнот BCU.</t>
  </si>
  <si>
    <t xml:space="preserve">5SAE300</t>
  </si>
  <si>
    <t xml:space="preserve">Получена операция без выполнения команды чтения системных данных (System Info Read) при получении ответа на команду запроса/регистрации таблицы поддельных банкнот Модуля Валидатора банкнот BCU.</t>
  </si>
  <si>
    <t xml:space="preserve">5SAE400</t>
  </si>
  <si>
    <t xml:space="preserve">Транзакция получения команды регистрации/запроса таблицы-поддельных-банкнот Модуля Валидатора банкнот была выполнена без Инициализации после включения питания .</t>
  </si>
  <si>
    <t xml:space="preserve">5SAE600</t>
  </si>
  <si>
    <t xml:space="preserve">Ошибка обработки операции регистрации/запроса таблицы-поддельных-банкнот BCU в ходе операции Работа кнопки TE (TE Button Operating).</t>
  </si>
  <si>
    <t xml:space="preserve">5SAEE00</t>
  </si>
  <si>
    <t xml:space="preserve">Нарушение последовательности сообщений интерфейса RS485 платы контроллера RBU при получении ответа на команду запроса/регистрации таблицы поддельных банкнот Модуля Валидатора банкнот BCU..</t>
  </si>
  <si>
    <t xml:space="preserve">5SAEF00</t>
  </si>
  <si>
    <t xml:space="preserve">Нарушение линии связи интерфейса RS485 платы контроллера RBU при получении ответа на команду запроса/регистрации таблицы поддельных банкнот Модуля Валидатора банкнот BCU..</t>
  </si>
  <si>
    <t xml:space="preserve">5SAH500</t>
  </si>
  <si>
    <t xml:space="preserve">Ошибка Чтения/Записи памяти NVRAM (128 деноминаций) при получении ответа на команду запроса/регистрации таблицы поддельных банкнот Модуля Валидатора банкнот BCU.</t>
  </si>
  <si>
    <t xml:space="preserve">Ошибка чтения/записи данных памяти NVRAM (128 деноминаций) в ходе получения регистрациионных данных таблицы поддельных банкнот Модуля Валидатора BCU команда BCU counterfeil bill table registration, inquire.</t>
  </si>
  <si>
    <t xml:space="preserve">5SBS000</t>
  </si>
  <si>
    <t xml:space="preserve">Ошибка таймаута подключения платы контроллера RBU при выполнении команды запроса/регистрации таблицы поддельных банкнот Модуля Валидатора банкнот BCU.</t>
  </si>
  <si>
    <t xml:space="preserve">5SBS100</t>
  </si>
  <si>
    <t xml:space="preserve">Ошибка последовательности сообщений платы контроллера RBU при выполнении команды запроса/регистрации таблицы поддельных банкнот Модуля Валидатора банкнот BCU.</t>
  </si>
  <si>
    <t xml:space="preserve">5SBS200</t>
  </si>
  <si>
    <t xml:space="preserve">Ошибка Информации о памяти MI в ходе соединения контроллера RBU при выполнении команды запроса/регистрации таблицы поддельных банкнот Модуля Валидатора банкнот BCU.</t>
  </si>
  <si>
    <t xml:space="preserve">5-SFF00</t>
  </si>
  <si>
    <t xml:space="preserve">Получена неопределенная команда (Второй '-' ответил с действительной командой).</t>
  </si>
  <si>
    <t xml:space="preserve">1. Проверьте определен ли пакет отправляемых команд</t>
  </si>
  <si>
    <t xml:space="preserve">5SUS100</t>
  </si>
  <si>
    <t xml:space="preserve">Ошибка дублирования номера последовательности USB при выполнении команды запроса/регистрации таблицы поддельных банкнот Модуля Валидатора банкнот BCU.</t>
  </si>
  <si>
    <t xml:space="preserve">5SUS300</t>
  </si>
  <si>
    <t xml:space="preserve">Ошибка длины данных команды USB при выполнении команды запроса/регистрации таблицы поддельных банкнот Модуля Валидатора банкнот BCU.</t>
  </si>
  <si>
    <t xml:space="preserve">5T1GB00</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</si>
  <si>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</si>
  <si>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5T1GC00</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</si>
  <si>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</si>
  <si>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5T1GG00</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</si>
  <si>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</si>
  <si>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5T1GH00</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</si>
  <si>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</si>
  <si>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5T1P300</t>
  </si>
  <si>
    <t xml:space="preserve">Недостаточное изменение счетчика Энкодера Прижимной Пластины PP Кассеты Рециркуляции RC1 в ходе операции Тестирование Модуля (Module Test)</t>
  </si>
  <si>
    <t xml:space="preserve">1. Откройте нижнюю часть Модуля Рециркуляции Банкнот .2. Откройте Средний Транспортный Тракт. 3. Выньте Кассету рециркуляции #1 и откройте её дверцу (A) 4. Проверьте мотор Прижимной Пластины, соединительный кабель, плату контроллера кассеты</t>
  </si>
  <si>
    <t xml:space="preserve">5T2GB00</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</si>
  <si>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</si>
  <si>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5T2GC00</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</si>
  <si>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</si>
  <si>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5T2GG00</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</si>
  <si>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</si>
  <si>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5T2GH00</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</si>
  <si>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</si>
  <si>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5T2P300</t>
  </si>
  <si>
    <t xml:space="preserve">Недостаточное изменение счетчика Энкодера Прижимной Пластины PP Кассеты Рециркуляции RC2 в ходе операции Тестирование Модуля (Module Test)</t>
  </si>
  <si>
    <t xml:space="preserve">1. Откройте нижнюю часть Модуля Рециркуляции Банкнот .2. Откройте Средний Транспортный Тракт. 3. Выньте Кассету рециркуляции #2 и откройте её дверцу (B) 4. Проверьте мотор Прижимной Пластины, соединительный кабель, плату контроллера кассеты</t>
  </si>
  <si>
    <t xml:space="preserve">5T3GB00</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</si>
  <si>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</si>
  <si>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5T3GC00</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</si>
  <si>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</si>
  <si>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5T3GG00</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</si>
  <si>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</si>
  <si>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5T3GH00</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</si>
  <si>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</si>
  <si>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5T3P300</t>
  </si>
  <si>
    <t xml:space="preserve">Недостаточное изменение счетчика Энкодера Прижимной Пластины PP Кассеты Рециркуляции RC3 в ходе операции Тестирование Модуля (Module Test)</t>
  </si>
  <si>
    <t xml:space="preserve">1. Откройте нижнюю часть Модуля Рециркуляции Банкнот .2. Откройте Средний Транспортный Тракт.3. Выньте Кассету рециркуляции #3 и откройте её дверцу (C) 4. Проверьте мотор Прижимной Пластины, соединительный кабель, плату контроллера кассеты</t>
  </si>
  <si>
    <t xml:space="preserve">5T4GB00</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</si>
  <si>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</si>
  <si>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5T4GC00</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</si>
  <si>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</si>
  <si>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5T4GG00</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</si>
  <si>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</si>
  <si>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5T4GH00</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</si>
  <si>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</si>
  <si>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5T4P300</t>
  </si>
  <si>
    <t xml:space="preserve">Недостаточное изменение счетчика Энкодера Прижимной Пластины PP Кассеты Рециркуляции RC4 в ходе операции Тестирование Модуля (Module Test)</t>
  </si>
  <si>
    <t xml:space="preserve">1. Откройте нижнюю часть Модуля Рециркуляции Банкнот .2. Откройте Средний Транспортный Тракт.3. Выньте Кассету рециркуляции #4 и откройте её дверцу (D) 4. Проверьте мотор Прижимной Пластины, соединительный кабель, плату контроллера кассеты</t>
  </si>
  <si>
    <t xml:space="preserve">5T5GB00</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</si>
  <si>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</si>
  <si>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5T5GC00</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</si>
  <si>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</si>
  <si>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5T5GG00</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</si>
  <si>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</si>
  <si>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5T5GH00</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</si>
  <si>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</si>
  <si>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5T5P300</t>
  </si>
  <si>
    <t xml:space="preserve">Недостаточное изменение счетчика Энкодера Прижимной Пластины PP Кассеты Рециркуляции RC5 в ходе операции Тестирование Модуля (Module Test)</t>
  </si>
  <si>
    <t xml:space="preserve">1. Откройте нижнюю часть Модуля Рециркуляции Банкнот .2. Откройте Средний Транспортный Тракт.3. Выньте Кассету рециркуляции #5 и откройте её дверцу (E) 4. Проверьте мотор Прижимной Пластины, соединительный кабель, плату контроллера кассеты</t>
  </si>
  <si>
    <t xml:space="preserve">5T6G100</t>
  </si>
  <si>
    <t xml:space="preserve">Ошибка перемещения Задней Прижимной Пластины BP в положение для укладки банкнот в ходе операции Тестирование Модуля (Module Test).</t>
  </si>
  <si>
    <t xml:space="preserve">5T6G200</t>
  </si>
  <si>
    <t xml:space="preserve">Ошибка перемещения Задней прижимной пластины BP в ходе операции Тестирование Модуля (Module Test).</t>
  </si>
  <si>
    <t xml:space="preserve">5T6G300</t>
  </si>
  <si>
    <t xml:space="preserve">Ошибка перемещения Задней Прижимной Пластины BP в положение для разделения банкнот в ходе операции Тестирование Модуля (Module Test).</t>
  </si>
  <si>
    <t xml:space="preserve">5T6G400</t>
  </si>
  <si>
    <t xml:space="preserve">Ошибка контроля разделения банкнот Задней прижимной пластины BP в ходе операции Тестирование Модуля (Module Test).</t>
  </si>
  <si>
    <t xml:space="preserve">5T6G500</t>
  </si>
  <si>
    <t xml:space="preserve">Ошибка положения Задней прижимной пластины BP при выдаче банкнот в ходе операции Тестирование Модуля (Module Test).</t>
  </si>
  <si>
    <t xml:space="preserve">5T6G900</t>
  </si>
  <si>
    <t xml:space="preserve">Ошибка завершения разделения в ходе операции Тестирование Модуля (Module Test).</t>
  </si>
  <si>
    <t xml:space="preserve">5T6GA00</t>
  </si>
  <si>
    <t xml:space="preserve">Не удалось переместить укладывающий ролик в положение Выдача(укладка) (GM605 работает с ошибками) в ходе операции Тестирование Модуля (Module Test).</t>
  </si>
  <si>
    <t xml:space="preserve">5T6GB00</t>
  </si>
  <si>
    <t xml:space="preserve">Не удалось переместить укладывающий ролик в положение для депозита (GM605 работает с ошибками) в ходе операции Тестирование Модуля (Module Test).</t>
  </si>
  <si>
    <t xml:space="preserve">5T6GC00</t>
  </si>
  <si>
    <t xml:space="preserve">Сбой управления укладывающего ролика(GM605 работает с ошибками) в ходе операции Тестирование Модуля (Module Test).</t>
  </si>
  <si>
    <t xml:space="preserve">5T6GD00</t>
  </si>
  <si>
    <t xml:space="preserve">Не удалось выполнить Поднимание (Lift-up) в ходе операции Тестирование Модуля (Module Test).</t>
  </si>
  <si>
    <t xml:space="preserve">5T6GE00</t>
  </si>
  <si>
    <t xml:space="preserve">Не удалось выполнить Опускание (Lift-down) в ходе операции Тестирование Модуля (Module Test).</t>
  </si>
  <si>
    <t xml:space="preserve">5T6GF00</t>
  </si>
  <si>
    <t xml:space="preserve">Не удалось переместить ролик затвора в исходное положение в ходе операции Тестирование Модуля (Module Test).</t>
  </si>
  <si>
    <t xml:space="preserve">5T6P100</t>
  </si>
  <si>
    <t xml:space="preserve">Ошибка перемещения Прижимной Пластины PP в положение Выдача (укладка) в ходе операции Тестирование Модуля (Module Test).</t>
  </si>
  <si>
    <t xml:space="preserve">5T6P200</t>
  </si>
  <si>
    <t xml:space="preserve">PP deposit position transfer error в ходе операции Тестирование Модуля (Module Test).</t>
  </si>
  <si>
    <t xml:space="preserve">5T6P300</t>
  </si>
  <si>
    <t xml:space="preserve">Ошибка перемещения Прижимной Пластины PP в положение разделения в ходе операции Тестирование Модуля (Module Test).</t>
  </si>
  <si>
    <t xml:space="preserve">5T6P400</t>
  </si>
  <si>
    <t xml:space="preserve">Ошибка перемещения Прижимной Пластины PP в положение lose return в ходе операции Тестирование Модуля (Module Test).</t>
  </si>
  <si>
    <t xml:space="preserve">5T6P500</t>
  </si>
  <si>
    <t xml:space="preserve">Ошибка перемещения Прижимной Пластины PP в положение выдачи банкнот в ходе операции Тестирование Модуля (Module Test).</t>
  </si>
  <si>
    <t xml:space="preserve">5T6P600</t>
  </si>
  <si>
    <t xml:space="preserve">Ошибка расположения банкнот Прижимной Пластины PP в ходе операции Тестирование Модуля (Module Test).</t>
  </si>
  <si>
    <t xml:space="preserve">5T6P700</t>
  </si>
  <si>
    <t xml:space="preserve">Ошибка контроля разделения (во время сепарации) Прижимной Пластины PP в ходе операции Тестирование Модуля (Module Test).</t>
  </si>
  <si>
    <t xml:space="preserve">5T6P800</t>
  </si>
  <si>
    <t xml:space="preserve">Ошибка контроля укладки (во время укладывания) Прижимной Пластины PP в ходе операции Тестирование Модуля (Module Test).</t>
  </si>
  <si>
    <t xml:space="preserve">5T6P900</t>
  </si>
  <si>
    <t xml:space="preserve">Ошибка возврата банкнот в ходе операции Тестирование Модуля (Module Test).</t>
  </si>
  <si>
    <t xml:space="preserve">5T6PA00</t>
  </si>
  <si>
    <t xml:space="preserve">Ошибка preparation stop Прижимной Пластины PP в ходе операции Тестирование Модуля (Module Test).</t>
  </si>
  <si>
    <t xml:space="preserve">5TAE100</t>
  </si>
  <si>
    <t xml:space="preserve">Получена операция без выполнения команды установки начальных данных (Initail Info Set) в ходе операции Тестирование Модуля (Module Test).</t>
  </si>
  <si>
    <t xml:space="preserve">5TAE200</t>
  </si>
  <si>
    <t xml:space="preserve">Состояние not operation при получении команды в ходе операции Тестирование Модуля (Module Test).</t>
  </si>
  <si>
    <t xml:space="preserve">5TAE400</t>
  </si>
  <si>
    <t xml:space="preserve">Транзакция Тестирование Модуля (Module Test) была выполнена без Инициализации после включения питания .</t>
  </si>
  <si>
    <t xml:space="preserve">5TAE600</t>
  </si>
  <si>
    <t xml:space="preserve">Ошибка обработки команды Тестирование Модуля (Module Test) в ходе операции Работа кнопки TE (TE Button Operating).</t>
  </si>
  <si>
    <t xml:space="preserve">5TAEE00</t>
  </si>
  <si>
    <t xml:space="preserve">Нарушение последовательности сообщений интерфейса RS485 платы контроллера RBU в ходе операции Тестирование Модуля (Module Test).</t>
  </si>
  <si>
    <t xml:space="preserve">5TAEF00</t>
  </si>
  <si>
    <t xml:space="preserve">Нарушение линии связи интерфейса RS485 платы контроллера RBU в ходе операции Тестирование Модуля (Module Test).</t>
  </si>
  <si>
    <t xml:space="preserve">5TAH500</t>
  </si>
  <si>
    <t xml:space="preserve">Ошибка Чтения/Записи памяти NVRAM (128 деноминаций) в ходе операции Тестирование Модуля (Module Test).</t>
  </si>
  <si>
    <t xml:space="preserve">Ошибка чтения/записи данных памяти NVRAM (128 деноминаций) в ходе операции Тестирование Модуля (Module Test).</t>
  </si>
  <si>
    <t xml:space="preserve">5TAR600</t>
  </si>
  <si>
    <t xml:space="preserve">Ошибка таймаута сообщения No response from task в ходе операции Тестирование Модуля (Module Test).</t>
  </si>
  <si>
    <t xml:space="preserve">5TAR700</t>
  </si>
  <si>
    <t xml:space="preserve">Контроллер RBU вернул ошибку таймаута сообщения в ходе операции Тестирование Модуля (Module Test).</t>
  </si>
  <si>
    <t xml:space="preserve">5TBHB00</t>
  </si>
  <si>
    <t xml:space="preserve">Ошибка проверки данных памяти EEPROM Кассеты Рециркуляции RC1 в ходе операции Тестирование Модуля (Module Test).</t>
  </si>
  <si>
    <t xml:space="preserve">5TBHC00</t>
  </si>
  <si>
    <t xml:space="preserve">Ошибка проверки данных памяти EEPROM Кассеты Рециркуляции RC2 в ходе операции Тестирование Модуля (Module Test).</t>
  </si>
  <si>
    <t xml:space="preserve">5TBHD00</t>
  </si>
  <si>
    <t xml:space="preserve">Ошибка проверки данных памяти EEPROM Кассеты Рециркуляции RC3 в ходе операции Тестирование Модуля (Module Test).</t>
  </si>
  <si>
    <t xml:space="preserve">5TBHE00</t>
  </si>
  <si>
    <t xml:space="preserve">Ошибка проверки данных памяти EEPROM Кассеты Рециркуляции RC4 в ходе операции Тестирование Модуля (Module Test).</t>
  </si>
  <si>
    <t xml:space="preserve">5TBHF00</t>
  </si>
  <si>
    <t xml:space="preserve">Ошибка проверки данных памяти EEPROM Кассеты Рециркуляции RC5 в ходе операции Тестирование Модуля (Module Test).</t>
  </si>
  <si>
    <t xml:space="preserve">5TBHG00</t>
  </si>
  <si>
    <t xml:space="preserve">Не обнаружен концевой переключатель (интерлок) при Чтении/Записи памяти EEPROM Кассеты Рециркуляции RC в ходе операции Тестирование Модуля (Module Test).</t>
  </si>
  <si>
    <t xml:space="preserve">5TBS000</t>
  </si>
  <si>
    <t xml:space="preserve">Ошибка таймаута подключения платы контроллера RBU в ходе операции Тестирование Модуля (Module Test).</t>
  </si>
  <si>
    <t xml:space="preserve">5TBS100</t>
  </si>
  <si>
    <t xml:space="preserve">Ошибка последовательности сообщений платы контроллера RBU в ходе операции Тестирование Модуля (Module Test).</t>
  </si>
  <si>
    <t xml:space="preserve">5TBS200</t>
  </si>
  <si>
    <t xml:space="preserve">Ошибка Информации о памяти MI в ходе соединения контроллера RBU в ходе операции Тестирование Модуля (Module Test).</t>
  </si>
  <si>
    <t xml:space="preserve">5TSSE00</t>
  </si>
  <si>
    <t xml:space="preserve">Последовательный номер задвоен с командой extra function.</t>
  </si>
  <si>
    <t xml:space="preserve">5TUS100</t>
  </si>
  <si>
    <t xml:space="preserve">Ошибка дублирования номера последовательности USB в ходе операции Тестирование Модуля (Module Test).</t>
  </si>
  <si>
    <t xml:space="preserve">5TUS300</t>
  </si>
  <si>
    <t xml:space="preserve">Ошибка длины данных команды USB  в ходе операции Тестирование Модуля (Module Test).</t>
  </si>
  <si>
    <t xml:space="preserve">5UAE600</t>
  </si>
  <si>
    <t xml:space="preserve">Ошибка обработки команды Загрузка (Download) в ходе операции Работа кнопки TE (TE Button Operating).</t>
  </si>
  <si>
    <t xml:space="preserve">5UAEE00</t>
  </si>
  <si>
    <t xml:space="preserve">Нарушение последовательности сообщений интерфейса RS485 платы контроллера RBU в ходе операции Загрузка (Download).</t>
  </si>
  <si>
    <t xml:space="preserve">5UAEF00</t>
  </si>
  <si>
    <t xml:space="preserve">Нарушение линии связи интерфейса RS485 платы контроллера RBU в ходе операции Загрузка (Download).</t>
  </si>
  <si>
    <t xml:space="preserve">5UAH500</t>
  </si>
  <si>
    <t xml:space="preserve">Ошибка Чтения/Записи памяти NVRAM (128 деноминаций) в ходе операции Загрузка (Download).</t>
  </si>
  <si>
    <t xml:space="preserve">Ошибка чтения/записи данных памяти NVRAM (128 деноминаций) в ходе операции Загрузка (Download).</t>
  </si>
  <si>
    <t xml:space="preserve">5UAHA00</t>
  </si>
  <si>
    <t xml:space="preserve">Ошибка проверки контрольной суммы во время загрузки ПО Нижнего уровня EP в MAIN-контроллер.</t>
  </si>
  <si>
    <t xml:space="preserve">5UAHB00</t>
  </si>
  <si>
    <t xml:space="preserve">Ошибка записи во flash-память во время загрузки ПО Нижнего уровня EP в MAIN-контроллер.</t>
  </si>
  <si>
    <t xml:space="preserve">1. Замените плату Основного MAIN контроллера в случае возникновения этой же ошибки после повторной попытки загрузки</t>
  </si>
  <si>
    <t xml:space="preserve">5UBHA00</t>
  </si>
  <si>
    <t xml:space="preserve">Нарушение процесса загрузки ПО Нижнего уровня EP в плату контроллера RBU.</t>
  </si>
  <si>
    <t xml:space="preserve">5UBHB00</t>
  </si>
  <si>
    <t xml:space="preserve">Ошибка записи во flash-память во время загрузки ПО Нижнего уровня EP в RBU-контроллер.</t>
  </si>
  <si>
    <t xml:space="preserve">1. Замените плату контроллера RBU в случае повторения ошибки после повторной попытки загрузки </t>
  </si>
  <si>
    <t xml:space="preserve">5USCE00</t>
  </si>
  <si>
    <t xml:space="preserve">Ошибка проверки контрольной суммы загрузки бинарного файла EP.</t>
  </si>
  <si>
    <t xml:space="preserve">1. Повторите попытку с нормальным бинарным файлом ПО нижнего уровня EP</t>
  </si>
  <si>
    <t xml:space="preserve">5USDE00</t>
  </si>
  <si>
    <t xml:space="preserve">Ошибка загрузки данных.</t>
  </si>
  <si>
    <t xml:space="preserve">1. Повторите попытку после восстановления лини связи</t>
  </si>
  <si>
    <t xml:space="preserve">5USSE00</t>
  </si>
  <si>
    <t xml:space="preserve">Последовательный номер задвоен с командой download.</t>
  </si>
  <si>
    <t xml:space="preserve">5UUS100</t>
  </si>
  <si>
    <t xml:space="preserve">Ошибка дублирования номера последовательности USB в ходе операции Загрузки (Download).</t>
  </si>
  <si>
    <t xml:space="preserve">5UUS300</t>
  </si>
  <si>
    <t xml:space="preserve">Ошибка длины данных команды USB  when Download.</t>
  </si>
  <si>
    <t xml:space="preserve">5V8HA01</t>
  </si>
  <si>
    <t xml:space="preserve">Ошибка датчика GS801A в ходе чтения системной информации (System Info).</t>
  </si>
  <si>
    <t xml:space="preserve">5V8HA02</t>
  </si>
  <si>
    <t xml:space="preserve">Ошибка датчика GS801B в ходе чтения системной информации (System Info).</t>
  </si>
  <si>
    <t xml:space="preserve">5V8HA03</t>
  </si>
  <si>
    <t xml:space="preserve">Ошибка датчиков GS801A, GS801B в ходе чтения системной информации (System Info).</t>
  </si>
  <si>
    <t xml:space="preserve">5V8HA04</t>
  </si>
  <si>
    <t xml:space="preserve">Ошибка датчика GS802A в ходе чтения системной информации (System Info).</t>
  </si>
  <si>
    <t xml:space="preserve">5V8HA05</t>
  </si>
  <si>
    <t xml:space="preserve">Ошибка датчиков GS801A, GS802A в ходе чтения системной информации (System Info).</t>
  </si>
  <si>
    <t xml:space="preserve">5V8HA06</t>
  </si>
  <si>
    <t xml:space="preserve">Ошибка датчиков GS801B, GS802A в ходе чтения системной информации (System Info).</t>
  </si>
  <si>
    <t xml:space="preserve">5V8HA07</t>
  </si>
  <si>
    <t xml:space="preserve">Ошибка датчиков GS801A, GS801B, GS802A в ходе чтения системной информации (System Info).</t>
  </si>
  <si>
    <t xml:space="preserve">5V8HA08</t>
  </si>
  <si>
    <t xml:space="preserve">Ошибка датчика GS802B в ходе чтения системной информации (System Info).</t>
  </si>
  <si>
    <t xml:space="preserve">5V8HA09</t>
  </si>
  <si>
    <t xml:space="preserve">Ошибка датчиков GS801A, GS802B в ходе чтения системной информации (System Info).</t>
  </si>
  <si>
    <t xml:space="preserve">5V8HA10</t>
  </si>
  <si>
    <t xml:space="preserve">Ошибка датчиков GS801B, GS802B в ходе чтения системной информации (System Info).</t>
  </si>
  <si>
    <t xml:space="preserve">5V8HA11</t>
  </si>
  <si>
    <t xml:space="preserve">Ошибка датчиков GS801A, GS801B, GS802B в ходе чтения системной информации (System Info).</t>
  </si>
  <si>
    <t xml:space="preserve">5V8HA12</t>
  </si>
  <si>
    <t xml:space="preserve">Ошибка датчиков GS802A, GS802B в ходе чтения системной информации (System Info).</t>
  </si>
  <si>
    <t xml:space="preserve">5V8HA13</t>
  </si>
  <si>
    <t xml:space="preserve">Ошибка датчиков GS801A, GS802A, GS802B в ходе чтения системной информации (System Info).</t>
  </si>
  <si>
    <t xml:space="preserve">5V8HA14</t>
  </si>
  <si>
    <t xml:space="preserve">Ошибка датчиков GS801B, GS802A, GS802B в ходе чтения системной информации (System Info).</t>
  </si>
  <si>
    <t xml:space="preserve">5V8HA15</t>
  </si>
  <si>
    <t xml:space="preserve">Ошибка датчиков GS801A, GS801B, GS802A, GS802B в ходе чтения системной информации (System Info).</t>
  </si>
  <si>
    <t xml:space="preserve">5V8HF03</t>
  </si>
  <si>
    <t xml:space="preserve">Ошибка загрузки данных шейдинга Контактного датчика изображения CIS в ходе чтения системной информации (System Info).</t>
  </si>
  <si>
    <t xml:space="preserve">5V8HF04</t>
  </si>
  <si>
    <t xml:space="preserve">Ошибка загрузки таблицы БД распознавания в ходе чтения системной информации (System Info).</t>
  </si>
  <si>
    <t xml:space="preserve">5V8HF05</t>
  </si>
  <si>
    <t xml:space="preserve">Ошибка контрольной суммы данных ПЛИС Модуля Валидатора банкнот BC в ходе чтения системной информации (System Info).</t>
  </si>
  <si>
    <t xml:space="preserve">5V8HF06</t>
  </si>
  <si>
    <t xml:space="preserve">Ошибка конфигурации ПЛИС Модуля Валидатора банкнот BC в ходе чтения системной информации (System Info).</t>
  </si>
  <si>
    <t xml:space="preserve">5V8HF07</t>
  </si>
  <si>
    <t xml:space="preserve">Ошибка загрузки данных заголовка ПЛИС Модуля Валидатора банкнот BC header в ходе операции Чтение Cистемных Данных (System Info Read).</t>
  </si>
  <si>
    <t xml:space="preserve">5V8HF08</t>
  </si>
  <si>
    <t xml:space="preserve">Ошибка инициализации ПЛИС в ходе чтения системной информации (System Info).</t>
  </si>
  <si>
    <t xml:space="preserve">5V8HF09</t>
  </si>
  <si>
    <t xml:space="preserve">Ошибка чтения ПЛИС в ходе чтения системной информации (System Info).</t>
  </si>
  <si>
    <t xml:space="preserve">5V8HF11</t>
  </si>
  <si>
    <t xml:space="preserve">Ошибка загрузки Базы Данных распознавания #01 в ходе чтения системной информации (System Info).</t>
  </si>
  <si>
    <t xml:space="preserve">5V8HF12</t>
  </si>
  <si>
    <t xml:space="preserve">Ошибка загрузки Базы Данных распознавания #02 в ходе чтения системной информации (System Info).</t>
  </si>
  <si>
    <t xml:space="preserve">5V8HF13</t>
  </si>
  <si>
    <t xml:space="preserve">Ошибка загрузки Базы Данных распознавания #03 в ходе чтения системной информации (System Info).</t>
  </si>
  <si>
    <t xml:space="preserve">5V8HF14</t>
  </si>
  <si>
    <t xml:space="preserve">Ошибка загрузки Базы Данных распознавания #04 в ходе чтения системной информации (System Info).</t>
  </si>
  <si>
    <t xml:space="preserve">5V8HF15</t>
  </si>
  <si>
    <t xml:space="preserve">Ошибка загрузки Базы Данных распознавания #05 в ходе чтения системной информации (System Info).</t>
  </si>
  <si>
    <t xml:space="preserve">5V8HF16</t>
  </si>
  <si>
    <t xml:space="preserve">Ошибка загрузки Базы Данных распознавания #06 в ходе чтения системной информации (System Info).</t>
  </si>
  <si>
    <t xml:space="preserve">5V8HF17</t>
  </si>
  <si>
    <t xml:space="preserve">Ошибка загрузки Базы Данных распознавания #07 в ходе чтения системной информации (System Info).</t>
  </si>
  <si>
    <t xml:space="preserve">5V8HF18</t>
  </si>
  <si>
    <t xml:space="preserve">Ошибка загрузки Базы Данных распознавания #08 в ходе чтения системной информации (System Info).</t>
  </si>
  <si>
    <t xml:space="preserve">5V8HF19</t>
  </si>
  <si>
    <t xml:space="preserve">Ошибка загрузки Базы Данных распознавания #09 в ходе чтения системной информации (System Info).</t>
  </si>
  <si>
    <t xml:space="preserve">5V8HF20</t>
  </si>
  <si>
    <t xml:space="preserve">Ошибка загрузки Базы Данных распознавания #10 в ходе чтения системной информации (System Info).</t>
  </si>
  <si>
    <t xml:space="preserve">5V8HG01</t>
  </si>
  <si>
    <t xml:space="preserve">Ошибка установки режима при выполнении команды BCU mode в ходе операции Чтение Системных Данных (System Info Read).</t>
  </si>
  <si>
    <t xml:space="preserve">5V8HG02</t>
  </si>
  <si>
    <t xml:space="preserve">Ошибка установленного уровня распознавания при выполнении команды BCU mode в ходе операции Чтение Системных Данных (System Info Read).</t>
  </si>
  <si>
    <t xml:space="preserve">5V8HG03</t>
  </si>
  <si>
    <t xml:space="preserve">Ошибка установки начала транзакции при выполнении команды BCU ready в ходе операции Чтение Системных Данных (System Info Read).</t>
  </si>
  <si>
    <t xml:space="preserve">5V8HG04</t>
  </si>
  <si>
    <t xml:space="preserve">Ошибка установки режима при выполнении команды BCU ready в ходе операции Чтение Системных Данных (System Info Read).</t>
  </si>
  <si>
    <t xml:space="preserve">5V8HG05</t>
  </si>
  <si>
    <t xml:space="preserve">Ошибка установленного уровня распознавания при выполнении команды BCU ready в ходе операции Чтение Системных Данных (System Info Read).</t>
  </si>
  <si>
    <t xml:space="preserve">5V8HG06</t>
  </si>
  <si>
    <t xml:space="preserve">Ошибка направления внесения Модуля Валидатора банкнот BC при выполнении команды BCU ready в ходе операции Чтение Системных Данных (System Info Read).</t>
  </si>
  <si>
    <t xml:space="preserve">5V8HG07</t>
  </si>
  <si>
    <t xml:space="preserve">Ошибка получения неопределенной команды Модуля Валидатора банкнот BCU в ходе чтения системной информации (System Info).</t>
  </si>
  <si>
    <t xml:space="preserve">5V8HG08</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</si>
  <si>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Чтение Системных Данных (System Info Read).</t>
  </si>
  <si>
    <t xml:space="preserve">5V8HG09</t>
  </si>
  <si>
    <t xml:space="preserve">Ошибка настройки кода страны при выполнении команды записи данных в Модуль Валидатора банкнот BCUв ходе операции Чтение Системных Данных (System Info Read).</t>
  </si>
  <si>
    <t xml:space="preserve">5V8HG10</t>
  </si>
  <si>
    <t xml:space="preserve">Ошибка отсутствия БД распознавания для страны в процессе получения команды BCU data write в ходе операции Чтение Системных Данных (System Info Read).</t>
  </si>
  <si>
    <t xml:space="preserve">5V8HG11</t>
  </si>
  <si>
    <t xml:space="preserve">Не установлен код страны при получении команды BCU ready в ходе операции Чтение Системных Данных (System Info Read).</t>
  </si>
  <si>
    <t xml:space="preserve">5V8HG12</t>
  </si>
  <si>
    <t xml:space="preserve">Спецификация Модуля Валидатора банкнот BC отличается от параметра команды записи данных в ходе чтения системной информации (System Info).</t>
  </si>
  <si>
    <t xml:space="preserve">5V8HG20</t>
  </si>
  <si>
    <t xml:space="preserve">Ошибка инициализации Контактного датчика изображения CIS при получении команды BCU ready в ходе операции Чтение Системных Данных (System Info Read).</t>
  </si>
  <si>
    <t xml:space="preserve">5V8HG21</t>
  </si>
  <si>
    <t xml:space="preserve">Ошибка включения при получении команды BCU ready в ходе операции Чтение Системных Данных (System Info Read).</t>
  </si>
  <si>
    <t xml:space="preserve">5V8HG22</t>
  </si>
  <si>
    <t xml:space="preserve">Ошибка инициализации датчика определения сдвоенных банкнот DD при получении команды BCU ready в ходе операции Чтение Системных Данных (System Info Read).</t>
  </si>
  <si>
    <t xml:space="preserve">5V8HG23</t>
  </si>
  <si>
    <t xml:space="preserve">Ошибка настройки ЦАП Датчика определения сдвоенных банкнот DD при получении команды BCU ready в ходе операции Чтение Системных Данных (System Info Read).</t>
  </si>
  <si>
    <t xml:space="preserve">5V8HG24</t>
  </si>
  <si>
    <t xml:space="preserve">Ошибка режима настройки энкодера при получении команды BCU ready в ходе операции Чтение Системных Данных (System Info Read).</t>
  </si>
  <si>
    <t xml:space="preserve">5V8HG36</t>
  </si>
  <si>
    <t xml:space="preserve">Ошибка режима распознавания при выполнении команды receiving BCU mode в ходе операции Чтение Системных Данных (System Info Read).</t>
  </si>
  <si>
    <t xml:space="preserve">5V8HG37</t>
  </si>
  <si>
    <t xml:space="preserve">Ошибка настроек транзакции при выполнении команды receiving BCU mode в ходе операции Чтение Системных Данных (System Info Read).</t>
  </si>
  <si>
    <t xml:space="preserve">5V8HI01</t>
  </si>
  <si>
    <t xml:space="preserve">Ошибка тайм-аута RecogTask Message в ходе операции Чтение Системных Данных (System Info Read).</t>
  </si>
  <si>
    <t xml:space="preserve">5V8HI02</t>
  </si>
  <si>
    <t xml:space="preserve">Ошибка тайм-аута ScanTask Message в ходе операции Чтение Системных Данных (System Info Read).</t>
  </si>
  <si>
    <t xml:space="preserve">5V8HI03</t>
  </si>
  <si>
    <t xml:space="preserve">Ошибка тайм-аута UartTask Message в ходе операции Чтение Системных Данных (System Info Read).</t>
  </si>
  <si>
    <t xml:space="preserve">5V8HI04</t>
  </si>
  <si>
    <t xml:space="preserve">Ошибка тайм-аута BcUsbTask Message в ходе операции Чтение Системных Данных (System Info Read).</t>
  </si>
  <si>
    <t xml:space="preserve">5V8HJ01</t>
  </si>
  <si>
    <t xml:space="preserve">Ошибка инициализации алгоритма распознавания в ходе операции Чтение Системных Данных (System Info Read).</t>
  </si>
  <si>
    <t xml:space="preserve">5V8HJ02</t>
  </si>
  <si>
    <t xml:space="preserve">Ошибка готовности Алгоритма Распознавания в ходе операции Чтение Системных Данных (System Info Read).</t>
  </si>
  <si>
    <t xml:space="preserve">5V8HJ03</t>
  </si>
  <si>
    <t xml:space="preserve">Ошибка алгоритма распознавания набора валют в ходе операции Чтение Системных Данных (System Info Read).</t>
  </si>
  <si>
    <t xml:space="preserve">5V8HS01</t>
  </si>
  <si>
    <t xml:space="preserve">Ошибка ПЛИС Write Scan Driver Init в ходе операции Чтение Системных Данных (System Info Read).</t>
  </si>
  <si>
    <t xml:space="preserve">5V8HS02</t>
  </si>
  <si>
    <t xml:space="preserve">Ошибка Sensor (MR/UV/DD/Gate) Power Off Scan Driver Init в ходе операции Чтение Системных Данных (System Info Read).</t>
  </si>
  <si>
    <t xml:space="preserve">5V8HS03</t>
  </si>
  <si>
    <t xml:space="preserve">Ошибка Контактного датчика изображения CIS Led On Value Set Fail Scan Driver Init в ходе операции Чтение Системных Данных (System Info Read).</t>
  </si>
  <si>
    <t xml:space="preserve">5V8HS04</t>
  </si>
  <si>
    <t xml:space="preserve">Ошибка Источника Света Set Fail Scan Driver Init в ходе операции Чтение Системных Данных (System Info Read).</t>
  </si>
  <si>
    <t xml:space="preserve">5V8HS05</t>
  </si>
  <si>
    <t xml:space="preserve">Ошибка Контактного датчика изображения CIS Shading Scan Driver Init в ходе операции Чтение Системных Данных (System Info Read).</t>
  </si>
  <si>
    <t xml:space="preserve">5V8HS08</t>
  </si>
  <si>
    <t xml:space="preserve">Ошибка ЦАП Set Fail Scan Driver Init в ходе операции Чтение Системных Данных (System Info Read).</t>
  </si>
  <si>
    <t xml:space="preserve">5V8HS11</t>
  </si>
  <si>
    <t xml:space="preserve">Ошибка ПЛИС Write BCU Ready в ходе операции Чтение Системных Данных (System Info Read).</t>
  </si>
  <si>
    <t xml:space="preserve">5V8HS12</t>
  </si>
  <si>
    <t xml:space="preserve">Ошибка Sensor (MR/UV/DD/Gate) Power Off BCU Ready в ходе операции Чтение Системных Данных (System Info Read).</t>
  </si>
  <si>
    <t xml:space="preserve">5V8HS13</t>
  </si>
  <si>
    <t xml:space="preserve">Ошибка Контактного датчика изображения CIS Led On Value Set Fail BCU Ready в ходе операции Чтение Системных Данных (System Info Read).</t>
  </si>
  <si>
    <t xml:space="preserve">5V8HS14</t>
  </si>
  <si>
    <t xml:space="preserve">Ошибка Источника Света Set Fail BCU Ready в ходе операции Чтение Системных Данных (System Info Read).</t>
  </si>
  <si>
    <t xml:space="preserve">5V8HS15</t>
  </si>
  <si>
    <t xml:space="preserve">Ошибка Контактного датчика изображения CIS Shading BCU Ready в ходе операции Чтение Системных Данных (System Info Read).</t>
  </si>
  <si>
    <t xml:space="preserve">5V8HS17</t>
  </si>
  <si>
    <t xml:space="preserve">Ошибка AFE Chip Set BCU Ready в ходе операции Чтение Системных Данных (System Info Read).</t>
  </si>
  <si>
    <t xml:space="preserve">5V8HS18</t>
  </si>
  <si>
    <t xml:space="preserve">Ошибка ЦАП Set Fail BCU Ready в ходе операции Чтение Системных Данных (System Info Read).</t>
  </si>
  <si>
    <t xml:space="preserve">5V8HS19</t>
  </si>
  <si>
    <t xml:space="preserve">Ошибка MR/UV/DD Sampling BCU Ready в ходе операции Чтение Системных Данных (System Info Read).</t>
  </si>
  <si>
    <t xml:space="preserve">5V8HS1A</t>
  </si>
  <si>
    <t xml:space="preserve">Ошибка ЦАП Датчика Холла Set Fail BCU Ready в ходе операции Чтение Системных Данных (System Info Read).</t>
  </si>
  <si>
    <t xml:space="preserve">5V8HS1B</t>
  </si>
  <si>
    <t xml:space="preserve">Ошибка Датчика Холла Shading Fail BCU Ready в ходе операции Чтение Системных Данных (System Info Read).</t>
  </si>
  <si>
    <t xml:space="preserve">5V8HS22</t>
  </si>
  <si>
    <t xml:space="preserve">Ошибка Модуля Валидатора BC Stop Sensor (MR/UV/DD/Gate) Power Off Scan Driver Init в ходе операции Чтение Системных Данных (System Info Read).</t>
  </si>
  <si>
    <t xml:space="preserve">5V8HS28</t>
  </si>
  <si>
    <t xml:space="preserve">Ошибка Модуля Валидатора BC Stop DAC Set Fail Scan Driver Init в ходе операции Чтение Системных Данных (System Info Read).</t>
  </si>
  <si>
    <t xml:space="preserve">5V8HS29</t>
  </si>
  <si>
    <t xml:space="preserve">Ошибка Модуля Валидатора BC Stop MR/UV/DD Sampling BCU Ready в ходе операции Чтение Системных Данных (System Info Read).</t>
  </si>
  <si>
    <t xml:space="preserve">5V8S100</t>
  </si>
  <si>
    <t xml:space="preserve">Получена неправильная Информация о памяти MI от Модуля Валидатора банкнот BC в ходе чтения системной информации (System Info).</t>
  </si>
  <si>
    <t xml:space="preserve">5V8S200</t>
  </si>
  <si>
    <t xml:space="preserve">Получен ненормальный BCC от Модуля Валидатора банкнот в ходе чтения системной информации (System Info).</t>
  </si>
  <si>
    <t xml:space="preserve">5V8S400</t>
  </si>
  <si>
    <t xml:space="preserve">Получена ошибка ETC. от Модуля Валидатора банкнот BC в ходе чтения системной информации (System Info).</t>
  </si>
  <si>
    <t xml:space="preserve">5V8S900</t>
  </si>
  <si>
    <t xml:space="preserve">Повторная попытка завершилась ошибкой Модуля Валидатора банкнот BC в ходе чтения системной информации (System Info).</t>
  </si>
  <si>
    <t xml:space="preserve">5VAA300</t>
  </si>
  <si>
    <t xml:space="preserve">Отстыкованное состояние концевого переключателя (inter lock) Верхней части Модуля Рециркуляции Банкнот BMU в ходе чтения системной информации (System Info).</t>
  </si>
  <si>
    <t xml:space="preserve">5VAA400</t>
  </si>
  <si>
    <t xml:space="preserve">Выдвинутое состояние Верхней части Модуля Рециркуляции Банкнот BMU перед выполнением команды Чтение Системных Данных (System Info Read).</t>
  </si>
  <si>
    <t xml:space="preserve">5VAA500</t>
  </si>
  <si>
    <t xml:space="preserve">Status of Safe door open перед выполнением команды Чтение Системных Данных (System Info Read).</t>
  </si>
  <si>
    <t xml:space="preserve">5VAA700</t>
  </si>
  <si>
    <t xml:space="preserve">Вынутое состояние Кассеты Отбраковки RJC перед выполнением команды Чтение Системных Данных (System Info Read).</t>
  </si>
  <si>
    <t xml:space="preserve">5VAA800</t>
  </si>
  <si>
    <t xml:space="preserve">Отстыкованное состояние концевого переключателя (inter lock) Нижней части Модуля Рециркуляции Банкнот BMD перед выполнением команды Чтение Системных Данных (System Info Read).</t>
  </si>
  <si>
    <t xml:space="preserve">5VAA900</t>
  </si>
  <si>
    <t xml:space="preserve">Выдвинутое состояние Нижней части Модуля Рециркуляции Банкнот BMD перед выполнением команды Чтение Системных Данных (System Info Read).</t>
  </si>
  <si>
    <t xml:space="preserve">5VAAA00</t>
  </si>
  <si>
    <t xml:space="preserve">Модуль Валидатора банкнот BC открыт перед выполнением команды Чтение Системных Данных (System Info Read).</t>
  </si>
  <si>
    <t xml:space="preserve">5VAAB00</t>
  </si>
  <si>
    <t xml:space="preserve">Переполненная Кассета Рециркуляции RC перед выполнением команды Чтение Системных Данных (System Info Read).</t>
  </si>
  <si>
    <t xml:space="preserve">5VAAC00</t>
  </si>
  <si>
    <t xml:space="preserve">Переполненная Кассета Отбраковки RJC перед выполнением команды Чтение Системных Данных (System Info Read).</t>
  </si>
  <si>
    <t xml:space="preserve">5VAAD00</t>
  </si>
  <si>
    <t xml:space="preserve">Переполненная Вспомогательная кассета UTC1 перед выполнением команды Чтение Системных Данных (System Info Read).</t>
  </si>
  <si>
    <t xml:space="preserve">5VAAE00</t>
  </si>
  <si>
    <t xml:space="preserve">Переполненная Вспомогательная кассета UTC2 перед выполнением команды Чтение Системных Данных (System Info Read).</t>
  </si>
  <si>
    <t xml:space="preserve">5VAAF00</t>
  </si>
  <si>
    <t xml:space="preserve">Пустая Кассета Рециркуляции RC перед выполнением команды Чтение Системных Данных (System Info Read).</t>
  </si>
  <si>
    <t xml:space="preserve">5VAE600</t>
  </si>
  <si>
    <t xml:space="preserve">Ошибка обработки команды Чтение Системных Данных (System Info Read) в ходе операции Работа кнопки TE (TE Button Operating).</t>
  </si>
  <si>
    <t xml:space="preserve">5VAEE00</t>
  </si>
  <si>
    <t xml:space="preserve">Нарушение последовательности сообщений интерфейса RS485 платы контроллера RBU в ходе чтения системной информации (System Info).</t>
  </si>
  <si>
    <t xml:space="preserve">5VAEF00</t>
  </si>
  <si>
    <t xml:space="preserve">Нарушение линии связи интерфейса RS485 платы контроллера RBU в ходе чтения системной информации (System Info).</t>
  </si>
  <si>
    <t xml:space="preserve">5VAH500</t>
  </si>
  <si>
    <t xml:space="preserve">Ошибка Чтения/Записи памяти NVRAM (128 деноминаций) в ходе операции Чтение Системных Данных (System Info Read).</t>
  </si>
  <si>
    <t xml:space="preserve">Ошибка чтения/записи данных памяти NVRAM (128 деноминаций) в ходе операции Чтение Cистемных Данных (System Info Read).</t>
  </si>
  <si>
    <t xml:space="preserve">5VBH100</t>
  </si>
  <si>
    <t xml:space="preserve">Ошибка чтения памяти EEPROM Кассеты Рециркуляции RC1 при получении команды Чтение Системных Данных (System Info Read).</t>
  </si>
  <si>
    <t xml:space="preserve">5VBH200</t>
  </si>
  <si>
    <t xml:space="preserve">Ошибка чтения памяти EEPROM Кассеты Рециркуляции RC2 при получении команды Чтение Системных Данных (System Info Read).</t>
  </si>
  <si>
    <t xml:space="preserve">5VBH300</t>
  </si>
  <si>
    <t xml:space="preserve">Ошибка чтения памяти EEPROM Кассеты Рециркуляции RC3 при получении команды Чтение Системных Данных (System Info Read).</t>
  </si>
  <si>
    <t xml:space="preserve">5VBH400</t>
  </si>
  <si>
    <t xml:space="preserve">Ошибка чтения памяти EEPROM Кассеты Рециркуляции RC4 при получении команды Чтение Системных Данных (System Info Read).</t>
  </si>
  <si>
    <t xml:space="preserve">5VBH500</t>
  </si>
  <si>
    <t xml:space="preserve">Ошибка чтения памяти EEPROM Кассеты Рециркуляции RC5 при получении команды Чтение Системных Данных (System Info Read).</t>
  </si>
  <si>
    <t xml:space="preserve">5VBH600</t>
  </si>
  <si>
    <t xml:space="preserve">Ошибка записи памяти EEPROM Кассеты Рециркуляции RC1 при получении команды Чтение Системных Данных (System Info Read).</t>
  </si>
  <si>
    <t xml:space="preserve">5VBH700</t>
  </si>
  <si>
    <t xml:space="preserve">Ошибка записи памяти EEPROM Кассеты Рециркуляции RC2 при получении команды Чтение Системных Данных (System Info Read).</t>
  </si>
  <si>
    <t xml:space="preserve">5VBH800</t>
  </si>
  <si>
    <t xml:space="preserve">Ошибка записи памяти EEPROM Кассеты Рециркуляции RC3 при получении команды Чтение Системных Данных (System Info Read).</t>
  </si>
  <si>
    <t xml:space="preserve">5VBH900</t>
  </si>
  <si>
    <t xml:space="preserve">Ошибка записи памяти EEPROM Кассеты Рециркуляции RC4 при получении команды Чтение Системных Данных (System Info Read).</t>
  </si>
  <si>
    <t xml:space="preserve">5VBHA00</t>
  </si>
  <si>
    <t xml:space="preserve">Ошибка записи памяти EEPROM Кассеты Рециркуляции RC5 при получении команды Чтение Системных Данных (System Info Read).</t>
  </si>
  <si>
    <t xml:space="preserve">5VBHB00</t>
  </si>
  <si>
    <t xml:space="preserve">5VBHC00</t>
  </si>
  <si>
    <t xml:space="preserve">5VBHD00</t>
  </si>
  <si>
    <t xml:space="preserve">5VBHE00</t>
  </si>
  <si>
    <t xml:space="preserve">5VBHF00</t>
  </si>
  <si>
    <t xml:space="preserve">5VBHG00</t>
  </si>
  <si>
    <t xml:space="preserve">Не обнаружен концевой переключатель (интерлок) при Чтении/Записи памяти EEPROM Кассеты Рециркуляции RC в ходе чтения системной информации (System Info).</t>
  </si>
  <si>
    <t xml:space="preserve">5VBHH00</t>
  </si>
  <si>
    <t xml:space="preserve">Не удалось проверить датчик Депозитной кассеты DPC, так как не был обнаружен концевой переключатель (интерлок) в ходе чтения системной информации (System Info).</t>
  </si>
  <si>
    <t xml:space="preserve">5VBHQ00</t>
  </si>
  <si>
    <t xml:space="preserve">Ошибка чтения DIP-переключателя Кассеты Рециркуляции RC1 при получении команды Чтение Системных Данных (System Info Read)</t>
  </si>
  <si>
    <t xml:space="preserve">1. Проверьте разъем Кассеты Рециркуляции 2. Выньте и повторно вставьте Кассету Рециркуляции 3. Замените Кассету Рециркуляции в случае повторения ошибки в процессе выполнения инициализации.</t>
  </si>
  <si>
    <t xml:space="preserve">5VBHR00</t>
  </si>
  <si>
    <t xml:space="preserve">Ошибка чтения DIP-переключателя Кассеты Рециркуляции RC2 при получении команды Чтение Системных Данных (System Info Read)</t>
  </si>
  <si>
    <t xml:space="preserve">5VBHS00</t>
  </si>
  <si>
    <t xml:space="preserve">Ошибка чтения DIP-переключателя Кассеты Рециркуляции RC3 при получении команды Чтение Системных Данных (System Info Read)</t>
  </si>
  <si>
    <t xml:space="preserve">5VBHT00</t>
  </si>
  <si>
    <t xml:space="preserve">Ошибка чтения DIP-переключателя Кассеты Рециркуляции RC4 при получении команды Чтение Системных Данных (System Info Read)</t>
  </si>
  <si>
    <t xml:space="preserve">5VBHU00</t>
  </si>
  <si>
    <t xml:space="preserve">Ошибка чтения DIP-переключателя Кассеты Рециркуляции RC5 при получении команды Чтение Системных Данных (System Info Read)</t>
  </si>
  <si>
    <t xml:space="preserve">5VBR000</t>
  </si>
  <si>
    <t xml:space="preserve">Превышено время ожидание ответа платы контроллера RBU в ходе чтения системной информации (System Info).</t>
  </si>
  <si>
    <t xml:space="preserve">5VBR700</t>
  </si>
  <si>
    <t xml:space="preserve">Контроллер RBU вернул ошибку таймаута сообщения в ходе чтения системной информации (System Info).</t>
  </si>
  <si>
    <t xml:space="preserve">5VBS000</t>
  </si>
  <si>
    <t xml:space="preserve">5VBS100</t>
  </si>
  <si>
    <t xml:space="preserve">5VBS200</t>
  </si>
  <si>
    <t xml:space="preserve">5VSSE00</t>
  </si>
  <si>
    <t xml:space="preserve">Последовательный номер задвоен с командой Version read.</t>
  </si>
  <si>
    <t xml:space="preserve">5VUS100</t>
  </si>
  <si>
    <t xml:space="preserve">5VUS300</t>
  </si>
  <si>
    <t xml:space="preserve">5W1SZ00</t>
  </si>
  <si>
    <t xml:space="preserve">Режим работы не ' No use' при том, что счетчик деноминаций установлен в 0 для Кассеты Рециркуляции RC1  в ходе операции Установка Начальных Данных (Initial Info Set).</t>
  </si>
  <si>
    <t xml:space="preserve">5W2SZ00</t>
  </si>
  <si>
    <t xml:space="preserve">Режим работы не ' No use' при том, что счетчик деноминаций установлен в 0 для Кассеты Рециркуляции RC2  в ходе операции Установка Начальных Данных (Initial Info Set).</t>
  </si>
  <si>
    <t xml:space="preserve">5W3SZ00</t>
  </si>
  <si>
    <t xml:space="preserve">Режим работы не ' No use' при том, что счетчик деноминаций установлен в 0 для Кассеты Рециркуляции RC2 и RC3  в ходе операции Установка Начальных Данных (Initial Info Set).</t>
  </si>
  <si>
    <t xml:space="preserve">5W4SZ00</t>
  </si>
  <si>
    <t xml:space="preserve">Режим работы не ' No use' при том, что счетчик деноминаций установлен в 0 для Кассеты Рециркуляции RC4 и RC2  в ходе операции Установка Начальных Данных (Initial Info Set).</t>
  </si>
  <si>
    <t xml:space="preserve">5W5SZ00</t>
  </si>
  <si>
    <t xml:space="preserve">Режим работы не ' No use' при том, что счетчик деноминаций установлен в 0 для Кассеты Рециркуляции RC5 и RC2  в ходе операции Установка Начальных Данных (Initial Info Set).</t>
  </si>
  <si>
    <t xml:space="preserve">5W8HA01</t>
  </si>
  <si>
    <t xml:space="preserve">Ошибка датчика GS801A в ходе операции Установка Начальных Данных (Initial Info Set).</t>
  </si>
  <si>
    <t xml:space="preserve">5W8HA02</t>
  </si>
  <si>
    <t xml:space="preserve">Ошибка датчика GS801B в ходе операции Установка Начальных Данных (Initial Info Set).</t>
  </si>
  <si>
    <t xml:space="preserve">5W8HA03</t>
  </si>
  <si>
    <t xml:space="preserve">Ошибка датчиков GS801A, GS801B в ходе операции Установка Начальных Данных (Initial Info Set).</t>
  </si>
  <si>
    <t xml:space="preserve">5W8HA04</t>
  </si>
  <si>
    <t xml:space="preserve">Ошибка датчика GS802A в ходе операции Установка Начальных Данных (Initial Info Set).</t>
  </si>
  <si>
    <t xml:space="preserve">5W8HA05</t>
  </si>
  <si>
    <t xml:space="preserve">Ошибка датчиков GS801A, GS802A в ходе операции Установка Начальных Данных (Initial Info Set).</t>
  </si>
  <si>
    <t xml:space="preserve">5W8HA06</t>
  </si>
  <si>
    <t xml:space="preserve">Ошибка датчиков GS801B, GS802A в ходе операции Установка Начальных Данных (Initial Info Set).</t>
  </si>
  <si>
    <t xml:space="preserve">5W8HA07</t>
  </si>
  <si>
    <t xml:space="preserve">Ошибка датчиков GS801A, GS801B, GS802A в ходе операции Установка Начальных Данных (Initial Info Set).</t>
  </si>
  <si>
    <t xml:space="preserve">5W8HA08</t>
  </si>
  <si>
    <t xml:space="preserve">Ошибка датчика GS802B в ходе операции Установка Начальных Данных (Initial Info Set).</t>
  </si>
  <si>
    <t xml:space="preserve">5W8HA09</t>
  </si>
  <si>
    <t xml:space="preserve">Ошибка датчиков GS801A, GS802B в ходе операции Установка Начальных Данных (Initial Info Set).</t>
  </si>
  <si>
    <t xml:space="preserve">5W8HA10</t>
  </si>
  <si>
    <t xml:space="preserve">Ошибка датчиков GS801B, GS802B в ходе операции Установка Начальных Данных (Initial Info Set).</t>
  </si>
  <si>
    <t xml:space="preserve">5W8HA11</t>
  </si>
  <si>
    <t xml:space="preserve">Ошибка датчиков GS801A, GS801B, GS802B в ходе операции Установка Начальных Данных (Initial Info Set).</t>
  </si>
  <si>
    <t xml:space="preserve">5W8HA12</t>
  </si>
  <si>
    <t xml:space="preserve">Ошибка датчиков GS802A, GS802B в ходе операции Установка Начальных Данных (Initial Info Set).</t>
  </si>
  <si>
    <t xml:space="preserve">5W8HA13</t>
  </si>
  <si>
    <t xml:space="preserve">Ошибка датчиков GS801A, GS802A, GS802B в ходе операции Установка Начальных Данных (Initial Info Set).</t>
  </si>
  <si>
    <t xml:space="preserve">5W8HA14</t>
  </si>
  <si>
    <t xml:space="preserve">Ошибка датчиков GS801B, GS802A, GS802B в ходе операции Установка Начальных Данных (Initial Info Set).</t>
  </si>
  <si>
    <t xml:space="preserve">5W8HA15</t>
  </si>
  <si>
    <t xml:space="preserve">Ошибка датчиков GS801A, GS801B, GS802A, GS802B в ходе операции Установка Начальных Данных (Initial Info Set).</t>
  </si>
  <si>
    <t xml:space="preserve">5W8HF03</t>
  </si>
  <si>
    <t xml:space="preserve">Ошибка загрузки данных шейдинга Контактного датчика изображения CIS в ходе операции Установка Начальных Данных (Initial Info Set).</t>
  </si>
  <si>
    <t xml:space="preserve">5W8HF04</t>
  </si>
  <si>
    <t xml:space="preserve">Ошибка загрузки таблицы БД распознавания в ходе операции Установка Начальных Данных (Initial Info Set).</t>
  </si>
  <si>
    <t xml:space="preserve">5W8HF05</t>
  </si>
  <si>
    <t xml:space="preserve">Ошибка контрольной суммы данных ПЛИС Модуля Валидатора банкнот BC в ходе операции Установка Начальных Данных (Initial Info Set).</t>
  </si>
  <si>
    <t xml:space="preserve">5W8HF06</t>
  </si>
  <si>
    <t xml:space="preserve">Ошибка конфигурации ПЛИС Модуля Валидатора банкнот BC в ходе операции Установка Начальных Данных (Initial Info Set).</t>
  </si>
  <si>
    <t xml:space="preserve">5W8HF07</t>
  </si>
  <si>
    <t xml:space="preserve">Ошибка загрузки данных заголовка ПЛИС Модуля Валидатора банкнот BC header в ходе операции Установка Начальных Данных (Initial Info Set).</t>
  </si>
  <si>
    <t xml:space="preserve">5W8HF08</t>
  </si>
  <si>
    <t xml:space="preserve">Ошибка инициализации ПЛИС в ходе операции Установка Начальных Данных (Initial Info Set)..</t>
  </si>
  <si>
    <t xml:space="preserve">5W8HF09</t>
  </si>
  <si>
    <t xml:space="preserve">Ошибка чтения ПЛИС в ходе операции Установка Начальных Данных (Initial Info Set)..</t>
  </si>
  <si>
    <t xml:space="preserve">5W8HF11</t>
  </si>
  <si>
    <t xml:space="preserve">Ошибка загрузки Базы Данных распознавания #01 в ходе операции Установка Начальных Данных (Initial Info Set).</t>
  </si>
  <si>
    <t xml:space="preserve">5W8HF12</t>
  </si>
  <si>
    <t xml:space="preserve">Ошибка загрузки Базы Данных распознавания #02 в ходе операции Установка Начальных Данных (Initial Info Set).</t>
  </si>
  <si>
    <t xml:space="preserve">5W8HF13</t>
  </si>
  <si>
    <t xml:space="preserve">Ошибка загрузки Базы Данных распознавания #03 в ходе операции Установка Начальных Данных (Initial Info Set).</t>
  </si>
  <si>
    <t xml:space="preserve">5W8HF14</t>
  </si>
  <si>
    <t xml:space="preserve">Ошибка загрузки Базы Данных распознавания #04 в ходе операции Установка Начальных Данных (Initial Info Set).</t>
  </si>
  <si>
    <t xml:space="preserve">5W8HF15</t>
  </si>
  <si>
    <t xml:space="preserve">Ошибка загрузки Базы Данных распознавания #05 в ходе операции Установка Начальных Данных (Initial Info Set).</t>
  </si>
  <si>
    <t xml:space="preserve">5W8HF16</t>
  </si>
  <si>
    <t xml:space="preserve">Ошибка загрузки Базы Данных распознавания #06 в ходе операции Установка Начальных Данных (Initial Info Set).</t>
  </si>
  <si>
    <t xml:space="preserve">5W8HF17</t>
  </si>
  <si>
    <t xml:space="preserve">Ошибка загрузки Базы Данных распознавания #07 в ходе операции Установка Начальных Данных (Initial Info Set).</t>
  </si>
  <si>
    <t xml:space="preserve">5W8HF18</t>
  </si>
  <si>
    <t xml:space="preserve">Ошибка загрузки Базы Данных распознавания #08 в ходе операции Установка Начальных Данных (Initial Info Set).</t>
  </si>
  <si>
    <t xml:space="preserve">5W8HF19</t>
  </si>
  <si>
    <t xml:space="preserve">Ошибка загрузки Базы Данных распознавания #09 в ходе операции Установка Начальных Данных (Initial Info Set).</t>
  </si>
  <si>
    <t xml:space="preserve">5W8HF20</t>
  </si>
  <si>
    <t xml:space="preserve">Ошибка загрузки Базы Данных распознавания #10 в ходе операции Установка Начальных Данных (Initial Info Set).</t>
  </si>
  <si>
    <t xml:space="preserve">5W8HG01</t>
  </si>
  <si>
    <t xml:space="preserve">Ошибка установки режима при выполнении команды BCU mode в ходе операции Установка Начальных Данных (Initial Info Set).</t>
  </si>
  <si>
    <t xml:space="preserve">5W8HG02</t>
  </si>
  <si>
    <t xml:space="preserve">Ошибка установленного уровня распознавания при выполнении команды BCU mode в ходе операции Установка Начальных Данных (Initial Info Set).</t>
  </si>
  <si>
    <t xml:space="preserve">5W8HG03</t>
  </si>
  <si>
    <t xml:space="preserve">Ошибка установки начала транзакции при выполнении команды BCU ready в ходе операции Установка Начальных Данных (Initial Info Set).</t>
  </si>
  <si>
    <t xml:space="preserve">5W8HG04</t>
  </si>
  <si>
    <t xml:space="preserve">Ошибка установки режима при выполнении команды BCU ready в ходе операции Установка Начальных Данных (Initial Info Set).</t>
  </si>
  <si>
    <t xml:space="preserve">5W8HG05</t>
  </si>
  <si>
    <t xml:space="preserve">Ошибка установленного уровня распознавания при выполнении команды BCU ready в ходе операции Установка Начальных Данных (Initial Info Set).</t>
  </si>
  <si>
    <t xml:space="preserve">5W8HG06</t>
  </si>
  <si>
    <t xml:space="preserve">Ошибка направления внесения Модуля Валидатора банкнот BC при выполнении команды BCU ready в ходе операции Установка Начальных Данных (Initial Info Set).</t>
  </si>
  <si>
    <t xml:space="preserve">5W8HG07</t>
  </si>
  <si>
    <t xml:space="preserve">Ошибка получения неопределенной команды Модуля Валидатора банкнот BCU в ходе операции Установка Начальных Данных (Initial Info Set).</t>
  </si>
  <si>
    <t xml:space="preserve">5W8HG08</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</si>
  <si>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Установка Начальных Данных (Initial Info Set).</t>
  </si>
  <si>
    <t xml:space="preserve">5W8HG09</t>
  </si>
  <si>
    <t xml:space="preserve">Ошибка настройки кода страны при выполнении команды записи данных в Модуль Валидатора банкнот BCUв ходе операции Установка Начальных Данных (Initial Info Set).</t>
  </si>
  <si>
    <t xml:space="preserve">5W8HG10</t>
  </si>
  <si>
    <t xml:space="preserve">Ошибка отсутствия БД распознавания для страны в процессе получения команды BCU data write в ходе операции Установка Начальных Данных (Initial Info Set).</t>
  </si>
  <si>
    <t xml:space="preserve">5W8HG11</t>
  </si>
  <si>
    <t xml:space="preserve">Не установлен код страны при получении команды BCU ready в ходе операции Установка Начальных Данных (Initial Info Set).</t>
  </si>
  <si>
    <t xml:space="preserve">5W8HG12</t>
  </si>
  <si>
    <t xml:space="preserve">Спецификация Модуля Валидатора банкнот BC отличается от параметра команды записи данных в ходе операции Установка Начальных Данных (Initial Info Set)..</t>
  </si>
  <si>
    <t xml:space="preserve">5W8HG20</t>
  </si>
  <si>
    <t xml:space="preserve">Ошибка инициализации Контактного датчика изображения CIS при получении команды BCU ready в ходе операции Установка Начальных Данных (Initial Info Set).</t>
  </si>
  <si>
    <t xml:space="preserve">5W8HG21</t>
  </si>
  <si>
    <t xml:space="preserve">Ошибка включения при получении команды BCU ready в ходе операции Установка Начальных Данных (Initial Info Set).</t>
  </si>
  <si>
    <t xml:space="preserve">5W8HG22</t>
  </si>
  <si>
    <t xml:space="preserve">Ошибка инициализации датчика определения сдвоенных банкнот DD при получении команды BCU ready в ходе операции Установка Начальных Данных (Initial Info Set).</t>
  </si>
  <si>
    <t xml:space="preserve">5W8HG23</t>
  </si>
  <si>
    <t xml:space="preserve">Ошибка настройки ЦАП Датчика определения сдвоенных банкнот DD при получении команды BCU ready в ходе операции Установка Начальных Данных (Initial Info Set).</t>
  </si>
  <si>
    <t xml:space="preserve">5W8HG24</t>
  </si>
  <si>
    <t xml:space="preserve">Ошибка режима настройки энкодера при получении команды BCU ready в ходе операции Установка Начальных Данных (Initial Info Set).</t>
  </si>
  <si>
    <t xml:space="preserve">5W8HG36</t>
  </si>
  <si>
    <t xml:space="preserve">Ошибка режима распознавания при выполнении команды receiving BCU mode в ходе операции Установка Начальных Данных (Initial Info Set).</t>
  </si>
  <si>
    <t xml:space="preserve">5W8HG37</t>
  </si>
  <si>
    <t xml:space="preserve">Ошибка настроек транзакции при выполнении команды receiving BCU mode в ходе операции Установка Начальных Данных (Initial Info Set).</t>
  </si>
  <si>
    <t xml:space="preserve">5W8HI01</t>
  </si>
  <si>
    <t xml:space="preserve">Ошибка тайм-аута RecogTask Message в ходе операции Установка Начальных Данных (Initial Info Set).</t>
  </si>
  <si>
    <t xml:space="preserve">5W8HI02</t>
  </si>
  <si>
    <t xml:space="preserve">Ошибка тайм-аута ScanTask Message в ходе операции Установка Начальных Данных (Initial Info Set).</t>
  </si>
  <si>
    <t xml:space="preserve">5W8HI03</t>
  </si>
  <si>
    <t xml:space="preserve">Ошибка тайм-аута UartTask Message в ходе операции Установка Начальных Данных (Initial Info Set).</t>
  </si>
  <si>
    <t xml:space="preserve">5W8HI04</t>
  </si>
  <si>
    <t xml:space="preserve">Ошибка тайм-аута BcUsbTask Message в ходе операции Initial Info Set.</t>
  </si>
  <si>
    <t xml:space="preserve">5W8HJ01</t>
  </si>
  <si>
    <t xml:space="preserve">Ошибка инициализации алгоритма распознавания в ходе операции Установка Начальных Данных (Initial Info Set).</t>
  </si>
  <si>
    <t xml:space="preserve">5W8HJ02</t>
  </si>
  <si>
    <t xml:space="preserve">Ошибка готовности Алгоритма Распознавания в ходе операции Установка Начальных Данных (Initial Info Set).</t>
  </si>
  <si>
    <t xml:space="preserve">5W8HJ03</t>
  </si>
  <si>
    <t xml:space="preserve">Ошибка алгоритма распознавания набора валют в ходе операции Установка Начальных Данных (Initial Info Set).</t>
  </si>
  <si>
    <t xml:space="preserve">5W8HS01</t>
  </si>
  <si>
    <t xml:space="preserve">Ошибка ПЛИС Write Scan Driver Init в ходе операции Установка Начальных Данных (Initial Info Set).</t>
  </si>
  <si>
    <t xml:space="preserve">5W8HS02</t>
  </si>
  <si>
    <t xml:space="preserve">Ошибка Sensor (MR/UV/DD/Gate) Power Off Scan Driver Init в ходе операции Установка Начальных Данных (Initial Info Set).</t>
  </si>
  <si>
    <t xml:space="preserve">5W8HS03</t>
  </si>
  <si>
    <t xml:space="preserve">Ошибка Контактного датчика изображения CIS Led On Value Set Fail Scan Driver Init в ходе операции Установка Начальных Данных (Initial Info Set).</t>
  </si>
  <si>
    <t xml:space="preserve">5W8HS04</t>
  </si>
  <si>
    <t xml:space="preserve">Ошибка Источника Света Set Fail Scan Driver Init в ходе операции Установка Начальных Данных (Initial Info Set).</t>
  </si>
  <si>
    <t xml:space="preserve">5W8HS05</t>
  </si>
  <si>
    <t xml:space="preserve">Ошибка Контактного датчика изображения CIS Shading Scan Driver Init в ходе операции Установка Начальных Данных (Initial Info Set).</t>
  </si>
  <si>
    <t xml:space="preserve">5W8HS08</t>
  </si>
  <si>
    <t xml:space="preserve">Ошибка ЦАП Set Fail Scan Driver Init в ходе операции Установка Начальных Данных (Initial Info Set).</t>
  </si>
  <si>
    <t xml:space="preserve">5W8HS11</t>
  </si>
  <si>
    <t xml:space="preserve">Ошибка ПЛИС Write BCU Ready в ходе операции Установка Начальных Данных (Initial Info Set).</t>
  </si>
  <si>
    <t xml:space="preserve">5W8HS12</t>
  </si>
  <si>
    <t xml:space="preserve">Ошибка Sensor (MR/UV/DD/Gate) Power Off BCU Ready в ходе операции Установка Начальных Данных (Initial Info Set).</t>
  </si>
  <si>
    <t xml:space="preserve">5W8HS13</t>
  </si>
  <si>
    <t xml:space="preserve">Ошибка Контактного датчика изображения CIS Led On Value Set Fail BCU Ready в ходе операции Установка Начальных Данных (Initial Info Set).</t>
  </si>
  <si>
    <t xml:space="preserve">5W8HS14</t>
  </si>
  <si>
    <t xml:space="preserve">Ошибка Источника Света Set Fail BCU Ready в ходе операции Установка Начальных Данных (Initial Info Set).</t>
  </si>
  <si>
    <t xml:space="preserve">5W8HS15</t>
  </si>
  <si>
    <t xml:space="preserve">Ошибка Контактного датчика изображения CIS Shading BCU Ready в ходе операции Установка Начальных Данных (Initial Info Set).</t>
  </si>
  <si>
    <t xml:space="preserve">5W8HS17</t>
  </si>
  <si>
    <t xml:space="preserve">Ошибка AFE Chip Set BCU Ready в ходе операции Установка Начальных Данных (Initial Info Set).</t>
  </si>
  <si>
    <t xml:space="preserve">5W8HS18</t>
  </si>
  <si>
    <t xml:space="preserve">Ошибка ЦАП Set Fail BCU Ready в ходе операции Установка Начальных Данных (Initial Info Set).</t>
  </si>
  <si>
    <t xml:space="preserve">5W8HS19</t>
  </si>
  <si>
    <t xml:space="preserve">Ошибка MR/UV/DD Sampling BCU Ready в ходе операции Установка Начальных Данных (Initial Info Set).</t>
  </si>
  <si>
    <t xml:space="preserve">5W8HS1A</t>
  </si>
  <si>
    <t xml:space="preserve">Ошибка ЦАП Датчика Холла Set Fail BCU Ready в ходе операции Установка Начальных Данных (Initial Info Set).</t>
  </si>
  <si>
    <t xml:space="preserve">5W8HS1B</t>
  </si>
  <si>
    <t xml:space="preserve">Ошибка Датчика Холла Shading Fail BCU Ready в ходе операции Установка Начальных Данных (Initial Info Set).</t>
  </si>
  <si>
    <t xml:space="preserve">5W8HS22</t>
  </si>
  <si>
    <t xml:space="preserve">Ошибка Модуля Валидатора BC Stop Sensor (MR/UV/DD/Gate) Power Off Scan Driver Init в ходе операции Установка Начальных Данных (Initial Info Set).</t>
  </si>
  <si>
    <t xml:space="preserve">5W8HS28</t>
  </si>
  <si>
    <t xml:space="preserve">Ошибка Модуля Валидатора BC Stop DAC Set Fail Scan Driver Init в ходе операции Установка Начальных Данных (Initial Info Set).</t>
  </si>
  <si>
    <t xml:space="preserve">5W8HS29</t>
  </si>
  <si>
    <t xml:space="preserve">Ошибка Модуля Валидатора BC Stop MR/UV/DD Sampling BCU Ready в ходе операции Установка Начальных Данных (Initial Info Set).</t>
  </si>
  <si>
    <t xml:space="preserve">5W8S100</t>
  </si>
  <si>
    <t xml:space="preserve">Получена неправильная Информация о памяти MI от Модуля Валидатора банкнот BC в ходе операции Установка Начальных Данных (Initial Info Set).</t>
  </si>
  <si>
    <t xml:space="preserve">5W8S200</t>
  </si>
  <si>
    <t xml:space="preserve">Получен ненормальный BCC от Модуля Валидатора банкнот в ходе операции Установка Начальных Данных (Initial Info Set).</t>
  </si>
  <si>
    <t xml:space="preserve">5W8S400</t>
  </si>
  <si>
    <t xml:space="preserve">Получена ошибка ETC. от Модуля Валидатора банкнот BC в ходе операции Установка Начальных Данных (Initial Info Set).</t>
  </si>
  <si>
    <t xml:space="preserve">5W8S900</t>
  </si>
  <si>
    <t xml:space="preserve">Повторная попытка завершилась ошибкой Модуля Валидатора банкнот BC в ходе операции Установка Начальных Данных (Initial Info Set).</t>
  </si>
  <si>
    <t xml:space="preserve">5WAE200</t>
  </si>
  <si>
    <t xml:space="preserve">Состояние not operation при получении команды в ходе установки исходных данных (Initial Info Set).</t>
  </si>
  <si>
    <t xml:space="preserve">5WAE300</t>
  </si>
  <si>
    <t xml:space="preserve">Получена операция без выполнения команды чтения системных данных (Sysrem Info Read) в ходе операции Установка Начальных Данных (Initial Info Set).</t>
  </si>
  <si>
    <t xml:space="preserve">5WAE600</t>
  </si>
  <si>
    <t xml:space="preserve">Ошибка обработки команды Установка Начальных Данных (Initial Info Set) в ходе операции Работа кнопки TE (TE Button Operating).</t>
  </si>
  <si>
    <t xml:space="preserve">5WAEE00</t>
  </si>
  <si>
    <t xml:space="preserve">Нарушение последовательности сообщений интерфейса RS485 платы контроллера RBU в ходе операции Установка Начальных Данных (Initial Info Set).</t>
  </si>
  <si>
    <t xml:space="preserve">5WAEF00</t>
  </si>
  <si>
    <t xml:space="preserve">Нарушение линии связи интерфейса RS485 платы контроллера RBU в ходе операции Установка Начальных Данных (Initial Info Set).</t>
  </si>
  <si>
    <t xml:space="preserve">5WAH500</t>
  </si>
  <si>
    <t xml:space="preserve">Ошибка Чтения/Записи памяти NVRAM (128 деноминаций) в ходе операции Установка Начальных Данных (Initial Info Set).</t>
  </si>
  <si>
    <t xml:space="preserve">Ошибка чтения/записи данных памяти NVRAM (128 деноминаций) в ходе операции Установки Исходных Данных (Initial Info Set).</t>
  </si>
  <si>
    <t xml:space="preserve">5WAS100</t>
  </si>
  <si>
    <t xml:space="preserve">Деноминация Кассеты Рециркуляции RC1 отличается от настроек деноминации в ПО Среднего уровня SP в ходе операции установки исходных данных (Initial Info Set).</t>
  </si>
  <si>
    <t xml:space="preserve">5WAS200</t>
  </si>
  <si>
    <t xml:space="preserve">Деноминация Кассеты Рециркуляции RC2 отличается от настроек деноминации в ПО Среднего уровня SP в ходе операции установки исходных данных (Initial Info Set).</t>
  </si>
  <si>
    <t xml:space="preserve">5WAS300</t>
  </si>
  <si>
    <t xml:space="preserve">Деноминация Кассеты Рециркуляции RC3 отличается от настроек деноминации в ПО Среднего уровня SP в ходе операции установки исходных данных (Initial Info Set).</t>
  </si>
  <si>
    <t xml:space="preserve">5WAS400</t>
  </si>
  <si>
    <t xml:space="preserve">Деноминация Кассеты Рециркуляции RC4 отличается от настроек деноминации в ПО Среднего уровня SP в ходе операции установки исходных данных (Initial Info Set).</t>
  </si>
  <si>
    <t xml:space="preserve">5WAS500</t>
  </si>
  <si>
    <t xml:space="preserve">Деноминация Кассеты Рециркуляции RC5 отличается от настроек деноминации в ПО Среднего уровня SP в ходе операции установки исходных данных (Initial Info Set).</t>
  </si>
  <si>
    <t xml:space="preserve">5WAS600</t>
  </si>
  <si>
    <t xml:space="preserve">Нарушение настройки кассеты для подозрительных банкнот (Малый BRM но выбраны RC4 или 5) в ходе операции установки исходных данных (Initial Info Set).</t>
  </si>
  <si>
    <t xml:space="preserve">1. Проверьте настройки кассеты для обработки подозрительных банкнот 2. Выполните инициализацию Модуля Рециркуляции Банкнот BRM (Восстановление)</t>
  </si>
  <si>
    <t xml:space="preserve">5WAS700</t>
  </si>
  <si>
    <t xml:space="preserve">Опция обработки банкнот с одинаковым серийным номером при операции Пересчет Депозита (Deposit Count)/ Выдача (Withdrawal) установлена в режим отбраковка и Опция обработки банкнот с одинаковым серийным номером при операции Конец Депозита (Deposit End)/ Отмена Депозита (Deposit Cancel)/ Удержание из TE (Retract TE) установлена в режим принимать в ходе операции Установка Начальных Данных (Initial Info Set).</t>
  </si>
  <si>
    <t xml:space="preserve">1. Выберите опцию обработки банкнот с одинаковым серийным номером. 2. Выполните инициализацию Модуля Рециркуляции Банкнот BRM (Восстановление)</t>
  </si>
  <si>
    <t xml:space="preserve">5WAS800</t>
  </si>
  <si>
    <t xml:space="preserve">Опция обработки банкнот с одинаковым серийным номером при операции Пересчет Депозита (Deposit Count)/ Удержание из CSM (Retract CSM) установлена в режим принимать и Опция обработки банкнот с одинаковым серийным номером при операции Конец Депозита (Deposit End)/ Отмена Депозита (Deposit Cancel)/ Удержание из TE (Retract TE) установлена в режим отбраковка в ходе операции Установка Начальных Данных (Initial Info Set).</t>
  </si>
  <si>
    <t xml:space="preserve">5WAS900</t>
  </si>
  <si>
    <t xml:space="preserve">Опция обработки банкнот с одинаковым серийным номером при операциях Пересчет Депозита (Deposit Count)/ Удержание из CSM (Retract CSM) установлена в режим ошибка и Опция обработки банкнот с одинаковым серийным номером при операции Конец Депозита (Deposit End)/ Отмена Депозита (Deposit Cancel)/ Удержание из TE (Retract TE) установлена в режим Отбраковка в ходе операции Установка Начальных Данных (Initial Info Set).</t>
  </si>
  <si>
    <t xml:space="preserve">5WASA00</t>
  </si>
  <si>
    <t xml:space="preserve">Ошибка установки данных распознавания подозрительных/поддельных банкнот в ходе операции установки исходных данных (Initial Info Set).</t>
  </si>
  <si>
    <t xml:space="preserve">1. Проверьте настройки обработки подозрительных/фальшивых банкнот 2. Выполните инициализацию Модуля Рециркуляции Банкнот BRM (Восстановление)</t>
  </si>
  <si>
    <t xml:space="preserve">5WASB00</t>
  </si>
  <si>
    <t xml:space="preserve">Опция обработки банкнот с одинаковым серийным номером при операции Выдача (Withdrawal) установлена в режим принимать в ходе операции Установка Начальных Данных (Initial Info Set).</t>
  </si>
  <si>
    <t xml:space="preserve">5WASC00</t>
  </si>
  <si>
    <t xml:space="preserve">Опция обработки банкнот с одинаковым серийным номером при автоматическом пересчете установлена в режим принимать в ходе операции Установка Начальных Данных (Initial Info Set).</t>
  </si>
  <si>
    <t xml:space="preserve">5WASD00</t>
  </si>
  <si>
    <t xml:space="preserve">Кассета Отбраковки RJC не установлена на прием отбракованных банкнот при настройке RJC (NOT EXIST) в ходе операции Установка Начальных Данных (Initial Info Set)</t>
  </si>
  <si>
    <t xml:space="preserve">5WASE00</t>
  </si>
  <si>
    <t xml:space="preserve">Кассета Отбраковки RJC не установлена на прием отбракованных банкнот, при настройках RJC (NOT EXIST или SET NOT TO BE USED) в ходе операции Установка Начальных Данных (Initial Info Set).</t>
  </si>
  <si>
    <t xml:space="preserve">5WASN00</t>
  </si>
  <si>
    <t xml:space="preserve">Установка кодов стран в 0 в ходе операции Установка Начальных Данных (Initial Info Set).</t>
  </si>
  <si>
    <t xml:space="preserve">1. Выполните повторную инициализацию после внесения необходимых изменений в ПО верхнего и среднего уровней AP-SP 1. Перезапустите ПО Верхнего-Среднего уровней AP-SP в случае повторения ошибки</t>
  </si>
  <si>
    <t xml:space="preserve">5WASX00</t>
  </si>
  <si>
    <t xml:space="preserve">Установки DIP-переключателя отличаются от TCR в ходе операции Установка Начальных Данных (Initial Info Set).</t>
  </si>
  <si>
    <t xml:space="preserve">1. Проверьте, что DIP-переключатель №4 находится в положении ON (Вкл)2. Выполните Установки исходной информации (Initial Info Set) повторно после выполнения настроек в ПО верхнего AP и среднего SP уровней. Перезапустите ПО верхнего AP и Среднего SP уровней в случае повторения ошибки</t>
  </si>
  <si>
    <t xml:space="preserve">5WASY00</t>
  </si>
  <si>
    <t xml:space="preserve">Отсутствующая настройка серийных номеров набранных банкнот (Малый Модуль Рециркуляции Банкнот BRM, но выбраны Кассеты Рециркуляции RC4 или 5) в ходе операции Установки Начальных Данных (Initial Info Set).</t>
  </si>
  <si>
    <t xml:space="preserve">1. Проверьте настройки кассеты для обработки банкнт с отсутствующими серийными номерами 2. Выполните инициализацию Модуля Рециркуляции Банкнот BRM (Восстановление)</t>
  </si>
  <si>
    <t xml:space="preserve">5WASZ00</t>
  </si>
  <si>
    <t xml:space="preserve">Режим работы не ' No use' при том, что счетчик деноминаций установлен в 0 в ходе операции Установка Начальных Данных (Initial Info Set).</t>
  </si>
  <si>
    <t xml:space="preserve">5WBH100</t>
  </si>
  <si>
    <t xml:space="preserve">Ошибка чтения памяти EEPROM Кассеты Рециркуляции RC1 в ходе операции Установка Начальных Данных (Initial Info Set).</t>
  </si>
  <si>
    <t xml:space="preserve">5WBH200</t>
  </si>
  <si>
    <t xml:space="preserve">Ошибка чтения памяти EEPROM Кассеты Рециркуляции RC2 в ходе операции Установка Начальных Данных (Initial Info Set).</t>
  </si>
  <si>
    <t xml:space="preserve">5WBH300</t>
  </si>
  <si>
    <t xml:space="preserve">Ошибка чтения памяти EEPROM Кассеты Рециркуляции RC3 в ходе операции Установка Начальных Данных (Initial Info Set).</t>
  </si>
  <si>
    <t xml:space="preserve">5WBH400</t>
  </si>
  <si>
    <t xml:space="preserve">Ошибка чтения памяти EEPROM Кассеты Рециркуляции RC4 в ходе операции Установка Начальных Данных (Initial Info Set).</t>
  </si>
  <si>
    <t xml:space="preserve">5WBH500</t>
  </si>
  <si>
    <t xml:space="preserve">Ошибка чтения памяти EEPROM Кассеты Рециркуляции RC5 в ходе операции Установка Начальных Данных (Initial Info Set).</t>
  </si>
  <si>
    <t xml:space="preserve">5WBH600</t>
  </si>
  <si>
    <t xml:space="preserve">Ошибка записи памяти EEPROM Кассеты Рециркуляции RC1 в ходе операции Установка Начальных Данных (Initial Info Set).</t>
  </si>
  <si>
    <t xml:space="preserve">5WBH700</t>
  </si>
  <si>
    <t xml:space="preserve">Ошибка записи памяти EEPROM Кассеты Рециркуляции RC2 в ходе операции Установка Начальных Данных (Initial Info Set).</t>
  </si>
  <si>
    <t xml:space="preserve">5WBH800</t>
  </si>
  <si>
    <t xml:space="preserve">Ошибка записи памяти EEPROM Кассеты Рециркуляции RC3 в ходе операции Установка Начальных Данных (Initial Info Set).</t>
  </si>
  <si>
    <t xml:space="preserve">5WBH900</t>
  </si>
  <si>
    <t xml:space="preserve">Ошибка записи памяти EEPROM Кассеты Рециркуляции RC4 в ходе операции Установка Начальных Данных (Initial Info Set).</t>
  </si>
  <si>
    <t xml:space="preserve">5WBHA00</t>
  </si>
  <si>
    <t xml:space="preserve">Ошибка записи памяти EEPROM Кассеты Рециркуляции RC5 в ходе операции Установка Начальных Данных (Initial Info Set).</t>
  </si>
  <si>
    <t xml:space="preserve">5WBHB00</t>
  </si>
  <si>
    <t xml:space="preserve">Ошибка проверки данных памяти EEPROM Кассеты Рециркуляции RC1 в ходе операции установки исходных данных (Initial Info Set).</t>
  </si>
  <si>
    <t xml:space="preserve">5WBHC00</t>
  </si>
  <si>
    <t xml:space="preserve">Ошибка проверки данных памяти EEPROM Кассеты Рециркуляции RC2 в ходе операции установки исходных данных (Initial Info Set).</t>
  </si>
  <si>
    <t xml:space="preserve">5WBHD00</t>
  </si>
  <si>
    <t xml:space="preserve">Ошибка проверки данных памяти EEPROM Кассеты Рециркуляции RC3 в ходе операции Установка Начальных Данных (Initial Info Set).</t>
  </si>
  <si>
    <t xml:space="preserve">5WBHE00</t>
  </si>
  <si>
    <t xml:space="preserve">Ошибка проверки данных памяти EEPROM Кассеты Рециркуляции RC4 в ходе операции установки исходных данных (Initial Info Set).</t>
  </si>
  <si>
    <t xml:space="preserve">5WBHF00</t>
  </si>
  <si>
    <t xml:space="preserve">Ошибка проверки данных памяти EEPROM Кассеты Рециркуляции RC5 в ходе операции установки исходных данных (Initial Info Set).</t>
  </si>
  <si>
    <t xml:space="preserve">5WBHG00</t>
  </si>
  <si>
    <t xml:space="preserve">Не обнаружен концевой переключатель (интерлок) при Чтении/Записи памяти EEPROM Кассеты Рециркуляции RC в ходе операции Установка Начальных Данных (Initial Info Set).</t>
  </si>
  <si>
    <t xml:space="preserve">5WBR000</t>
  </si>
  <si>
    <t xml:space="preserve">Превышено время ожидание ответа платы контроллера RBU в ходе операции Установка Начальных Данных (Initial Info Set).</t>
  </si>
  <si>
    <t xml:space="preserve">5WBR700</t>
  </si>
  <si>
    <t xml:space="preserve">Контроллер RBU вернул ошибку таймаута сообщения в ходе операции Установка Начальных Данных (Initial Info Set).</t>
  </si>
  <si>
    <t xml:space="preserve">5WBS000</t>
  </si>
  <si>
    <t xml:space="preserve">Ошибка таймаута связи контроллера RBU в ходе операции Установка Начальных Данных (Initial Info set).</t>
  </si>
  <si>
    <t xml:space="preserve">5WBS100</t>
  </si>
  <si>
    <t xml:space="preserve">Ошибка последовательности сообщений платы контроллера RBU в ходе операции установки исходных данных (Initial Info Set).</t>
  </si>
  <si>
    <t xml:space="preserve">5WBS200</t>
  </si>
  <si>
    <t xml:space="preserve">Ошибка Информации о памяти MI в ходе соединения контроллера RBU в ходе операции установки исходных данных (Initial Info Set).</t>
  </si>
  <si>
    <t xml:space="preserve">5WBST00</t>
  </si>
  <si>
    <t xml:space="preserve">Ошибка настроек времени Вспомогательной Кассеты RTC в ходе операции Установка Начальных Данных (Initial Info Set).</t>
  </si>
  <si>
    <t xml:space="preserve">5WUS100</t>
  </si>
  <si>
    <t xml:space="preserve">Ошибка дублирования номера последовательности USB в ходе операции установки исходных данных (Initial Info Set).</t>
  </si>
  <si>
    <t xml:space="preserve">5WUS300</t>
  </si>
  <si>
    <t xml:space="preserve">Ошибка длины данных команды USB  в ходе операции установки исходных данных (Initial Info Set).</t>
  </si>
  <si>
    <t xml:space="preserve">5X00100</t>
  </si>
  <si>
    <t xml:space="preserve">GS801 сообщил об ошибке замятия по Светлому типу в ходе операции Выдача при автоматическом пересчете (Withdrawal for automatic accounting).</t>
  </si>
  <si>
    <t xml:space="preserve">5X00200</t>
  </si>
  <si>
    <t xml:space="preserve">GS002 сообщил об ошибке замятия по Светлому типу в ходе операции Выдача при автоматическом пересчете (Withdrawal for automatic accounting).</t>
  </si>
  <si>
    <t xml:space="preserve">5X00300</t>
  </si>
  <si>
    <t xml:space="preserve">GS003 сообщил об ошибке замятия по Светлому типу в ходе операции Выдача при автоматическом пересчете (Withdrawal for automatic accounting).</t>
  </si>
  <si>
    <t xml:space="preserve">5X00500</t>
  </si>
  <si>
    <t xml:space="preserve">GS005 сообщил об ошибке замятия по Светлому типу в ходе операции Выдача при автоматическом пересчете (Withdrawal for automatic accounting).</t>
  </si>
  <si>
    <t xml:space="preserve">5X00A00</t>
  </si>
  <si>
    <t xml:space="preserve">GS021 сообщил об ошибке замятия по Светлому типу в ходе операции Выдача при автоматическом пересчете (Withdrawal for automatic accounting).</t>
  </si>
  <si>
    <t xml:space="preserve">5X00G00</t>
  </si>
  <si>
    <t xml:space="preserve">GS614 сообщил об ошибке замятия по Светлому типу в ходе операции Выдача при автоматическом пересчете (Withdrawal for automatic accounting).</t>
  </si>
  <si>
    <t xml:space="preserve">5X00H00</t>
  </si>
  <si>
    <t xml:space="preserve">GS618 сообщил об ошибке замятия по Светлому типу в ходе операции Выдача при автоматическом пересчете (Withdrawal for automatic accounting).</t>
  </si>
  <si>
    <t xml:space="preserve">5X00J00</t>
  </si>
  <si>
    <t xml:space="preserve">GS619 сообщил об ошибке замятия по Светлому типу в ходе операции Выдача при автоматическом пересчете (Withdrawal for automatic accounting).</t>
  </si>
  <si>
    <t xml:space="preserve">5X00K00</t>
  </si>
  <si>
    <t xml:space="preserve">GS703 сообщил об ошибке замятия по Светлому типу в ходе операции Выдача при автоматическом пересчете (Withdrawal for automatic accounting).</t>
  </si>
  <si>
    <t xml:space="preserve">5X00M00</t>
  </si>
  <si>
    <t xml:space="preserve">GS031 сообщил об ошибке замятия по Светлому типу в ходе операции Выдача при автоматическом пересчете (Withdrawal for automatic accounting).</t>
  </si>
  <si>
    <t xml:space="preserve">5X00N00</t>
  </si>
  <si>
    <t xml:space="preserve">GS032 сообщил об ошибке замятия по Светлому типу в ходе операции Выдача при автоматическом пересчете (Withdrawal for automatic accounting).</t>
  </si>
  <si>
    <t xml:space="preserve">5X00P00</t>
  </si>
  <si>
    <t xml:space="preserve">GS033 сообщил об ошибке замятия по Светлому типу в ходе операции Выдача при автоматическом пересчете (Withdrawal for automatic accounting).</t>
  </si>
  <si>
    <t xml:space="preserve">5X00Q00</t>
  </si>
  <si>
    <t xml:space="preserve">GS034 сообщил об ошибке замятия по Светлому типу в ходе операции Выдача при автоматическом пересчете (Withdrawal for automatic accounting).</t>
  </si>
  <si>
    <t xml:space="preserve">5X00W00</t>
  </si>
  <si>
    <t xml:space="preserve">GS802 сообщил об ошибке замятия по Светлому типу в ходе операции Выдача при автоматическом пересчете (Withdrawal for automatic accounting).</t>
  </si>
  <si>
    <t xml:space="preserve">5X01100</t>
  </si>
  <si>
    <t xml:space="preserve">GS801 сообщил об ошибке замятия по Темному типу в ходе операции Выдача при автоматическом пересчете (Withdrawal for automatic accounting).</t>
  </si>
  <si>
    <t xml:space="preserve">5X01200</t>
  </si>
  <si>
    <t xml:space="preserve">GS002 сообщил об ошибке замятия по Темному типу в ходе операции Выдача при автоматическом пересчете (Withdrawal for automatic accounting).</t>
  </si>
  <si>
    <t xml:space="preserve">5X01300</t>
  </si>
  <si>
    <t xml:space="preserve">GS003 сообщил об ошибке замятия по Темному типу в ходе операции Выдача при автоматическом пересчете (Withdrawal for automatic accounting).</t>
  </si>
  <si>
    <t xml:space="preserve">5X01400</t>
  </si>
  <si>
    <t xml:space="preserve">GS004 сообщил об ошибке замятия по Темному типу в ходе операции Выдача при автоматическом пересчете (Withdrawal for automatic accounting).</t>
  </si>
  <si>
    <t xml:space="preserve">5X01500</t>
  </si>
  <si>
    <t xml:space="preserve">GS005 сообщил об ошибке замятия по Темному типу в ходе операции Выдача при автоматическом пересчете (Withdrawal for automatic accounting).</t>
  </si>
  <si>
    <t xml:space="preserve">5X01600</t>
  </si>
  <si>
    <t xml:space="preserve">GS006 сообщил об ошибке замятия по Темному типу в ходе операции Выдача при автоматическом пересчете (Withdrawal for automatic accounting).</t>
  </si>
  <si>
    <t xml:space="preserve">5X01A00</t>
  </si>
  <si>
    <t xml:space="preserve">GS021 сообщил об ошибке замятия по Темному типу в ходе операции Выдача при автоматическом пересчете (Withdrawal for automatic accounting).</t>
  </si>
  <si>
    <t xml:space="preserve">5X01B00</t>
  </si>
  <si>
    <t xml:space="preserve">GS022 сообщил об ошибке замятия по Темному типу в ходе операции Выдача при автоматическом пересчете (Withdrawal for automatic accounting).</t>
  </si>
  <si>
    <t xml:space="preserve">5X01G00</t>
  </si>
  <si>
    <t xml:space="preserve">GS614 сообщил об ошибке замятия по Темному типу в ходе операции Выдача при автоматическом пересчете (Withdrawal for automatic accounting).</t>
  </si>
  <si>
    <t xml:space="preserve">5X01H00</t>
  </si>
  <si>
    <t xml:space="preserve">GS618 сообщил об ошибке замятия по Темному типу в ходе операции Выдача при автоматическом пересчете (Withdrawal for automatic accounting).</t>
  </si>
  <si>
    <t xml:space="preserve">5X01J00</t>
  </si>
  <si>
    <t xml:space="preserve">GS619 сообщил об ошибке замятия по Темному типу в ходе операции Выдача при автоматическом пересчете (Withdrawal for automatic accounting).</t>
  </si>
  <si>
    <t xml:space="preserve">5X01K00</t>
  </si>
  <si>
    <t xml:space="preserve">GS703 сообщил об ошибке замятия по Темному типу в ходе операции Выдача при автоматическом пересчете (Withdrawal for automatic accounting).</t>
  </si>
  <si>
    <t xml:space="preserve">5X01M00</t>
  </si>
  <si>
    <t xml:space="preserve">GS031 сообщил об ошибке замятия по Темному типу в ходе операции Выдача при автоматическом пересчете (Withdrawal for automatic accounting).</t>
  </si>
  <si>
    <t xml:space="preserve">5X01N00</t>
  </si>
  <si>
    <t xml:space="preserve">GS032 сообщил об ошибке замятия по Темному типу в ходе операции Выдача при автоматическом пересчете (Withdrawal for automatic accounting).</t>
  </si>
  <si>
    <t xml:space="preserve">5X01P00</t>
  </si>
  <si>
    <t xml:space="preserve">GS033 сообщил об ошибке замятия по Темному типу в ходе операции Выдача при автоматическом пересчете (Withdrawal for automatic accounting).</t>
  </si>
  <si>
    <t xml:space="preserve">5X01Q00</t>
  </si>
  <si>
    <t xml:space="preserve">GS034 сообщил об ошибке замятия по Темному типу в ходе операции Выдача при автоматическом пересчете (Withdrawal for automatic accounting).</t>
  </si>
  <si>
    <t xml:space="preserve">5X01W00</t>
  </si>
  <si>
    <t xml:space="preserve">GS802 сообщил об ошибке замятия по Темному типу в ходе операции Выдача при автоматическом пересчете (Withdrawal for automatic accounting).</t>
  </si>
  <si>
    <t xml:space="preserve">5X02100</t>
  </si>
  <si>
    <t xml:space="preserve">Произошла ошибка оставшихся банкнот в области датчика GS801 в ходе операции Выдача при автоматическом пересчете (Withdrawal for automatic accounting).</t>
  </si>
  <si>
    <t xml:space="preserve">5X02200</t>
  </si>
  <si>
    <t xml:space="preserve">Произошла ошибка оставшихся банкнот в области датчика GS002 в ходе операции Выдача при автоматическом пересчете (Withdrawal for automatic accounting).</t>
  </si>
  <si>
    <t xml:space="preserve">5X02300</t>
  </si>
  <si>
    <t xml:space="preserve">Произошла ошибка оставшихся банкнот в области датчика GS003 в ходе операции Выдача при автоматическом пересчете (Withdrawal for automatic accounting).</t>
  </si>
  <si>
    <t xml:space="preserve">5X02400</t>
  </si>
  <si>
    <t xml:space="preserve">Произошла ошибка оставшихся банкнот в области датчика GS004 в ходе операции Выдача при автоматическом пересчете (Withdrawal for automatic accounting).</t>
  </si>
  <si>
    <t xml:space="preserve">5X02500</t>
  </si>
  <si>
    <t xml:space="preserve">Произошла ошибка оставшихся банкнот в области датчика GS005 в ходе операции Выдача при автоматическом пересчете (Withdrawal for automatic accounting).</t>
  </si>
  <si>
    <t xml:space="preserve">5X02600</t>
  </si>
  <si>
    <t xml:space="preserve">Произошла ошибка оставшихся банкнот в области датчика GS006 в ходе операции Выдача при автоматическом пересчете (Withdrawal for automatic accounting).</t>
  </si>
  <si>
    <t xml:space="preserve">5X02A00</t>
  </si>
  <si>
    <t xml:space="preserve">Произошла ошибка оставшихся банкнот в области датчика GS021 в ходе операции Выдача при автоматическом пересчете (Withdrawal for automatic accounting).</t>
  </si>
  <si>
    <t xml:space="preserve">5X02B00</t>
  </si>
  <si>
    <t xml:space="preserve">Произошла ошибка оставшихся банкнот в области датчика GS022 в ходе операции Выдача при автоматическом пересчете (Withdrawal for automatic accounting).</t>
  </si>
  <si>
    <t xml:space="preserve">5X02G00</t>
  </si>
  <si>
    <t xml:space="preserve">Произошла ошибка оставшихся банкнот в области датчика GS614 в ходе операции Выдача при автоматическом пересчете (Withdrawal for automatic accounting).</t>
  </si>
  <si>
    <t xml:space="preserve">5X02H00</t>
  </si>
  <si>
    <t xml:space="preserve">Произошла ошибка оставшихся банкнот в области датчика GS618 в ходе операции Выдача при автоматическом пересчете (Withdrawal for automatic accounting).</t>
  </si>
  <si>
    <t xml:space="preserve">5X02J00</t>
  </si>
  <si>
    <t xml:space="preserve">Произошла ошибка оставшихся банкнот в области датчика GS619 в ходе операции Выдача при автоматическом пересчете (Withdrawal for automatic accounting).</t>
  </si>
  <si>
    <t xml:space="preserve">5X02K00</t>
  </si>
  <si>
    <t xml:space="preserve">Произошла ошибка оставшихся банкнот в области датчика GS703 в ходе операции Выдача при автоматическом пересчете (Withdrawal for automatic accounting).</t>
  </si>
  <si>
    <t xml:space="preserve">5X02M00</t>
  </si>
  <si>
    <t xml:space="preserve">Произошла ошибка оставшихся банкнот в области датчика GS031 в ходе операции Выдача при автоматическом пересчете (Withdrawal for automatic accounting).</t>
  </si>
  <si>
    <t xml:space="preserve">5X02N00</t>
  </si>
  <si>
    <t xml:space="preserve">Произошла ошибка оставшихся банкнот в области датчика GS032 в ходе операции Выдача при автоматическом пересчете (Withdrawal for automatic accounting).</t>
  </si>
  <si>
    <t xml:space="preserve">5X02P00</t>
  </si>
  <si>
    <t xml:space="preserve">Произошла ошибка оставшихся банкнот в области датчика GS033 в ходе операции Выдача при автоматическом пересчете (Withdrawal for automatic accounting).</t>
  </si>
  <si>
    <t xml:space="preserve">5X02Q00</t>
  </si>
  <si>
    <t xml:space="preserve">Произошла ошибка оставшихся банкнот в области датчика GS034 в ходе операции Выдача при автоматическом пересчете (Withdrawal for automatic accounting).</t>
  </si>
  <si>
    <t xml:space="preserve">5X02W00</t>
  </si>
  <si>
    <t xml:space="preserve">Произошла ошибка оставшихся банкнот в области датчика GS802 в ходе операции Выдача при автоматическом пересчете (Withdrawal for automatic accounting).</t>
  </si>
  <si>
    <t xml:space="preserve">5X05500</t>
  </si>
  <si>
    <t xml:space="preserve">Произошла ошибка Транспортного Тракта по данным датчика GS005 в ходе операции Выдача при автоматическом пересчете (Withdrawal for automatic accounting).</t>
  </si>
  <si>
    <t xml:space="preserve">5X05G00</t>
  </si>
  <si>
    <t xml:space="preserve">Произошла ошибка Транспортного Тракта по данным датчика GS614 в ходе операции Выдача при автоматическом пересчете (Withdrawal for automatic accounting).</t>
  </si>
  <si>
    <t xml:space="preserve">5X05H00</t>
  </si>
  <si>
    <t xml:space="preserve">Произошла ошибка Транспортного Тракта по данным датчика GS618 в ходе операции Выдача при автоматическом пересчете (Withdrawal for automatic accounting).</t>
  </si>
  <si>
    <t xml:space="preserve">5X05J00</t>
  </si>
  <si>
    <t xml:space="preserve">Произошла ошибка Транспортного Тракта по данным датчика GS619 в ходе операции Выдача при автоматическом пересчете (Withdrawal for automatic accounting).</t>
  </si>
  <si>
    <t xml:space="preserve">5X05K00</t>
  </si>
  <si>
    <t xml:space="preserve">Произошла ошибка Транспортного Тракта по данным датчика GS703 в ходе операции Выдача при автоматическом пересчете (Withdrawal for automatic accounting).</t>
  </si>
  <si>
    <t xml:space="preserve">5X06400</t>
  </si>
  <si>
    <t xml:space="preserve">Произошла ошибка Возвращающего Транспортного Тракта (датчик GS004) в ходе операции Выдача при автоматическом пересчете (Withdrawal for automatic accounting).</t>
  </si>
  <si>
    <t xml:space="preserve">5X06600</t>
  </si>
  <si>
    <t xml:space="preserve">Произошла ошибка Возвращающего Транспортного Тракта (датчик GS006) в ходе операции Выдача при автоматическом пересчете (Withdrawal for automatic accounting).</t>
  </si>
  <si>
    <t xml:space="preserve">5X06B00</t>
  </si>
  <si>
    <t xml:space="preserve">Произошла ошибка Возвращающего Транспортного Тракта (датчик GS022) в ходе операции Выдача при автоматическом пересчете (Withdrawal for automatic accounting).</t>
  </si>
  <si>
    <t xml:space="preserve">5X07100</t>
  </si>
  <si>
    <t xml:space="preserve">Произошла ошибка порядка следования банкнот в области датчика GS801 в ходе операции Выдача при автоматическом пересчете (Withdrawal for automatic accounting).</t>
  </si>
  <si>
    <t xml:space="preserve">5X07200</t>
  </si>
  <si>
    <t xml:space="preserve">Произошла ошибка порядка следования банкнот в области датчика GS002 в ходе операции Выдача при автоматическом пересчете (Withdrawal for automatic accounting).</t>
  </si>
  <si>
    <t xml:space="preserve">5X07300</t>
  </si>
  <si>
    <t xml:space="preserve">Произошла ошибка порядка следования банкнот в области датчика GS003 в ходе операции Выдача при автоматическом пересчете (Withdrawal for automatic accounting).</t>
  </si>
  <si>
    <t xml:space="preserve">5X07400</t>
  </si>
  <si>
    <t xml:space="preserve">Произошла ошибка порядка следования банкнот в области датчика GS004 в ходе операции Выдача при автоматическом пересчете (Withdrawal for automatic accounting).</t>
  </si>
  <si>
    <t xml:space="preserve">5X07500</t>
  </si>
  <si>
    <t xml:space="preserve">Произошла ошибка порядка следования банкнот в области датчика GS005 в ходе операции Выдача при автоматическом пересчете (Withdrawal for automatic accounting).</t>
  </si>
  <si>
    <t xml:space="preserve">5X07600</t>
  </si>
  <si>
    <t xml:space="preserve">Произошла ошибка порядка следования банкнот в области датчика GS006 в ходе операции Выдача при автоматическом пересчете (Withdrawal for automatic accounting).</t>
  </si>
  <si>
    <t xml:space="preserve">5X07A00</t>
  </si>
  <si>
    <t xml:space="preserve">Произошла ошибка порядка следования банкнот в области датчика GS021 в ходе операции Выдача при автоматическом пересчете (Withdrawal for automatic accounting).</t>
  </si>
  <si>
    <t xml:space="preserve">5X07B00</t>
  </si>
  <si>
    <t xml:space="preserve">Произошла ошибка порядка следования банкнот в области датчика GS022 в ходе операции Выдача при автоматическом пересчете (Withdrawal for automatic accounting).</t>
  </si>
  <si>
    <t xml:space="preserve">5X07G00</t>
  </si>
  <si>
    <t xml:space="preserve">Произошла ошибка порядка следования банкнот в области датчика GS614 в ходе операции Выдача при автоматическом пересчете (Withdrawal for automatic accounting).</t>
  </si>
  <si>
    <t xml:space="preserve">5X07H00</t>
  </si>
  <si>
    <t xml:space="preserve">Произошла ошибка порядка следования банкнот в области датчика GS618 в ходе операции Выдача при автоматическом пересчете (Withdrawal for automatic accounting).</t>
  </si>
  <si>
    <t xml:space="preserve">5X07J00</t>
  </si>
  <si>
    <t xml:space="preserve">Произошла ошибка порядка следования банкнот в области датчика GS619 в ходе операции Выдача при автоматическом пересчете (Withdrawal for automatic accounting).</t>
  </si>
  <si>
    <t xml:space="preserve">5X07K00</t>
  </si>
  <si>
    <t xml:space="preserve">Произошла ошибка порядка следования банкнот в области датчика GS703 в ходе операции Выдача при автоматическом пересчете (Withdrawal for automatic accounting).</t>
  </si>
  <si>
    <t xml:space="preserve">5X07M00</t>
  </si>
  <si>
    <t xml:space="preserve">Произошла ошибка порядка следования банкнот в области датчика GS031 в ходе операции Выдача при автоматическом пересчете (Withdrawal for automatic accounting).</t>
  </si>
  <si>
    <t xml:space="preserve">5X07N00</t>
  </si>
  <si>
    <t xml:space="preserve">Произошла ошибка порядка следования банкнот в области датчика GS032 в ходе операции Выдача при автоматическом пересчете (Withdrawal for automatic accounting).</t>
  </si>
  <si>
    <t xml:space="preserve">5X07P00</t>
  </si>
  <si>
    <t xml:space="preserve">Произошла ошибка порядка следования банкнот в области датчика GS033 в ходе операции Выдача при автоматическом пересчете (Withdrawal for automatic accounting).</t>
  </si>
  <si>
    <t xml:space="preserve">5X07Q00</t>
  </si>
  <si>
    <t xml:space="preserve">Произошла ошибка порядка следования банкнот в области датчика GS034 в ходе операции Выдача при автоматическом пересчете (Withdrawal for automatic accounting).</t>
  </si>
  <si>
    <t xml:space="preserve">5X07W00</t>
  </si>
  <si>
    <t xml:space="preserve">Произошла ошибка порядка следования банкнот в области датчика GS802 в ходе операции Выдача при автоматическом пересчете (Withdrawal for automatic accounting).</t>
  </si>
  <si>
    <t xml:space="preserve">5X0D100</t>
  </si>
  <si>
    <t xml:space="preserve">Ошибка Непрерывной Отбраковки Continous Reject в ходе операции Выдача при автоматическом пересчете (Withdrawal for automatic accounting).</t>
  </si>
  <si>
    <t xml:space="preserve">5X0D200</t>
  </si>
  <si>
    <t xml:space="preserve">Ошибка Превышение предельного значения счетчика Максимума для Отбраковки (Maximum Reject) в ходе операции Выдача при автоматическом пересчете (Withdrawal for automatic accounting).</t>
  </si>
  <si>
    <t xml:space="preserve">5X0D300</t>
  </si>
  <si>
    <t xml:space="preserve">Ошибка несоответствия деноминации в ходе операции Выдача при автоматическом пересчете (Withdrawal for automatic accounting).</t>
  </si>
  <si>
    <t xml:space="preserve">5X0D400</t>
  </si>
  <si>
    <t xml:space="preserve">Ошибка сбоя деноминаций кассеты в ходе операции Выдача при автоматическом пересчете (Withdrawal for automatic accounting).</t>
  </si>
  <si>
    <t xml:space="preserve">5X0D500</t>
  </si>
  <si>
    <t xml:space="preserve">Ошибка обработки сдвоенных банкнот в ходе операции Выдача при автоматическом пересчете (Withdrawal for automatic accounting).</t>
  </si>
  <si>
    <t xml:space="preserve">5X0D600</t>
  </si>
  <si>
    <t xml:space="preserve">Ошибка неполадки зазора (1 банкнота) в ходе операции Выдача при автоматическом пересчете (Withdrawal for automatic accounting).</t>
  </si>
  <si>
    <t xml:space="preserve">5X0D700</t>
  </si>
  <si>
    <t xml:space="preserve">Ошибка неполадки зазора (2 банкноты) в ходе операции Выдача при автоматическом пересчете (Withdrawal for automatic accounting).</t>
  </si>
  <si>
    <t xml:space="preserve">5X0D800</t>
  </si>
  <si>
    <t xml:space="preserve">Ошибка нарушения перекашивания в ходе операции Выдача при автоматическом пересчете (Withdrawal for automatic accounting).</t>
  </si>
  <si>
    <t xml:space="preserve">5X0D900</t>
  </si>
  <si>
    <t xml:space="preserve">Ошибка нарушения смещения в ходе операции Выдача при автоматическом пересчете (Withdrawal for automatic accounting).</t>
  </si>
  <si>
    <t xml:space="preserve">5X0DA00</t>
  </si>
  <si>
    <t xml:space="preserve">Ошибка превышения длины (1 банкнота) в ходе операции Выдача при автоматическом пересчете (Withdrawal for automatic accounting).</t>
  </si>
  <si>
    <t xml:space="preserve">5X0DB00</t>
  </si>
  <si>
    <t xml:space="preserve">Ошибка превышения длины (2 банкноты) в ходе операции Выдача при автоматическом пересчете (Withdrawal for automatic accounting).</t>
  </si>
  <si>
    <t xml:space="preserve">5X0DC00</t>
  </si>
  <si>
    <t xml:space="preserve">Ошибка превышения длины (3 банкноты) в ходе операции Выдача при автоматическом пересчете (Withdrawal for automatic accounting).</t>
  </si>
  <si>
    <t xml:space="preserve">5X0DD00</t>
  </si>
  <si>
    <t xml:space="preserve">Ошибка превышения длины (4 банкноты) в ходе операции Выдача при автоматическом пересчете (Withdrawal for automatic accounting).</t>
  </si>
  <si>
    <t xml:space="preserve">5X0DE00</t>
  </si>
  <si>
    <t xml:space="preserve">Ошибка недостаточной длины (1 банкнота) в ходе операции Выдача при автоматическом пересчете (Withdrawal for automatic accounting).</t>
  </si>
  <si>
    <t xml:space="preserve">5X0DF00</t>
  </si>
  <si>
    <t xml:space="preserve">Ошибка недостаточной длины (2 банкноты) в ходе операции Выдача при автоматическом пересчете (Withdrawal for automatic accounting).</t>
  </si>
  <si>
    <t xml:space="preserve">5X0DG00</t>
  </si>
  <si>
    <t xml:space="preserve">5X0DH00</t>
  </si>
  <si>
    <t xml:space="preserve">Ошибка нарушения работы Магнитно-Резонансного датчика MR в ходе операции Выдача при автоматическом пересчете (Withdrawal for automatic accounting).</t>
  </si>
  <si>
    <t xml:space="preserve">5X0DJ00</t>
  </si>
  <si>
    <t xml:space="preserve">Ошибка работы Инфракрасного датчика IR в ходе операции Выдача при автоматическом пересчете (Withdrawal for automatic accounting).</t>
  </si>
  <si>
    <t xml:space="preserve">5X0DK00</t>
  </si>
  <si>
    <t xml:space="preserve">Ошибка обработки края банкнот в ходе операции Выдача при автоматическом пересчете (Withdrawal for automatic accounting).</t>
  </si>
  <si>
    <t xml:space="preserve">5X0DL00</t>
  </si>
  <si>
    <t xml:space="preserve">Ошибка образа банкнот в ходе операции Выдача при автоматическом пересчете (Withdrawal for automatic accounting).</t>
  </si>
  <si>
    <t xml:space="preserve">5X0DM00</t>
  </si>
  <si>
    <t xml:space="preserve">Ошибка нарушения работы УФ датчика UV в ходе операции Выдача при автоматическом пересчете (Withdrawal for automatic accounting).</t>
  </si>
  <si>
    <t xml:space="preserve">5X0DN00</t>
  </si>
  <si>
    <t xml:space="preserve">Ошибка датчика в ходе операции Выдача при автоматическом пересчете (Withdrawal for automatic accounting).</t>
  </si>
  <si>
    <t xml:space="preserve">5X0DP00</t>
  </si>
  <si>
    <t xml:space="preserve">Ошибка подключения в ходе операции Выдача при автоматическом пересчете (Withdrawal for automatic accounting).</t>
  </si>
  <si>
    <t xml:space="preserve">5X0DQ00</t>
  </si>
  <si>
    <t xml:space="preserve">Ошибка Full&amp;ETC в ходе операции Выдача при автоматическом пересчете (Withdrawal for automatic accounting).</t>
  </si>
  <si>
    <t xml:space="preserve">5X0DR00</t>
  </si>
  <si>
    <t xml:space="preserve">Ошибка синхронизации распознованияв ходе операции Выдача при автоматическом пересчете (Withdrawal for automatic accounting).</t>
  </si>
  <si>
    <t xml:space="preserve">5X0DS00</t>
  </si>
  <si>
    <t xml:space="preserve">5X0DT00</t>
  </si>
  <si>
    <t xml:space="preserve">5X0DU00</t>
  </si>
  <si>
    <t xml:space="preserve">5X0DV00</t>
  </si>
  <si>
    <t xml:space="preserve">5X0DW00</t>
  </si>
  <si>
    <t xml:space="preserve">5X0DX00</t>
  </si>
  <si>
    <t xml:space="preserve">5X0DY00</t>
  </si>
  <si>
    <t xml:space="preserve">5X0F100</t>
  </si>
  <si>
    <t xml:space="preserve">Ошибка motor removal двигателя GM001 в ходе операции Выдача при автоматическом пересчете (Withdrawal for automatic accounting).</t>
  </si>
  <si>
    <t xml:space="preserve">5X0F200</t>
  </si>
  <si>
    <t xml:space="preserve">Ошибка motor removal двигателя GM002 в ходе операции Выдача при автоматическом пересчете (Withdrawal for automatic accounting).</t>
  </si>
  <si>
    <t xml:space="preserve">5X0F400</t>
  </si>
  <si>
    <t xml:space="preserve">Ошибка motor removal двигателя GM004 в ходе операции Выдача при автоматическом пересчете (Withdrawal for automatic accounting).</t>
  </si>
  <si>
    <t xml:space="preserve">5X0F500</t>
  </si>
  <si>
    <t xml:space="preserve">Снижено кол-во счетов энкодера двигателя GM001 относительно предыдущих значений в ходе операции Выдача при автоматическом пересчете (Withdrawal for automatic accounting).</t>
  </si>
  <si>
    <t xml:space="preserve">5X0F600</t>
  </si>
  <si>
    <t xml:space="preserve">Снижено кол-во счетов энкодера двигателя GM002 относительно предыдущих значений в ходе операции Выдача при автоматическом пересчете (Withdrawal for automatic accounting).</t>
  </si>
  <si>
    <t xml:space="preserve">5X0F700</t>
  </si>
  <si>
    <t xml:space="preserve">Уменьшенное значение счетчика энкодера дсигателя GM004 по сравнению с предыдущим значением в ходе операции Выдача при автоматическом пересчете (Withdrawal for automatic accounting).</t>
  </si>
  <si>
    <t xml:space="preserve">5X0G100</t>
  </si>
  <si>
    <t xml:space="preserve">Не удалось переключить 3-х направленный Затвор Тракта в режим 0-го градуса в ходе операции Выдача при автоматическом пересчете (Withdrawal for automatic accounting).</t>
  </si>
  <si>
    <t xml:space="preserve">5X0G200</t>
  </si>
  <si>
    <t xml:space="preserve">Не удалось переключить 3-х направленный Затвор Тракта в 120 градусный режим в ходе операции Выдача при автоматическом пересчете (Withdrawal for automatic accounting).</t>
  </si>
  <si>
    <t xml:space="preserve">5X0K100</t>
  </si>
  <si>
    <t xml:space="preserve">Ошибка дублирования серийного номера в ходе операции Выдача при автоматическом пересчете (Withdrawal for automatic accounting)..</t>
  </si>
  <si>
    <t xml:space="preserve">5X0N700</t>
  </si>
  <si>
    <t xml:space="preserve">Ошибка счетчика набранных банкнот датчика GSx05 операции Возврат Банкнот (Return Notes) в процессе автовосстановления в ходе операции Выдача при автоматическом пересчете (Withdrawal for automatic accounting) (Внесено более 2 банкнот в Кассету Рециркуляции RC).</t>
  </si>
  <si>
    <t xml:space="preserve">5X0N800</t>
  </si>
  <si>
    <t xml:space="preserve">Постоянная ошибка дачитка GSx05 по темному типу операции Возврат Банкнот (Return Notes) в процессе автовосстановления в ходе операции Выдача при автоматическом пересчете (Withdrawal for automatic accounting).</t>
  </si>
  <si>
    <t xml:space="preserve">5X0N900</t>
  </si>
  <si>
    <t xml:space="preserve">5X0NC00</t>
  </si>
  <si>
    <t xml:space="preserve">Не удалось проверить последнюю банкноту в окончании Среднего Транспортного Тракта в ходе операции Выдача при автоматическом пересчете (Withdrawal for automatic accounting).</t>
  </si>
  <si>
    <t xml:space="preserve">5X0NK00</t>
  </si>
  <si>
    <t xml:space="preserve">Ошибка No gate for insertion в ходе операции Выдача при автоматическом пересчете (Withdrawal for automatic accounting).</t>
  </si>
  <si>
    <t xml:space="preserve">5X0NL00</t>
  </si>
  <si>
    <t xml:space="preserve">Данные распознавания операции Выдача отличаются от данных распознавания  операции Депозит в ходе операции Выдача при автоматическом пересчете (Withdrawal for automatic accounting).</t>
  </si>
  <si>
    <t xml:space="preserve">-</t>
  </si>
  <si>
    <t xml:space="preserve">5X0Q100</t>
  </si>
  <si>
    <t xml:space="preserve">Ошибка установки Вспомогательной Кассеты UTC в ходе операции Выдача при автоматическом пересчете (Withdrawal for automatic accounting).</t>
  </si>
  <si>
    <t xml:space="preserve">5X0Q200</t>
  </si>
  <si>
    <t xml:space="preserve">Ошибка открытого Модуля временного хранения (TE) в ходе операции Выдача при автоматическом пересчете (Withdrawal for automatic accounting).</t>
  </si>
  <si>
    <t xml:space="preserve">5X0Q300</t>
  </si>
  <si>
    <t xml:space="preserve">5X0Q400</t>
  </si>
  <si>
    <t xml:space="preserve">Ошибка установки BMU в ходе операции Выдача при автоматическом пересчете (Withdrawal for automatic accounting).</t>
  </si>
  <si>
    <t xml:space="preserve">5X0Q500</t>
  </si>
  <si>
    <t xml:space="preserve">Сейфовая дверь открыта в ходе операции Выдача при автоматическом пересчете (Withdrawal for automatic accounting).</t>
  </si>
  <si>
    <t xml:space="preserve">5X0Q600</t>
  </si>
  <si>
    <t xml:space="preserve">Ошибка открытия CSM в ходе операции Выдача при автоматическом пересчете (Withdrawal for automatic accounting).</t>
  </si>
  <si>
    <t xml:space="preserve">5X0Q700</t>
  </si>
  <si>
    <t xml:space="preserve">Ошибка вынутой Кассеты Отбраковки RJC в ходе операции Выдача при автоматическом пересчете (Withdrawal for automatic accounting).</t>
  </si>
  <si>
    <t xml:space="preserve">5X0Q800</t>
  </si>
  <si>
    <t xml:space="preserve">Ошибка концевого переключателя BMD в ходе операции Выдача при автоматическом пересчете (Withdrawal for automatic accounting).</t>
  </si>
  <si>
    <t xml:space="preserve">5X0Q900</t>
  </si>
  <si>
    <t xml:space="preserve">Ошибка положения BMD в ходе операции Выдача при автоматическом пересчете (Withdrawal for automatic accounting).</t>
  </si>
  <si>
    <t xml:space="preserve">5X0QA00</t>
  </si>
  <si>
    <t xml:space="preserve">Ошибка открытия BC в ходе операции Выдача при автоматическом пересчете (Withdrawal for automatic accounting).</t>
  </si>
  <si>
    <t xml:space="preserve">5X0R100</t>
  </si>
  <si>
    <t xml:space="preserve">BM вернул ошибку таймаута сообщения в ходе готовности к операции Выдача при автоматическом пересчете (Withdrawal for automatic accounting).</t>
  </si>
  <si>
    <t xml:space="preserve">5X0R200</t>
  </si>
  <si>
    <t xml:space="preserve">BM вернул ошибку таймаута сообщения при проведении транзакции в ходе операции Выдача при автоматическом пересчете (Withdrawal for automatic accounting).</t>
  </si>
  <si>
    <t xml:space="preserve">5X0R300</t>
  </si>
  <si>
    <t xml:space="preserve">BM вернул ошибку таймаута сообщения в ходе постпроцессинга ошибки операции Выдача при автоматическом пересчете (Withdrawal for automatic accounting Error).</t>
  </si>
  <si>
    <t xml:space="preserve">5X0RJ00</t>
  </si>
  <si>
    <t xml:space="preserve">BM вернул ошибку таймаута сообщения в ходе операции Начало Остановки (Stop Ready) в ходе операции Выдача при автоматическом пересчете (Withdrawal for automatic accounting).</t>
  </si>
  <si>
    <t xml:space="preserve">5X10500</t>
  </si>
  <si>
    <t xml:space="preserve">GS105 сообщил об ошибке замятия по Светлому типу в ходе операции Выдача при автоматическом пересчете (Withdrawal for automatic accounting).</t>
  </si>
  <si>
    <t xml:space="preserve">5X11100</t>
  </si>
  <si>
    <t xml:space="preserve">GS101 замятие в области датчика в ходе операции Выдача при автоматическом пересчете (Withdrawal for automatic accounting).</t>
  </si>
  <si>
    <t xml:space="preserve">5X11200</t>
  </si>
  <si>
    <t xml:space="preserve">GS102 замятие в области датчика в ходе операции Выдача при автоматическом пересчете (Withdrawal for automatic accounting).</t>
  </si>
  <si>
    <t xml:space="preserve">5X11500</t>
  </si>
  <si>
    <t xml:space="preserve">GS105 замятие в области датчика в ходе операции Выдача при автоматическом пересчете (Withdrawal for automatic accounting).</t>
  </si>
  <si>
    <t xml:space="preserve">5X12100</t>
  </si>
  <si>
    <t xml:space="preserve">Произошла ошибка оставшихся банкнот в области датчика GS101 в ходе операции Выдача при автоматическом пересчете (Withdrawal for automatic accounting).</t>
  </si>
  <si>
    <t xml:space="preserve">5X12200</t>
  </si>
  <si>
    <t xml:space="preserve">Произошла ошибка оставшихся банкнот в области датчика GS102 в ходе операции Выдача при автоматическом пересчете (Withdrawal for automatic accounting).</t>
  </si>
  <si>
    <t xml:space="preserve">5X12500</t>
  </si>
  <si>
    <t xml:space="preserve">Произошла ошибка оставшихся банкнот в области датчика GS105 в ходе операции Выдача при автоматическом пересчете (Withdrawal for automatic accounting).</t>
  </si>
  <si>
    <t xml:space="preserve">5X15500</t>
  </si>
  <si>
    <t xml:space="preserve">Произошла ошибка Транспортного Тракта по данным датчика GS105 в ходе операции Выдача при автоматическом пересчете (Withdrawal for automatic accounting).</t>
  </si>
  <si>
    <t xml:space="preserve">5X16500</t>
  </si>
  <si>
    <t xml:space="preserve">Произошла ошибка Возвращающего Транспортного Тракта (датчик GS105) в ходе операции Выдача при автоматическом пересчете (Withdrawal for automatic accounting).</t>
  </si>
  <si>
    <t xml:space="preserve">5X17500</t>
  </si>
  <si>
    <t xml:space="preserve">Произошла ошибка порядка следования банкнот в области датчика GS105 в ходе операции Выдача при автоматическом пересчете (Withdrawal for automatic accounting).</t>
  </si>
  <si>
    <t xml:space="preserve">5X1C100</t>
  </si>
  <si>
    <t xml:space="preserve">Неудачный набор банкнот в Кассете Рециркуляции RC1 в ходе операции Выдача при автоматическом пересчете (Withdrawal for automatic accounting).</t>
  </si>
  <si>
    <t xml:space="preserve">5X1G100</t>
  </si>
  <si>
    <t xml:space="preserve">Не удалось вернуть банкноты в Кассету Рециркуляции RC1 в ходе операции Выдача при автоматическом пересчете (Withdrawal for automatic accounting).</t>
  </si>
  <si>
    <t xml:space="preserve">5X1G200</t>
  </si>
  <si>
    <t xml:space="preserve">Не удалось переместить Прижимную Пластину Кассеты Рециркуляции RC1 в укладывающее положение в ходе операции Выдача при автоматическом пересчете (Withdrawal for automatic accounting).</t>
  </si>
  <si>
    <t xml:space="preserve">5X1G300</t>
  </si>
  <si>
    <t xml:space="preserve">Не удалось выполнить возвратное движение укладывающего ролика Прижимной Пластиныпри повторном разделении из Кассеты Рециркуляции RC1 в ходе операции Выдача при автоматическом пересчете (Withdrawal for automatic accounting).</t>
  </si>
  <si>
    <t xml:space="preserve">5X1G400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</si>
  <si>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Выдача при автоматическом пересчете (Withdrawal for automatic accounting).</t>
  </si>
  <si>
    <t xml:space="preserve">5X1G500</t>
  </si>
  <si>
    <t xml:space="preserve">Сбой обратного хода укладывающего ролика Кассеты Рециркуляции RC1 в ходе операции Выдача при автоматическом пересчете (Withdrawal for automatic accounting).(ошибка датчика)</t>
  </si>
  <si>
    <t xml:space="preserve">5X1G600</t>
  </si>
  <si>
    <t xml:space="preserve">Превышен предел количества попыток перемещений укладывающего ролика Кассеты Рециркуляции RC1 в ходе операции Выдача при автоматическом пересчете (Withdrawal for automatic accounting).</t>
  </si>
  <si>
    <t xml:space="preserve">5X1G700</t>
  </si>
  <si>
    <t xml:space="preserve">Не удалось переместить подающий ролик Кассеты Рециркуляции RC1 в исходное положение в ходе операции Выдача при автоматическом пересчете (Withdrawal for automatic accounting).</t>
  </si>
  <si>
    <t xml:space="preserve">5X1G800</t>
  </si>
  <si>
    <t xml:space="preserve">Не удалось переместить Прижимную Пластину в прижимающее положение Кассеты Рециркуляции RC1 в ходе операции Выдача при автоматическом пересчете (Withdrawal for automatic accounting).</t>
  </si>
  <si>
    <t xml:space="preserve">5X1GA00</t>
  </si>
  <si>
    <t xml:space="preserve">Ошибка сообщения соленоида Кассеты Рециркуляции RC1 в ходе операции Выдача при автоматическом пересчете (Withdrawal for automatic accounting).</t>
  </si>
  <si>
    <t xml:space="preserve">5X1GB00</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</si>
  <si>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</si>
  <si>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5X1GC00</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</si>
  <si>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</si>
  <si>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5X1GJ00</t>
  </si>
  <si>
    <t xml:space="preserve">Сбой обратного хода укладывающего ролика Кассеты Рециркуляции RC1 в ходе операции Выдача при автоматическом пересчете (Withdrawal for automatic accounting).(Перерасход)</t>
  </si>
  <si>
    <t xml:space="preserve">5X1GK00</t>
  </si>
  <si>
    <t xml:space="preserve">Сбой обратного хода укладывающего ролика Кассеты Рециркуляции RC1 в ходе операции Выдача при автоматическом пересчете (Withdrawal for automatic accounting). (Ошибка состояния двигателя)</t>
  </si>
  <si>
    <t xml:space="preserve">5X1GL00</t>
  </si>
  <si>
    <t xml:space="preserve">Не удалось переместить подающий ролик Кассеты Рециркуляции RC1 в исходное положение в ходе операции Выдача при автоматическом пересчете (Withdrawal for automatic accounting).(Ошибка состояния двигателя)</t>
  </si>
  <si>
    <t xml:space="preserve">5X1J200</t>
  </si>
  <si>
    <t xml:space="preserve">Пустая Кассета Рециркуляции RC1 в ходе операции Выдача при автоматическом пересчете (Withdrawal for automatic accounting).</t>
  </si>
  <si>
    <t xml:space="preserve">5X1K100</t>
  </si>
  <si>
    <t xml:space="preserve">Необходимое количество разделённых банкнот в Кассете Рециркуляции RC1 равно 0 в ходе операции Выдача при автоматическом пересчете (Withdrawal for automatic accounting).</t>
  </si>
  <si>
    <t xml:space="preserve">5X1NL00</t>
  </si>
  <si>
    <t xml:space="preserve">Информационный статус. Слистывание при автоматическом пересчете в ходе операции Выдача (Withdrawal) Кассеты Рециркуляции RC1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</si>
  <si>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5X1R100</t>
  </si>
  <si>
    <t xml:space="preserve">Ошибка тайм-аута сообщения Кассеты Рециркуляции RC1 в ходе готовности к операции Выдача при автоматическом пересчете (Withdrawal for automatic accounting).</t>
  </si>
  <si>
    <t xml:space="preserve">5X1R200</t>
  </si>
  <si>
    <t xml:space="preserve">Ошибка тайм-аута сообщения Кассеты Рециркуляции RC1 при проведении транзакции в операции Выдача при автоматическом пересчете (Withdrawal for automatic accounting)</t>
  </si>
  <si>
    <t xml:space="preserve">5X1R300</t>
  </si>
  <si>
    <t xml:space="preserve">Ошибка тайм-аута сообщения Кассеты Рециркуляции RC1 в ходе постпроцессинга ошибки операции Выдача при автоматическом пересчете (Withdrawal for automatic accounting Error).</t>
  </si>
  <si>
    <t xml:space="preserve">5X1RJ00</t>
  </si>
  <si>
    <t xml:space="preserve">Ошибка тайм-аута сообщения Кассеты Рециркуляции RC1 в ходе операции Выдача при автоматическом пересчете (Withdrawal for automatic accounting).</t>
  </si>
  <si>
    <t xml:space="preserve">5X1S100</t>
  </si>
  <si>
    <t xml:space="preserve">Возвращено неизвестное значение Кассеты Рециркуляции RC1 в ходе операции Выдача при автоматическом пересчете (Withdrawal for automatic accounting).</t>
  </si>
  <si>
    <t xml:space="preserve">5X1S200</t>
  </si>
  <si>
    <t xml:space="preserve">Неизвестная команда RC1 в ходе операции Выдача при автоматическом пересчете (Withdrawal for automatic accounting).</t>
  </si>
  <si>
    <t xml:space="preserve">5X1S300</t>
  </si>
  <si>
    <t xml:space="preserve">Невыполнимая команда Начало Выдачи при автоматическом пересчете (Withdrawal for automatic accounting Ready) произошла в Кассете Рециркуляции RC1 в ходе операции Начало Выдачи при автоматическом пересчете (Withdrawal for automatic accounting Ready).</t>
  </si>
  <si>
    <t xml:space="preserve">5X1SZ00</t>
  </si>
  <si>
    <t xml:space="preserve">Не удалось набрать необходимые банкноты в Кассете Рециркуляции RC1 в ходе операции Выдача при автоматическом пересчете (Withdrawal for automatic accounting). Остановка слистывания при нулевом счетчике.</t>
  </si>
  <si>
    <t xml:space="preserve">5X20500</t>
  </si>
  <si>
    <t xml:space="preserve">GS205 сообщил об ошибке замятия по Светлому типу в ходе операции Выдача при автоматическом пересчете (Withdrawal for automatic accounting).</t>
  </si>
  <si>
    <t xml:space="preserve">5X21100</t>
  </si>
  <si>
    <t xml:space="preserve">GS201 замятие в области датчика в ходе операции Выдача при автоматическом пересчете (Withdrawal for automatic accounting).</t>
  </si>
  <si>
    <t xml:space="preserve">5X21200</t>
  </si>
  <si>
    <t xml:space="preserve">GS202 замятие в области датчика в ходе операции Выдача при автоматическом пересчете (Withdrawal for automatic accounting).</t>
  </si>
  <si>
    <t xml:space="preserve">5X21500</t>
  </si>
  <si>
    <t xml:space="preserve">GS205 замятие в области датчика в ходе операции Выдача при автоматическом пересчете (Withdrawal for automatic accounting).</t>
  </si>
  <si>
    <t xml:space="preserve">5X22100</t>
  </si>
  <si>
    <t xml:space="preserve">Произошла ошибка оставшихся банкнот в области датчика GS201 в ходе операции Выдача при автоматическом пересчете (Withdrawal for automatic accounting).</t>
  </si>
  <si>
    <t xml:space="preserve">5X22200</t>
  </si>
  <si>
    <t xml:space="preserve">Произошла ошибка оставшихся банкнот в области датчика GS202 в ходе операции Выдача при автоматическом пересчете (Withdrawal for automatic accounting).</t>
  </si>
  <si>
    <t xml:space="preserve">5X22500</t>
  </si>
  <si>
    <t xml:space="preserve">Произошла ошибка оставшихся банкнот в области датчика GS205 в ходе операции Выдача при автоматическом пересчете (Withdrawal for automatic accounting).</t>
  </si>
  <si>
    <t xml:space="preserve">5X25500</t>
  </si>
  <si>
    <t xml:space="preserve">Произошла ошибка Транспортного Тракта по данным датчика GS205 в ходе операции Выдача при автоматическом пересчете (Withdrawal for automatic accounting).</t>
  </si>
  <si>
    <t xml:space="preserve">5X26500</t>
  </si>
  <si>
    <t xml:space="preserve">Произошла ошибка Возвращающего Транспортного Тракта (датчик GS205) в ходе операции Выдача при автоматическом пересчете (Withdrawal for automatic accounting).</t>
  </si>
  <si>
    <t xml:space="preserve">5X27500</t>
  </si>
  <si>
    <t xml:space="preserve">GS205 Note disorder error в ходе операции Выдача при автоматическом пересчете (Withdrawal for automatic accounting).</t>
  </si>
  <si>
    <t xml:space="preserve">5X2C100</t>
  </si>
  <si>
    <t xml:space="preserve">Неудачный набор банкнот в Кассете Рециркуляции RC2 в ходе операции Выдача при автоматическом пересчете (Withdrawal for automatic accounting).</t>
  </si>
  <si>
    <t xml:space="preserve">5X2G100</t>
  </si>
  <si>
    <t xml:space="preserve">Не удалось вернуть банкноты в Кассету Рециркуляции RC2 в ходе операции Выдача при автоматическом пересчете (Withdrawal for automatic accounting).</t>
  </si>
  <si>
    <t xml:space="preserve">5X2G200</t>
  </si>
  <si>
    <t xml:space="preserve">Не удалось переместить Прижимную Пластину Кассеты Рециркуляции RC2 в укладывающее положение в ходе операции Выдача при автоматическом пересчете (Withdrawal for automatic accounting).</t>
  </si>
  <si>
    <t xml:space="preserve">5X2G300</t>
  </si>
  <si>
    <t xml:space="preserve">Не удалось выполнить возвратное движение укладывающего ролика Прижимной Пластины при повторном разделении из Кассеты Рециркуляции RC2 в ходе операции Выдача при автоматическом пересчете (Withdrawal for automatic accounting).</t>
  </si>
  <si>
    <t xml:space="preserve">5X2G400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</si>
  <si>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Выдача при автоматическом пересчете (Withdrawal for automatic accounting).</t>
  </si>
  <si>
    <t xml:space="preserve">5X2G500</t>
  </si>
  <si>
    <t xml:space="preserve">Сбой обратного хода укладывающего ролика Кассеты Рециркуляции RC2 в ходе операции Выдача при автоматическом пересчете (Withdrawal for automatic accounting).(ошибка датчика)</t>
  </si>
  <si>
    <t xml:space="preserve">5X2G600</t>
  </si>
  <si>
    <t xml:space="preserve">Превышен предел количества попыток перемещений укладывающего ролика Кассеты Рециркуляции RC2 в ходе операции Выдача при автоматическом пересчете (Withdrawal for automatic accounting).</t>
  </si>
  <si>
    <t xml:space="preserve">5X2G700</t>
  </si>
  <si>
    <t xml:space="preserve">Не удалось переместить подающий ролик Кассеты Рециркуляции RC2 в исходное положение в ходе операции Выдача при автоматическом пересчете (Withdrawal for automatic accounting).</t>
  </si>
  <si>
    <t xml:space="preserve">5X2G800</t>
  </si>
  <si>
    <t xml:space="preserve">Не удалось переместить Прижимную Пластину в прижимающее положение Кассеты Рециркуляции RC2 в ходе операции Выдача при автоматическом пересчете (Withdrawal for automatic accounting).</t>
  </si>
  <si>
    <t xml:space="preserve">5X2GA00</t>
  </si>
  <si>
    <t xml:space="preserve">Ошибка сообщения соленоида Кассеты Рециркуляции RC2 в ходе операции Выдача при автоматическом пересчете (Withdrawal for automatic accounting).</t>
  </si>
  <si>
    <t xml:space="preserve">5X2GB00</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</si>
  <si>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</si>
  <si>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5X2GC00</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</si>
  <si>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</si>
  <si>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5X2GJ00</t>
  </si>
  <si>
    <t xml:space="preserve">Сбой обратного хода укладывающего ролика Кассеты Рециркуляции RC2 в ходе операции Выдача при автоматическом пересчете (Withdrawal for automatic accounting).(Перерасход)</t>
  </si>
  <si>
    <t xml:space="preserve">5X2GK00</t>
  </si>
  <si>
    <t xml:space="preserve">Сбой обратного хода укладывающего ролика Кассеты Рециркуляции RC2 в ходе операции Выдача при автоматическом пересчете (Withdrawal for automatic accounting). (Ошибка состояния двигателя)</t>
  </si>
  <si>
    <t xml:space="preserve">5X2GL00</t>
  </si>
  <si>
    <t xml:space="preserve">Не удалось переместить подающий ролик Кассеты Рециркуляции RC2 в исходное положение в ходе операции Выдача при автоматическом пересчете (Withdrawal for automatic accounting).(Ошибка состояния двигателя)</t>
  </si>
  <si>
    <t xml:space="preserve">5X2J200</t>
  </si>
  <si>
    <t xml:space="preserve">Пустая Кассета Рециркуляции RC2 в ходе операции Выдача при автоматическом пересчете (Withdrawal for automatic accounting).</t>
  </si>
  <si>
    <t xml:space="preserve">5X2K100</t>
  </si>
  <si>
    <t xml:space="preserve">Необходимое количество разделённых банкнот в Кассете Рециркуляции RC2 равно 0 в ходе операции Выдача при автоматическом пересчете (Withdrawal for automatic accounting).</t>
  </si>
  <si>
    <t xml:space="preserve">5X2NL00</t>
  </si>
  <si>
    <t xml:space="preserve">Информационный статус.. Слистывание при автоматическом пересчете в ходе операции Выдача (Withdrawal) Кассеты Рециркуляции RC2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</si>
  <si>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5X2R100</t>
  </si>
  <si>
    <t xml:space="preserve">Ошибка тайм-аута сообщения Кассеты Рециркуляции RC2 в ходе готовности к операции Выдача при автоматическом пересчете (Withdrawal for automatic accounting).</t>
  </si>
  <si>
    <t xml:space="preserve">5X2R200</t>
  </si>
  <si>
    <t xml:space="preserve">Ошибка тайм-аута сообщения Кассеты Рециркуляции RC2 при проведении транзакции в ходе операции Выдача при автоматическом пересчете (Withdrawal for automatic accounting).</t>
  </si>
  <si>
    <t xml:space="preserve">5X2R300</t>
  </si>
  <si>
    <t xml:space="preserve">Ошибка тайм-аута сообщения Кассеты Рециркуляции RC2 в ходе постпроцессинга ошибки операции Выдача при автоматическом пересчете (Withdrawal for automatic accounting Error).</t>
  </si>
  <si>
    <t xml:space="preserve">5X2RJ00</t>
  </si>
  <si>
    <t xml:space="preserve">5X2S100</t>
  </si>
  <si>
    <t xml:space="preserve">Возвращено неизвестное значение Кассеты Рециркуляции RC2 в ходе операции Выдача при автоматическом пересчете (Withdrawal for automatic accounting).</t>
  </si>
  <si>
    <t xml:space="preserve">5X2S200</t>
  </si>
  <si>
    <t xml:space="preserve">Неизвестная команда RC2 в ходе операции Выдача при автоматическом пересчете (Withdrawal for automatic accounting).</t>
  </si>
  <si>
    <t xml:space="preserve">5X2S300</t>
  </si>
  <si>
    <t xml:space="preserve">Невыполнимая команда Начало Выдачи при автоматическом пересчете (Withdrawal for automatic accounting Ready) произошла в Кассете Рециркуляции RC2 в ходе операции Начало Выдачи при автоматическом пересчете (Withdrawal for automatic accounting Ready).</t>
  </si>
  <si>
    <t xml:space="preserve">5X2SZ00</t>
  </si>
  <si>
    <t xml:space="preserve">Не удалось набрать необходимые банкноты в Кассете Рециркуляции RC2 в ходе операции Выдача при автоматическом пересчете (Withdrawal for automatic accounting). Остановка слистывания при нулевом счетчике (НЕТ доступной Кассеты Рециркуляции RC для набора).</t>
  </si>
  <si>
    <t xml:space="preserve">5X30500</t>
  </si>
  <si>
    <t xml:space="preserve">GS305 сообщил об ошибке замятия по Светлому типу в ходе операции Выдача при автоматическом пересчете (Withdrawal for automatic accounting).</t>
  </si>
  <si>
    <t xml:space="preserve">5X31100</t>
  </si>
  <si>
    <t xml:space="preserve">GS301 замятие в области датчика в ходе операции Выдача при автоматическом пересчете (Withdrawal for automatic accounting).</t>
  </si>
  <si>
    <t xml:space="preserve">5X31200</t>
  </si>
  <si>
    <t xml:space="preserve">GS302 замятие в области датчика в ходе операции Выдача при автоматическом пересчете (Withdrawal for automatic accounting).</t>
  </si>
  <si>
    <t xml:space="preserve">5X31500</t>
  </si>
  <si>
    <t xml:space="preserve">GS305 замятие в области датчика в ходе операции Выдача при автоматическом пересчете (Withdrawal for automatic accounting).</t>
  </si>
  <si>
    <t xml:space="preserve">5X32100</t>
  </si>
  <si>
    <t xml:space="preserve">Произошла ошибка оставшихся банкнот в области датчика GS301 в ходе операции Выдача при автоматическом пересчете (Withdrawal for automatic accounting).</t>
  </si>
  <si>
    <t xml:space="preserve">5X32200</t>
  </si>
  <si>
    <t xml:space="preserve">Произошла ошибка оставшихся банкнот в области датчика GS302 в ходе операции Выдача при автоматическом пересчете (Withdrawal for automatic accounting).</t>
  </si>
  <si>
    <t xml:space="preserve">5X32500</t>
  </si>
  <si>
    <t xml:space="preserve">Произошла ошибка оставшихся банкнот в области датчика GS305 в ходе операции Выдача при автоматическом пересчете (Withdrawal for automatic accounting).</t>
  </si>
  <si>
    <t xml:space="preserve">5X35500</t>
  </si>
  <si>
    <t xml:space="preserve">Произошла ошибка Транспортного Тракта по данным датчика GS305 в ходе операции Выдача при автоматическом пересчете (Withdrawal for automatic accounting).</t>
  </si>
  <si>
    <t xml:space="preserve">5X36500</t>
  </si>
  <si>
    <t xml:space="preserve">Произошла ошибка Возвращающего Транспортного Тракта (датчик GS305) в ходе операции Выдача при автоматическом пересчете (Withdrawal for automatic accounting).</t>
  </si>
  <si>
    <t xml:space="preserve">5X37500</t>
  </si>
  <si>
    <t xml:space="preserve">Произошла ошибка порядка следования банкнот в области датчика GS301 в ходе операции Выдача при автоматическом пересчете (Withdrawal for automatic accounting).</t>
  </si>
  <si>
    <t xml:space="preserve">5X3C100</t>
  </si>
  <si>
    <t xml:space="preserve">Неудачный набор банкнот в Кассете Рециркуляции RC3 в ходе операции Выдача при автоматическом пересчете (Withdrawal for automatic accounting).</t>
  </si>
  <si>
    <t xml:space="preserve">5X3G100</t>
  </si>
  <si>
    <t xml:space="preserve">Не удалось вернуть банкноты в Кассету Рециркуляции RC3 в ходе операции Выдача при автоматическом пересчете (Withdrawal for automatic accounting).</t>
  </si>
  <si>
    <t xml:space="preserve">5X3G200</t>
  </si>
  <si>
    <t xml:space="preserve">Не удалось переместить Прижимную Пластину Кассеты Рециркуляции RC3 в укладывающее положение в ходе операции Выдача при автоматическом пересчете (Withdrawal for automatic accounting).</t>
  </si>
  <si>
    <t xml:space="preserve">5X3G300</t>
  </si>
  <si>
    <t xml:space="preserve">Не удалось выполнить возвратное движение укладывающего ролика Прижимной Пластины при повторном разделении из Кассеты Рециркуляции RC3 в ходе операции Выдача при автоматическом пересчете (Withdrawal for automatic accounting).</t>
  </si>
  <si>
    <t xml:space="preserve">5X3G400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</si>
  <si>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Выдача при автоматическом пересчете (Withdrawal for automatic accounting).</t>
  </si>
  <si>
    <t xml:space="preserve">5X3G500</t>
  </si>
  <si>
    <t xml:space="preserve">Сбой обратного хода укладывающего ролика Кассеты Рециркуляции RC3 в ходе операции Выдача при автоматическом пересчете (Withdrawal for automatic accounting).(ошибка датчика)</t>
  </si>
  <si>
    <t xml:space="preserve">5X3G600</t>
  </si>
  <si>
    <t xml:space="preserve">Превышен предел количества попыток перемещений укладывающего ролика Кассеты Рециркуляции RC3 в ходе операции Выдача при автоматическом пересчете (Withdrawal for automatic accounting).</t>
  </si>
  <si>
    <t xml:space="preserve">5X3G700</t>
  </si>
  <si>
    <t xml:space="preserve">Не удалось переместить подающий ролик Кассеты Рециркуляции RC3 в исходное положение в ходе операции Выдача при автоматическом пересчете (Withdrawal for automatic accounting).</t>
  </si>
  <si>
    <t xml:space="preserve">5X3G800</t>
  </si>
  <si>
    <t xml:space="preserve">Не удалось переместить Прижимную Пластину в прижимающее положение Кассеты Рециркуляции RC3 в ходе операции Выдача при автоматическом пересчете (Withdrawal for automatic accounting).</t>
  </si>
  <si>
    <t xml:space="preserve">5X3GA00</t>
  </si>
  <si>
    <t xml:space="preserve">5X3GB00</t>
  </si>
  <si>
    <t xml:space="preserve">5X3GC00</t>
  </si>
  <si>
    <t xml:space="preserve">5X3GJ00</t>
  </si>
  <si>
    <t xml:space="preserve">Сбой обратного хода укладывающего ролика Кассеты Рециркуляции RC3 в ходе операции Выдача при автоматическом пересчете (Withdrawal for automatic accounting).(Перерасход)</t>
  </si>
  <si>
    <t xml:space="preserve">5X3GK00</t>
  </si>
  <si>
    <t xml:space="preserve">Сбой обратного хода укладывающего ролика Кассеты Рециркуляции RC3 в ходе операции Выдача при автоматическом пересчете (Withdrawal for automatic accounting). (Ошибка состояния двигателя)</t>
  </si>
  <si>
    <t xml:space="preserve">5X3GL00</t>
  </si>
  <si>
    <t xml:space="preserve">Не удалось переместить подающий ролик Кассеты Рециркуляции RC3 в исходное положение в ходе операции Выдача при автоматическом пересчете (Withdrawal for automatic accounting).(Ошибка состояния двигателя)</t>
  </si>
  <si>
    <t xml:space="preserve">5X3J200</t>
  </si>
  <si>
    <t xml:space="preserve">Пустая Кассета Рециркуляции RC3 в ходе операции Выдача при автоматическом пересчете (Withdrawal for automatic accounting).</t>
  </si>
  <si>
    <t xml:space="preserve">5X3K100</t>
  </si>
  <si>
    <t xml:space="preserve">Необходимое количество разделённых банкнот в Кассете Рециркуляции RC3 равно 0 в ходе операции Выдача при автоматическом пересчете (Withdrawal for automatic accounting).</t>
  </si>
  <si>
    <t xml:space="preserve">5X3NL00</t>
  </si>
  <si>
    <t xml:space="preserve">Информационный статус.. Слистывание при автоматическом пересчете в ходе операции Выдача (Withdrawal) Кассеты Рециркуляции RC3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</si>
  <si>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5X3R100</t>
  </si>
  <si>
    <t xml:space="preserve">Ошибка тайм-аута сообщения Кассеты Рециркуляции RC3 в ходе готовности к операции Выдача при автоматическом пересчете (Withdrawal for automatic accounting).</t>
  </si>
  <si>
    <t xml:space="preserve">5X3R200</t>
  </si>
  <si>
    <t xml:space="preserve">Ошибка тайм-аута сообщения Кассеты Рециркуляции RC3 при проведении транзакции в ходе операции Выдача при автоматическом пересчете (Withdrawal for automatic accounting).</t>
  </si>
  <si>
    <t xml:space="preserve">5X3R300</t>
  </si>
  <si>
    <t xml:space="preserve">Ошибка тайм-аута сообщения Кассеты Рециркуляции RC3 в ходе постпроцессинга ошибки операции Выдача при автоматическом пересчете (Withdrawal for automatic accounting Error).</t>
  </si>
  <si>
    <t xml:space="preserve">5X3RJ00</t>
  </si>
  <si>
    <t xml:space="preserve">Ошибка тайм-аута сообщения Кассеты Рециркуляции RC3 в ходе операции Начало Остановки (Stop Ready) в ходе операции Выдача при автоматическом пересчете (Withdrawal for automatic accounting).</t>
  </si>
  <si>
    <t xml:space="preserve">5X3S100</t>
  </si>
  <si>
    <t xml:space="preserve">Возвращено неизвестное значение Кассеты Рециркуляции RC3 в ходе операции Выдача при автоматическом пересчете (Withdrawal for automatic accounting).</t>
  </si>
  <si>
    <t xml:space="preserve">5X3S200</t>
  </si>
  <si>
    <t xml:space="preserve">Неизвестная команда RC3 в ходе операции Выдача при автоматическом пересчете (Withdrawal for automatic accounting).</t>
  </si>
  <si>
    <t xml:space="preserve">5X3S300</t>
  </si>
  <si>
    <t xml:space="preserve">Невыполнимая команда Начало Выдачи при автоматическом пересчете (Withdrawal for automatic accounting Ready) произошла в Кассете Рециркуляции RC3 в ходе операции Начало Выдачи при автоматическом пересчете (Withdrawal for automatic accounting Ready).</t>
  </si>
  <si>
    <t xml:space="preserve">5X3SZ00</t>
  </si>
  <si>
    <t xml:space="preserve">Не удалось набрать необходимые банкноты в Кассете Рециркуляции RC3 в ходе операции Выдача при автоматическом пересчете (Withdrawal for automatic accounting). Остановка слистывания при нулевом счетчике (НЕТ доступной Кассеты Рециркуляции RC для набора).</t>
  </si>
  <si>
    <t xml:space="preserve">5X40500</t>
  </si>
  <si>
    <t xml:space="preserve">GS405 сообщил об ошибке замятия по Светлому типу в ходе операции Выдача при автоматическом пересчете (Withdrawal for automatic accounting).</t>
  </si>
  <si>
    <t xml:space="preserve">5X41100</t>
  </si>
  <si>
    <t xml:space="preserve">GS401 замятие в области датчика в ходе операции Выдача при автоматическом пересчете (Withdrawal for automatic accounting).</t>
  </si>
  <si>
    <t xml:space="preserve">5X41200</t>
  </si>
  <si>
    <t xml:space="preserve">GS402 замятие в области датчика в ходе операции Выдача при автоматическом пересчете (Withdrawal for automatic accounting).</t>
  </si>
  <si>
    <t xml:space="preserve">5X41500</t>
  </si>
  <si>
    <t xml:space="preserve">GS405 замятие в области датчика в ходе операции Выдача при автоматическом пересчете (Withdrawal for automatic accounting).</t>
  </si>
  <si>
    <t xml:space="preserve">5X42100</t>
  </si>
  <si>
    <t xml:space="preserve">Произошла ошибка оставшихся банкнот в области датчика GS401 в ходе операции Выдача при автоматическом пересчете (Withdrawal for automatic accounting).</t>
  </si>
  <si>
    <t xml:space="preserve">5X42200</t>
  </si>
  <si>
    <t xml:space="preserve">Произошла ошибка оставшихся банкнот в области датчика GS402 в ходе операции Выдача при автоматическом пересчете (Withdrawal for automatic accounting).</t>
  </si>
  <si>
    <t xml:space="preserve">5X42500</t>
  </si>
  <si>
    <t xml:space="preserve">Произошла ошибка оставшихся банкнот в области датчика GS405 в ходе операции Выдача при автоматическом пересчете (Withdrawal for automatic accounting).</t>
  </si>
  <si>
    <t xml:space="preserve">5X45500</t>
  </si>
  <si>
    <t xml:space="preserve">Произошла ошибка Транспортного Тракта по данным датчика GS405 в ходе операции Выдача при автоматическом пересчете (Withdrawal for automatic accounting).</t>
  </si>
  <si>
    <t xml:space="preserve">5X46500</t>
  </si>
  <si>
    <t xml:space="preserve">Произошла ошибка Возвращающего Транспортного Тракта (датчик GS405) в ходе операции Выдача при автоматическом пересчете (Withdrawal for automatic accounting).</t>
  </si>
  <si>
    <t xml:space="preserve">5X47500</t>
  </si>
  <si>
    <t xml:space="preserve">GS405 note disorder error в ходе операции Выдача при автоматическом пересчете (Withdrawal for automatic accounting).</t>
  </si>
  <si>
    <t xml:space="preserve">5X4C100</t>
  </si>
  <si>
    <t xml:space="preserve">Неудачный набор банкнот в Кассете Рециркуляции RC4 в ходе операции Выдача при автоматическом пересчете (Withdrawal for automatic accounting).</t>
  </si>
  <si>
    <t xml:space="preserve">5X4G100</t>
  </si>
  <si>
    <t xml:space="preserve">Не удалось вернуть банкноты в Кассету Рециркуляции RC4 в ходе операции Выдача при автоматическом пересчете (Withdrawal for automatic accounting).</t>
  </si>
  <si>
    <t xml:space="preserve">5X4G200</t>
  </si>
  <si>
    <t xml:space="preserve">Не удалось переместить Прижимную Пластину Кассеты Рециркуляции RC4 в укладывающее положение в ходе операции Выдача при автоматическом пересчете (Withdrawal for automatic accounting).</t>
  </si>
  <si>
    <t xml:space="preserve">5X4G300</t>
  </si>
  <si>
    <t xml:space="preserve">Не удалось выполнить возвратное движение укладывающего ролика Прижимной Пластины при повторном разделении из Кассеты Рециркуляции RC4 в ходе операции Выдача при автоматическом пересчете (Withdrawal for automatic accounting).</t>
  </si>
  <si>
    <t xml:space="preserve">5X4G400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</si>
  <si>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Выдача при автоматическом пересчете (Withdrawal for automatic accounting).</t>
  </si>
  <si>
    <t xml:space="preserve">5X4G500</t>
  </si>
  <si>
    <t xml:space="preserve">Сбой обратного хода укладывающего ролика Кассеты Рециркуляции RC4 в ходе операции Выдача при автоматическом пересчете (Withdrawal for automatic accounting).(ошибка датчика)</t>
  </si>
  <si>
    <t xml:space="preserve">5X4G600</t>
  </si>
  <si>
    <t xml:space="preserve">Превышен предел количества попыток перемещений укладывающего ролика Кассеты Рециркуляции RC4 в ходе операции Выдача при автоматическом пересчете (Withdrawal for automatic accounting).</t>
  </si>
  <si>
    <t xml:space="preserve">5X4G700</t>
  </si>
  <si>
    <t xml:space="preserve">Не удалось переместить подающий ролик Кассеты Рециркуляции RC4 в исходное положение в ходе операции Выдача при автоматическом пересчете (Withdrawal for automatic accounting).</t>
  </si>
  <si>
    <t xml:space="preserve">5X4G800</t>
  </si>
  <si>
    <t xml:space="preserve">Не удалось переместить Прижимную Пластину в прижимающее положение Кассеты Рециркуляции RC4 в ходе операции Выдача при автоматическом пересчете (Withdrawal for automatic accounting).</t>
  </si>
  <si>
    <t xml:space="preserve">5X4GA00</t>
  </si>
  <si>
    <t xml:space="preserve">Ошибка сообщения соленоида Кассеты Рециркуляции RC4 в ходе операции Выдача при автоматическом пересчете (Withdrawal for automatic accounting).</t>
  </si>
  <si>
    <t xml:space="preserve">5X4GB00</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</si>
  <si>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</si>
  <si>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5X4GC00</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</si>
  <si>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</si>
  <si>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5X4GJ00</t>
  </si>
  <si>
    <t xml:space="preserve">Сбой обратного хода укладывающего ролика Кассеты Рециркуляции RC4 в ходе операции Выдача при автоматическом пересчете (Withdrawal for automatic accounting).(Перерасход)</t>
  </si>
  <si>
    <t xml:space="preserve">5X4GK00</t>
  </si>
  <si>
    <t xml:space="preserve">Сбой обратного хода укладывающего ролика Кассеты Рециркуляции RC4 в ходе операции Выдача при автоматическом пересчете (Withdrawal for automatic accounting). (Ошибка состояния двигателя)</t>
  </si>
  <si>
    <t xml:space="preserve">5X4GL00</t>
  </si>
  <si>
    <t xml:space="preserve">Не удалось переместить подающий ролик Кассеты Рециркуляции RC4 в исходное положение в ходе операции Выдача при автоматическом пересчете (Withdrawal for automatic accounting).(Ошибка состояния двигателя)</t>
  </si>
  <si>
    <t xml:space="preserve">5X4J200</t>
  </si>
  <si>
    <t xml:space="preserve">Пустая Кассета Рециркуляции RC4 в ходе операции Выдача при автоматическом пересчете (Withdrawal for automatic accounting).</t>
  </si>
  <si>
    <t xml:space="preserve">5X4K100</t>
  </si>
  <si>
    <t xml:space="preserve">Необходимое количество разделённых банкнот в Кассете Рециркуляции RC4 равно 0 в ходе операции Выдача при автоматическом пересчете (Withdrawal for automatic accounting).</t>
  </si>
  <si>
    <t xml:space="preserve">5X4NL00</t>
  </si>
  <si>
    <t xml:space="preserve">Информационный статус. Слистывание при автоматическом пересчете в ходе операции Выдача (Withdrawal) Кассеты Рециркуляции RC4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</si>
  <si>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5X4R100</t>
  </si>
  <si>
    <t xml:space="preserve">Ошибка тайм-аута сообщения Кассеты Рециркуляции RC4 в ходе готовности к операции Выдача при автоматическом пересчете (Withdrawal for automatic accounting).</t>
  </si>
  <si>
    <t xml:space="preserve">5X4R200</t>
  </si>
  <si>
    <t xml:space="preserve">Ошибка тайм-аута сообщения Кассеты Рециркуляции RC4 при проведении транзакции в ходе операции Выдача при автоматическом пересчете (Withdrawal for automatic accounting).</t>
  </si>
  <si>
    <t xml:space="preserve">5X4R300</t>
  </si>
  <si>
    <t xml:space="preserve">Ошибка тайм-аута сообщения Кассеты Рециркуляции RC4 в ходе постпроцессинга ошибки операции Выдача при автоматическом пересчете (Withdrawal for automatic accounting Error).</t>
  </si>
  <si>
    <t xml:space="preserve">5X4RJ00</t>
  </si>
  <si>
    <t xml:space="preserve">Ошибка тайм-аута сообщения Кассеты Рециркуляции RC4 в ходе операции Ready Stio в ходе операции Выдача при автоматическом пересчете (Withdrawal for automatic accounting).</t>
  </si>
  <si>
    <t xml:space="preserve">5X4S100</t>
  </si>
  <si>
    <t xml:space="preserve">Возвращено неизвестное значение Кассеты Рециркуляции RC4 в ходе операции Выдача при автоматическом пересчете (Withdrawal for automatic accounting).</t>
  </si>
  <si>
    <t xml:space="preserve">5X4S200</t>
  </si>
  <si>
    <t xml:space="preserve">Неизвестная команда RC5 в ходе операции Выдача при автоматическом пересчете (Withdrawal for automatic accounting).</t>
  </si>
  <si>
    <t xml:space="preserve">5X4S300</t>
  </si>
  <si>
    <t xml:space="preserve">Невыполнимая команда Начало Выдачи при автоматическом пересчете (Withdrawal for automatic accounting Ready) произошла в Кассете Рециркуляции RC4 в ходе операции Начало Выдачи при автоматическом пересчете (Withdrawal for automatic accounting Ready).</t>
  </si>
  <si>
    <t xml:space="preserve">5X4SZ00</t>
  </si>
  <si>
    <t xml:space="preserve">Не удалось набрать необходимые банкноты в Кассете Рециркуляции RC4 в ходе операции Выдача при автоматическом пересчете (Withdrawal for automatic accounting). Остановка слистывания при нулевом счетчике (НЕТ доступной Кассеты Рециркуляции RC для набора).</t>
  </si>
  <si>
    <t xml:space="preserve">5X50500</t>
  </si>
  <si>
    <t xml:space="preserve">GS505 сообщил об ошибке замятия по Светлому типу в ходе операции Выдача при автоматическом пересчете (Withdrawal for automatic accounting).</t>
  </si>
  <si>
    <t xml:space="preserve">5X51100</t>
  </si>
  <si>
    <t xml:space="preserve">GS501 замятие в области датчика в ходе операции Выдача при автоматическом пересчете (Withdrawal for automatic accounting).</t>
  </si>
  <si>
    <t xml:space="preserve">5X51200</t>
  </si>
  <si>
    <t xml:space="preserve">GS502 замятие в области датчика в ходе операции Выдача при автоматическом пересчете (Withdrawal for automatic accounting).</t>
  </si>
  <si>
    <t xml:space="preserve">5X51500</t>
  </si>
  <si>
    <t xml:space="preserve">GS505 замятие в области датчика в ходе операции Выдача при автоматическом пересчете (Withdrawal for automatic accounting).</t>
  </si>
  <si>
    <t xml:space="preserve">5X52100</t>
  </si>
  <si>
    <t xml:space="preserve">Произошла ошибка оставшихся банкнот в области датчика GS501 в ходе операции Выдача при автоматическом пересчете (Withdrawal for automatic accounting).</t>
  </si>
  <si>
    <t xml:space="preserve">5X52200</t>
  </si>
  <si>
    <t xml:space="preserve">Произошла ошибка оставшихся банкнот в области датчика GS502 в ходе операции Выдача при автоматическом пересчете (Withdrawal for automatic accounting).</t>
  </si>
  <si>
    <t xml:space="preserve">5X52500</t>
  </si>
  <si>
    <t xml:space="preserve">Произошла ошибка оставшихся банкнот в области датчика GS505 в ходе операции Выдача при автоматическом пересчете (Withdrawal for automatic accounting).</t>
  </si>
  <si>
    <t xml:space="preserve">5X55500</t>
  </si>
  <si>
    <t xml:space="preserve">Произошла ошибка Транспортного Тракта по данным датчика GS505 в ходе операции Выдача при автоматическом пересчете (Withdrawal for automatic accounting).</t>
  </si>
  <si>
    <t xml:space="preserve">5X56500</t>
  </si>
  <si>
    <t xml:space="preserve">Произошла ошибка Возвращающего Транспортного Тракта (датчик GS505) в ходе операции Выдача при автоматическом пересчете (Withdrawal for automatic accounting).</t>
  </si>
  <si>
    <t xml:space="preserve">5X5C100</t>
  </si>
  <si>
    <t xml:space="preserve">Неудачный набор банкнот в Кассете Рециркуляции RC5 в ходе операции Выдача при автоматическом пересчете (Withdrawal for automatic accounting).</t>
  </si>
  <si>
    <t xml:space="preserve">5X5G100</t>
  </si>
  <si>
    <t xml:space="preserve">Не удалось вернуть банкноты в Кассету Рециркуляции RC5 в ходе операции Выдача при автоматическом пересчете (Withdrawal for automatic accounting).</t>
  </si>
  <si>
    <t xml:space="preserve">5X5G200</t>
  </si>
  <si>
    <t xml:space="preserve">Не удалось переместить Прижимную Пластину Кассеты Рециркуляции RC5 в укладывающее положение в ходе операции Выдача при автоматическом пересчете (Withdrawal for automatic accounting).</t>
  </si>
  <si>
    <t xml:space="preserve">5X5G300</t>
  </si>
  <si>
    <t xml:space="preserve">Не удалось выполнить возвратное движение укладывающего ролика Прижимной Пластины при повторном разделении из Кассеты Рециркуляции RC5 в ходе операции Выдача при автоматическом пересчете (Withdrawal for automatic accounting).</t>
  </si>
  <si>
    <t xml:space="preserve">5X5G400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</si>
  <si>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Выдача при автоматическом пересчете (Withdrawal for automatic accounting).</t>
  </si>
  <si>
    <t xml:space="preserve">5X5G500</t>
  </si>
  <si>
    <t xml:space="preserve">Сбой обратного хода укладывающего ролика Кассеты Рециркуляции RC5 в ходе операции Выдача при автоматическом пересчете (Withdrawal for automatic accounting).(ошибка датчика)</t>
  </si>
  <si>
    <t xml:space="preserve">5X5G600</t>
  </si>
  <si>
    <t xml:space="preserve">Превышен предел количества попыток перемещений укладывающего ролика Кассеты Рециркуляции RC5 в ходе операции Выдача при автоматическом пересчете (Withdrawal for automatic accounting).</t>
  </si>
  <si>
    <t xml:space="preserve">5X5G700</t>
  </si>
  <si>
    <t xml:space="preserve">Не удалось переместить подающий ролик Кассеты Рециркуляции RC5 в исходное положение в ходе операции Выдача при автоматическом пересчете (Withdrawal for automatic accounting).</t>
  </si>
  <si>
    <t xml:space="preserve">5X5G800</t>
  </si>
  <si>
    <t xml:space="preserve">Не удалось переместить Прижимную Пластину в прижимающее положение Кассеты Рециркуляции RC5 в ходе операции Выдача при автоматическом пересчете (Withdrawal for automatic accounting).</t>
  </si>
  <si>
    <t xml:space="preserve">5X5GA00</t>
  </si>
  <si>
    <t xml:space="preserve">Ошибка сообщения соленоида Кассеты Рециркуляции RC5 в ходе операции Выдача при автоматическом пересчете (Withdrawal for automatic accounting).</t>
  </si>
  <si>
    <t xml:space="preserve">5X5GB00</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</si>
  <si>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</si>
  <si>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5X5GC00</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</si>
  <si>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</si>
  <si>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5X5GJ00</t>
  </si>
  <si>
    <t xml:space="preserve">Сбой обратного хода укладывающего ролика Кассеты Рециркуляции RC5 в ходе операции Выдача при автоматическом пересчете (Withdrawal for automatic accounting).(Перерасход)</t>
  </si>
  <si>
    <t xml:space="preserve">5X5GK00</t>
  </si>
  <si>
    <t xml:space="preserve">Сбой обратного хода укладывающего ролика Кассеты Рециркуляции RC5 в ходе операции Выдача при автоматическом пересчете (Withdrawal for automatic accounting). (Ошибка состояния двигателя)</t>
  </si>
  <si>
    <t xml:space="preserve">5X5GL00</t>
  </si>
  <si>
    <t xml:space="preserve">Не удалось переместить подающий ролик Кассеты Рециркуляции RC5 в исходное положение в ходе операции Выдача при автоматическом пересчете (Withdrawal for automatic accounting).(Ошибка состояния двигателя)</t>
  </si>
  <si>
    <t xml:space="preserve">5X5J200</t>
  </si>
  <si>
    <t xml:space="preserve">Пустая Кассета Рециркуляции RC5 в ходе операции Выдача при автоматическом пересчете (Withdrawal for automatic accounting).</t>
  </si>
  <si>
    <t xml:space="preserve">5X5K100</t>
  </si>
  <si>
    <t xml:space="preserve">Необходимое количество разделённых банкнот в Кассете Рециркуляции RC5 равно 0 в ходе операции Выдача при автоматическом пересчете (Withdrawal for automatic accounting).</t>
  </si>
  <si>
    <t xml:space="preserve">5X5NL00</t>
  </si>
  <si>
    <t xml:space="preserve">Информационный статус. Слистывание при автоматическом пересчете в ходе операции Выдача (Withdrawal) Кассеты Рециркуляции RC5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</si>
  <si>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5X5R100</t>
  </si>
  <si>
    <t xml:space="preserve">Ошибка тайм-аута сообщения Кассеты Рециркуляции RC5 в ходе готовности к операции Выдача при автоматическом пересчете (Withdrawal for automatic accounting).</t>
  </si>
  <si>
    <t xml:space="preserve">5X5R200</t>
  </si>
  <si>
    <t xml:space="preserve">Ошибка тайм-аута сообщения Кассеты Рециркуляции RC5 при проведении транзакции в ходе операции Выдача при автоматическом пересчете (Withdrawal for automatic accounting).</t>
  </si>
  <si>
    <t xml:space="preserve">5X5R300</t>
  </si>
  <si>
    <t xml:space="preserve">Ошибка тайм-аута сообщения Кассеты Рециркуляции RC5 в ходе постпроцессинга ошибки операции Выдача при автоматическом пересчете (Withdrawal for automatic accounting Error).</t>
  </si>
  <si>
    <t xml:space="preserve">5X5RJ00</t>
  </si>
  <si>
    <t xml:space="preserve">Ошибка тайм-аута сообщения Кассеты Рециркуляции RC5 в ходе операции Начало Остановки (Stop Ready) в ходе операции Выдача при автоматическом пересчете (Withdrawal for automatic accounting).</t>
  </si>
  <si>
    <t xml:space="preserve">5X5S100</t>
  </si>
  <si>
    <t xml:space="preserve">Возвращено неизвестное значение Кассеты Рециркуляции RC5 в ходе операции Выдача при автоматическом пересчете (Withdrawal for automatic accounting).</t>
  </si>
  <si>
    <t xml:space="preserve">5X5S200</t>
  </si>
  <si>
    <t xml:space="preserve">5X5S300</t>
  </si>
  <si>
    <t xml:space="preserve">Невыполнимая команда Начало Выдачи при автоматическом пересчете (Withdrawal for automatic accounting Ready) произошла в Кассете Рециркуляции RC5 в ходе операции Начало Выдачи при автоматическом пересчете (Withdrawal for automatic accounting Ready).</t>
  </si>
  <si>
    <t xml:space="preserve">5X5SZ00</t>
  </si>
  <si>
    <t xml:space="preserve">Не удалось набрать необходимые банкноты в Кассете Рециркуляции RC5 в ходе операции Выдача при автоматическом пересчете (Withdrawal for automatic accounting). Остановка слистывания при нулевом счетчике (НЕТ доступной Кассеты Рециркуляции RC для набора).</t>
  </si>
  <si>
    <t xml:space="preserve">5X5X500</t>
  </si>
  <si>
    <t xml:space="preserve">Произошла ошибка порядка следования банкнот в области датчика GS505 в ходе операции Выдача при автоматическом пересчете (Withdrawal for automatic accounting).</t>
  </si>
  <si>
    <t xml:space="preserve">5X62100</t>
  </si>
  <si>
    <t xml:space="preserve">Ошибка оставшихся банкнот в Модуле обслуживания клиентов CSM в ходе операции Выдача при автоматическом пересчете (Withdrawal for automatic accounting).</t>
  </si>
  <si>
    <t xml:space="preserve">5X62400</t>
  </si>
  <si>
    <t xml:space="preserve">Неизвестная ошибка команды Модуля обслуживания клиентов (CSM) в ходе операции Выдача при автоматическом пересчете (Withdrawal for automatic accounting).</t>
  </si>
  <si>
    <t xml:space="preserve">5X62500</t>
  </si>
  <si>
    <t xml:space="preserve">Состояние остались банкноты сменилось на состояние банкноты отсутствуют в Модуле обслуживания клиентов CSM в ходе операции Выдача при автоматическом пересчете (Withdrawal for automatic accounting).</t>
  </si>
  <si>
    <t xml:space="preserve">5X62600</t>
  </si>
  <si>
    <t xml:space="preserve">Состояние банкноты отсутствуют сменилось на состояние остались банкноты в Модуле обслуживания клиентов CSM в ходе операции Выдача при автоматическом пересчете (Withdrawal for automatic accounting).</t>
  </si>
  <si>
    <t xml:space="preserve">5X6G100</t>
  </si>
  <si>
    <t xml:space="preserve">Ошибка получения и положения банкнот в ходе операции Выдача при автоматическом пересчете (Withdrawal for automatic accounting).</t>
  </si>
  <si>
    <t xml:space="preserve">5X6G200</t>
  </si>
  <si>
    <t xml:space="preserve">Ошибка перемещения Задней Прижимной Пластины BP в положение для укладки в ходе операции Выдача при автоматическом пересчете (Withdrawal for automatic accounting).</t>
  </si>
  <si>
    <t xml:space="preserve">5X6G300</t>
  </si>
  <si>
    <t xml:space="preserve">Ошибка перемещения Задней Прижимной Пластины BP в положение для депозита в ходе операции Выдача при автоматическом пересчете (Withdrawal for automatic accounting).</t>
  </si>
  <si>
    <t xml:space="preserve">5X6G400</t>
  </si>
  <si>
    <t xml:space="preserve">Ошибка перемещения Задней Прижимной Пластины BP в положение для разделения в ходе операции Выдача при автоматическом пересчете (Withdrawal for automatic accounting).</t>
  </si>
  <si>
    <t xml:space="preserve">5X6G500</t>
  </si>
  <si>
    <t xml:space="preserve">Ошибка контроля разделения банкнот Задней прижимной пластины BP в ходе операции Выдача при автоматическом пересчете (Withdrawal for automatic accounting).</t>
  </si>
  <si>
    <t xml:space="preserve">5X6G800</t>
  </si>
  <si>
    <t xml:space="preserve">Не удалось вернуть банкноты в ходе операции Выдача при автоматическом пересчете (Withdrawal for automatic accounting).</t>
  </si>
  <si>
    <t xml:space="preserve">5X6GA00</t>
  </si>
  <si>
    <t xml:space="preserve">Не удалось вернуть банкноты в ходе операции Выдача при автоматическом пересчете (Withdrawal for automatic accounting) (Двигатель сепаратора работает с ошибками).</t>
  </si>
  <si>
    <t xml:space="preserve">5X6GB00</t>
  </si>
  <si>
    <t xml:space="preserve">Не удалось переместить укладывающий ролик в позицию Withdrawal for automatic accounting(укладка) в ходе операции Выдача при автоматическом пересчете (Withdrawal for automatic accounting) (GM605 работает с ошибками).</t>
  </si>
  <si>
    <t xml:space="preserve">5X6GC00</t>
  </si>
  <si>
    <t xml:space="preserve">Не удалось переместить укладывающий ролик в положение для Депозита (укладка) в ходе операции Выдача при автоматическом пересчете (Withdrawal for automatic accounting) (GM605 работает с ошибками).</t>
  </si>
  <si>
    <t xml:space="preserve">5X6GD00</t>
  </si>
  <si>
    <t xml:space="preserve">Не удалось выполнить Поднимание (Lift-up) в ходе операции Выдача при автоматическом пересчете (Withdrawal for automatic accounting).</t>
  </si>
  <si>
    <t xml:space="preserve">5X6GE00</t>
  </si>
  <si>
    <t xml:space="preserve">Не удалось выполнить Опускание (Lift-down) в ходе операции Выдача при автоматическом пересчете (Withdrawal for automatic accounting).</t>
  </si>
  <si>
    <t xml:space="preserve">5X6GF00</t>
  </si>
  <si>
    <t xml:space="preserve">Не удалось переместить ролик затвора в исходное положение в ходе операции Выдача при автоматическом пересчете (Withdrawal for automatic accounting).</t>
  </si>
  <si>
    <t xml:space="preserve">5X6M100</t>
  </si>
  <si>
    <t xml:space="preserve">Ошибка опускания ограничителя в ходе операции Выдача при автоматическом пересчете (Withdrawal for automatic accounting).</t>
  </si>
  <si>
    <t xml:space="preserve">5X6M300</t>
  </si>
  <si>
    <t xml:space="preserve">Ошибка закрытия Шаттера в ходе операции Выдача при автоматическом пересчете (Withdrawal for automatic accounting).</t>
  </si>
  <si>
    <t xml:space="preserve">5X6M400</t>
  </si>
  <si>
    <t xml:space="preserve">5X6M500</t>
  </si>
  <si>
    <t xml:space="preserve">Ошибка поднятия ограничителя в ходе операции Выдача при автоматическом пересчете (Withdrawal for automatic accounting).</t>
  </si>
  <si>
    <t xml:space="preserve">5X6M600</t>
  </si>
  <si>
    <t xml:space="preserve">Ошибка закрытия шаттера при инициализации ограничителя в ходе операции Выдача при автоматическом пересчете (Withdrawal for automatic accounting).</t>
  </si>
  <si>
    <t xml:space="preserve">5X6M700</t>
  </si>
  <si>
    <t xml:space="preserve">Шаттер принудительно открыт в ходе операции Выдача при автоматическом пересчете (Withdrawal for automatic accounting).</t>
  </si>
  <si>
    <t xml:space="preserve">5X6P100</t>
  </si>
  <si>
    <t xml:space="preserve">Ошибка перемещения Прижимной Пластины PP в положение Выдача при автоматическом пересчете (укладка) в ходе операции Выдача при автоматическом пересчете (Withdrawal for automatic accounting).</t>
  </si>
  <si>
    <t xml:space="preserve">5X6P200</t>
  </si>
  <si>
    <t xml:space="preserve">Ошибка перемещения Прижимной Пластины в положение депозита в ходе операции Выдача при автоматическом пересчете (Withdrawal for automatic accounting).</t>
  </si>
  <si>
    <t xml:space="preserve">5X6P300</t>
  </si>
  <si>
    <t xml:space="preserve">Ошибка перемещения Прижимной Пластины PP в положение разделения в ходе операции Выдача при автоматическом пересчете (Withdrawal for automatic accounting).</t>
  </si>
  <si>
    <t xml:space="preserve">5X6P400</t>
  </si>
  <si>
    <t xml:space="preserve">Ошибка перемещения Прижимной Пластины PP в положение lose return в ходе операции Выдача при автоматическом пересчете (Withdrawal for automatic accounting).</t>
  </si>
  <si>
    <t xml:space="preserve">5X6P500</t>
  </si>
  <si>
    <t xml:space="preserve">Ошибка выдачи банкнот Прижимной Пластины PP в ходе операции Выдача при автоматическом пересчете (Withdrawal for automatic accounting).</t>
  </si>
  <si>
    <t xml:space="preserve">5X6P600</t>
  </si>
  <si>
    <t xml:space="preserve">Ошибка выравнивания банкнот Прижимной Пластины PP в ходе операции Выдача при автоматическом пересчете (Withdrawal for automatic accounting).</t>
  </si>
  <si>
    <t xml:space="preserve">5X6P700</t>
  </si>
  <si>
    <t xml:space="preserve">Ошибка контроля разделения (во время сепарации) Прижимной Пластины PP в ходе операции Выдача при автоматическом пересчете (Withdrawal for automatic accounting).</t>
  </si>
  <si>
    <t xml:space="preserve">5X6P800</t>
  </si>
  <si>
    <t xml:space="preserve">Ошибка контроля укладки (во время укладывания) Прижимной Пластины PP в ходе операции Выдача при автоматическом пересчете (Withdrawal for automatic accounting).</t>
  </si>
  <si>
    <t xml:space="preserve">5X6P900</t>
  </si>
  <si>
    <t xml:space="preserve">Ошибка возврата банкнот в ходе операции Выдача при автоматическом пересчете (Withdrawal for automatic accounting).</t>
  </si>
  <si>
    <t xml:space="preserve">5X6PA00</t>
  </si>
  <si>
    <t xml:space="preserve">Ошибка ready stop Прижимной Пластины PP в ходе операции Выдача при автоматическом пересчете (Withdrawal for automatic accounting).</t>
  </si>
  <si>
    <t xml:space="preserve">5X6R100</t>
  </si>
  <si>
    <t xml:space="preserve">Модуль обслуживания клиентов CSM вернул ошибку таймаута сообщения в ходе готовности к операции Выдача при автоматическом пересчете (Withdrawal for automatic accounting).</t>
  </si>
  <si>
    <t xml:space="preserve">5X6R200</t>
  </si>
  <si>
    <t xml:space="preserve">Модуль обслуживания клиентов CSM вернул ошибку таймаута сообщения при проведении транзакции в ходе операции Выдача при автоматическом пересчете (Withdrawal for automatic accounting).</t>
  </si>
  <si>
    <t xml:space="preserve">5X6R300</t>
  </si>
  <si>
    <t xml:space="preserve">Модуль обслуживания клиентов CSM вернул ошибку таймаута сообщения в ходе постпроцессинга ошибки операции Выдача при автоматическом пересчете (Withdrawal for automatic accounting Error).</t>
  </si>
  <si>
    <t xml:space="preserve">5X6RJ00</t>
  </si>
  <si>
    <t xml:space="preserve">Модуль обслуживания клиентов CSM вернул ошибку таймаута сообщения в ходе операции Начало Остановки (Stop Ready) в ходе операции Выдача при автоматическом пересчете (Withdrawal for automatic accounting).</t>
  </si>
  <si>
    <t xml:space="preserve">5X71300</t>
  </si>
  <si>
    <t xml:space="preserve">GS703 замятие в области датчика по Темному типу в ходе операции Выдача при автоматическом пересчете (Withdrawal for automatic accounting).</t>
  </si>
  <si>
    <t xml:space="preserve">5X72100</t>
  </si>
  <si>
    <t xml:space="preserve">Произошла ошибка оставшихся банкнот в области датчика GS701 Выдача при автоматическом пересчете (Withdrawal for automatic accounting).</t>
  </si>
  <si>
    <t xml:space="preserve">5X72200</t>
  </si>
  <si>
    <t xml:space="preserve">Произошла ошибка оставшихся банкнот в области датчика GS702 в ходе выполнения операции Выдача при автоматическом пересчете (Withdrawal for automatic accounting).</t>
  </si>
  <si>
    <t xml:space="preserve">5X72300</t>
  </si>
  <si>
    <t xml:space="preserve">Произошла ошибка оставшихся банкнот в области датчика GS703 в ходе выполнения операции Выдача при автоматическом пересчете (Withdrawal for automatic accounting).</t>
  </si>
  <si>
    <t xml:space="preserve">5X72800</t>
  </si>
  <si>
    <t xml:space="preserve">Произошла ошибка оставшихся банкнот в области датчика GS709 в ходе выполнения операции Выдача при автоматическом пересчете (Withdrawal for automatic accounting).</t>
  </si>
  <si>
    <t xml:space="preserve">5X7G100</t>
  </si>
  <si>
    <t xml:space="preserve">Нарушение движения двигателя в сторону укладки в ходе операции Выдача при автоматическом пересчете (Withdrawal for automatic accounting).</t>
  </si>
  <si>
    <t xml:space="preserve">5X7G200</t>
  </si>
  <si>
    <t xml:space="preserve">Нарушение движения двигателя в сторону разделения в ходе операции Выдача при автоматическом пересчете (Withdrawal for automatic accounting).</t>
  </si>
  <si>
    <t xml:space="preserve">5X7G300</t>
  </si>
  <si>
    <t xml:space="preserve">Нарушение остановки двигателя в ходе операции Выдача при автоматическом пересчете (Withdrawal for automatic accounting).</t>
  </si>
  <si>
    <t xml:space="preserve">5X7G400</t>
  </si>
  <si>
    <t xml:space="preserve">Не обнаружен передний конец ленты в ходе операции Выдача при автоматическом пересчете (Withdrawal for automatic accounting).</t>
  </si>
  <si>
    <t xml:space="preserve">5X7G500</t>
  </si>
  <si>
    <t xml:space="preserve">Обнаружен передний конец ленты в ходе операции Выдача при автоматическом пересчете (Withdrawal for automatic accounting).</t>
  </si>
  <si>
    <t xml:space="preserve">5X7G600</t>
  </si>
  <si>
    <t xml:space="preserve">5X7G700</t>
  </si>
  <si>
    <t xml:space="preserve">Обнаружен задний конец ленты в ходе операции Выдача при автоматическом пересчете (Withdrawal for automatic accounting).</t>
  </si>
  <si>
    <t xml:space="preserve">5X7J100</t>
  </si>
  <si>
    <t xml:space="preserve">Полный барабан TE в ходе операции Выдача при автоматическом пересчете (Withdrawal for automatic accounting).</t>
  </si>
  <si>
    <t xml:space="preserve">5X7J300</t>
  </si>
  <si>
    <t xml:space="preserve">Невозможно нормальное завершение в ходе операции Выдача при автоматическом пересчете (Withdrawal for automatic accounting).</t>
  </si>
  <si>
    <t xml:space="preserve">5X7R100</t>
  </si>
  <si>
    <t xml:space="preserve">Модуль временного хранения_TE вернул ошибку таймаута сообщения в ходе готовности к операции Выдача при автоматическом пересчете (Withdrawal for automatic accounting).</t>
  </si>
  <si>
    <t xml:space="preserve">5X7R200</t>
  </si>
  <si>
    <t xml:space="preserve">Модуль временного хранения_TE вернул ошибку таймаута сообщения в ходе операции transaction operation int the Выдача при автоматическом пересчете (Withdrawal for automatic accounting).</t>
  </si>
  <si>
    <t xml:space="preserve">5X7R300</t>
  </si>
  <si>
    <t xml:space="preserve">Модуль временного хранения_TE вернул ошибку таймаута сообщения в ходе постпроцессинга ошибки операции Выдача при автоматическом пересчете (Withdrawal for automatic accounting Error).</t>
  </si>
  <si>
    <t xml:space="preserve">5X7RJ00</t>
  </si>
  <si>
    <t xml:space="preserve">Модуль временного хранения_TE вернул ошибку таймаута сообщения в ходе операции Начало Остановки (Stop Ready) Выдача при автоматическом пересчете (Withdrawal for automatic accounting).</t>
  </si>
  <si>
    <t xml:space="preserve">5X8HA01</t>
  </si>
  <si>
    <t xml:space="preserve">Ошибка датчика GS801A в ходе операции Выдача при автоматическом пересчете (Withdrawal for automatic accounting).</t>
  </si>
  <si>
    <t xml:space="preserve">5X8HA02</t>
  </si>
  <si>
    <t xml:space="preserve">Ошибка датчика GS801B в ходе операции Выдача при автоматическом пересчете (Withdrawal for automatic accounting).</t>
  </si>
  <si>
    <t xml:space="preserve">5X8HA03</t>
  </si>
  <si>
    <t xml:space="preserve">Ошибка датчиков GS801A, GS801B в ходе операции Выдача при автоматическом пересчете (Withdrawal for automatic accounting).</t>
  </si>
  <si>
    <t xml:space="preserve">5X8HA04</t>
  </si>
  <si>
    <t xml:space="preserve">Ошибка датчика GS802A в ходе операции Выдача при автоматическом пересчете (Withdrawal for automatic accounting).</t>
  </si>
  <si>
    <t xml:space="preserve">5X8HA05</t>
  </si>
  <si>
    <t xml:space="preserve">Ошибка датчиков GS801A, GS802A в ходе операции Выдача при автоматическом пересчете (Withdrawal for automatic accounting).</t>
  </si>
  <si>
    <t xml:space="preserve">5X8HA06</t>
  </si>
  <si>
    <t xml:space="preserve">Ошибка датчиков GS801B, GS802A в ходе операции Выдача при автоматическом пересчете (Withdrawal for automatic accounting).</t>
  </si>
  <si>
    <t xml:space="preserve">5X8HA07</t>
  </si>
  <si>
    <t xml:space="preserve">Ошибка датчиков GS801A, GS801B, GS802A в ходе операции Выдача при автоматическом пересчете (Withdrawal for automatic accounting).</t>
  </si>
  <si>
    <t xml:space="preserve">5X8HA08</t>
  </si>
  <si>
    <t xml:space="preserve">Ошибка датчика GS802B в ходе операции Выдача при автоматическом пересчете (Withdrawal for automatic accounting).</t>
  </si>
  <si>
    <t xml:space="preserve">5X8HA09</t>
  </si>
  <si>
    <t xml:space="preserve">Ошибка датчиков GS801A, GS802B в ходе операции Выдача при автоматическом пересчете (Withdrawal for automatic accounting).</t>
  </si>
  <si>
    <t xml:space="preserve">5X8HA10</t>
  </si>
  <si>
    <t xml:space="preserve">Ошибка датчиков GS801B, GS802B в ходе операции Выдача при автоматическом пересчете (Withdrawal for automatic accounting).</t>
  </si>
  <si>
    <t xml:space="preserve">5X8HA11</t>
  </si>
  <si>
    <t xml:space="preserve">Ошибка датчиков GS801A, GS801B, GS802B в ходе операции Выдача при автоматическом пересчете (Withdrawal for automatic accounting).</t>
  </si>
  <si>
    <t xml:space="preserve">5X8HA12</t>
  </si>
  <si>
    <t xml:space="preserve">Ошибка датчиков GS802A, GS802B в ходе операции Выдача при автоматическом пересчете (Withdrawal for automatic accounting).</t>
  </si>
  <si>
    <t xml:space="preserve">5X8HA13</t>
  </si>
  <si>
    <t xml:space="preserve">Ошибка датчиков GS801A, GS802A, GS802B в ходе операции Выдача при автоматическом пересчете (Withdrawal for automatic accounting).</t>
  </si>
  <si>
    <t xml:space="preserve">5X8HA14</t>
  </si>
  <si>
    <t xml:space="preserve">Ошибка датчиков GS801B, GS802A, GS802B в ходе операции Выдача при автоматическом пересчете (Withdrawal for automatic accounting).</t>
  </si>
  <si>
    <t xml:space="preserve">5X8HA15</t>
  </si>
  <si>
    <t xml:space="preserve">Ошибка датчиков GS801A, GS801B, GS802A, GS802B в ходе операции Выдача при автоматическом пересчете (Withdrawal for automatic accounting).</t>
  </si>
  <si>
    <t xml:space="preserve">5X8HF03</t>
  </si>
  <si>
    <t xml:space="preserve">Ошибка загрузки данных шейдинга Контактного датчика изображения CIS в ходе операции Выдача при автоматическом пересчете (Withdrawal for automatic accounting).</t>
  </si>
  <si>
    <t xml:space="preserve">5X8HF04</t>
  </si>
  <si>
    <t xml:space="preserve">Ошибка загрузки таблицы БД распознавания в ходе операции Выдача при автоматическом пересчете (Withdrawal for automatic accounting).</t>
  </si>
  <si>
    <t xml:space="preserve">5X8HF05</t>
  </si>
  <si>
    <t xml:space="preserve">Ошибка контрольной суммы данных ПЛИС Модуля Валидатора банкнот BC в ходе операции Выдача при автоматическом пересчете (Withdrawal for automatic accounting).</t>
  </si>
  <si>
    <t xml:space="preserve">5X8HF06</t>
  </si>
  <si>
    <t xml:space="preserve">Ошибка конфигурации ПЛИС Модуля Валидатора банкнот BC в ходе операции Выдача при автоматическом пересчете (Withdrawal for automatic accounting).</t>
  </si>
  <si>
    <t xml:space="preserve">5X8HF07</t>
  </si>
  <si>
    <t xml:space="preserve">Ошибка загрузки данных заголовка ПЛИС Модуля Валидатора банкнот BC header в ходе операции Выдача при автоматическом пересчете (Withdrawal for automatic accounting).</t>
  </si>
  <si>
    <t xml:space="preserve">5X8HF08</t>
  </si>
  <si>
    <t xml:space="preserve">Ошибка инициализации ПЛИС в ходе операции Выдача при автоматическом пересчете (Withdrawal for automatic accounting).</t>
  </si>
  <si>
    <t xml:space="preserve">5X8HF09</t>
  </si>
  <si>
    <t xml:space="preserve">Ошибка чтения ПЛИС в ходе операции Выдача при автоматическом пересчете (Withdrawal for automatic accounting).</t>
  </si>
  <si>
    <t xml:space="preserve">5X8HF11</t>
  </si>
  <si>
    <t xml:space="preserve">Ошибка загрузки Базы Данных распознавания #01 в ходе операции Выдача при автоматическом пересчете (Withdrawal for automatic accounting).</t>
  </si>
  <si>
    <t xml:space="preserve">5X8HF12</t>
  </si>
  <si>
    <t xml:space="preserve">Ошибка загрузки Базы Данных распознавания #02 в ходе операции Выдача при автоматическом пересчете (Withdrawal for automatic accounting).</t>
  </si>
  <si>
    <t xml:space="preserve">5X8HF13</t>
  </si>
  <si>
    <t xml:space="preserve">Ошибка загрузки Базы Данных распознавания #03 в ходе операции Выдача при автоматическом пересчете (Withdrawal for automatic accounting).</t>
  </si>
  <si>
    <t xml:space="preserve">5X8HF14</t>
  </si>
  <si>
    <t xml:space="preserve">Ошибка загрузки Базы Данных распознавания #04 в ходе операции Выдача при автоматическом пересчете (Withdrawal for automatic accounting).</t>
  </si>
  <si>
    <t xml:space="preserve">5X8HF15</t>
  </si>
  <si>
    <t xml:space="preserve">Ошибка загрузки Базы Данных распознавания #05 в ходе операции Выдача при автоматическом пересчете (Withdrawal for automatic accounting).</t>
  </si>
  <si>
    <t xml:space="preserve">5X8HF16</t>
  </si>
  <si>
    <t xml:space="preserve">Ошибка загрузки Базы Данных распознавания #06 в ходе операции Выдача при автоматическом пересчете (Withdrawal for automatic accounting).</t>
  </si>
  <si>
    <t xml:space="preserve">5X8HF17</t>
  </si>
  <si>
    <t xml:space="preserve">Ошибка загрузки Базы Данных распознавания #07 в ходе операции Выдача при автоматическом пересчете (Withdrawal for automatic accounting).</t>
  </si>
  <si>
    <t xml:space="preserve">5X8HF18</t>
  </si>
  <si>
    <t xml:space="preserve">Ошибка загрузки Базы Данных распознавания #08 в ходе операции Выдача при автоматическом пересчете (Withdrawal for automatic accounting).</t>
  </si>
  <si>
    <t xml:space="preserve">5X8HF19</t>
  </si>
  <si>
    <t xml:space="preserve">Ошибка загрузки Базы Данных распознавания #09 в ходе операции Выдача при автоматическом пересчете (Withdrawal for automatic accounting).</t>
  </si>
  <si>
    <t xml:space="preserve">5X8HF20</t>
  </si>
  <si>
    <t xml:space="preserve">Ошибка загрузки Базы Данных распознавания #10 в ходе операции Выдача при автоматическом пересчете (Withdrawal for automatic accounting).</t>
  </si>
  <si>
    <t xml:space="preserve">5X8HG01</t>
  </si>
  <si>
    <t xml:space="preserve">Ошибка установки режима при выполнении команды BCU mode в ходе операции Выдача при автоматическом пересчете (Withdrawal for automatic accounting).</t>
  </si>
  <si>
    <t xml:space="preserve">5X8HG02</t>
  </si>
  <si>
    <t xml:space="preserve">Ошибка установленного уровня распознавания при выполнении команды BCU mode в ходе операции Выдача при автоматическом пересчете (Withdrawal for automatic accounting).</t>
  </si>
  <si>
    <t xml:space="preserve">5X8HG03</t>
  </si>
  <si>
    <t xml:space="preserve">Ошибка установки начала транзакции при выполнении команды BCU ready в ходе операции Выдача при автоматическом пересчете (Withdrawal for automatic accounting).</t>
  </si>
  <si>
    <t xml:space="preserve">5X8HG04</t>
  </si>
  <si>
    <t xml:space="preserve">Ошибка установки режима при выполнении команды BCU ready в ходе операции Выдача при автоматическом пересчете (Withdrawal for automatic accounting).</t>
  </si>
  <si>
    <t xml:space="preserve">5X8HG05</t>
  </si>
  <si>
    <t xml:space="preserve">Ошибка установленного уровня распознавания при выполнении команды BCU ready в ходе операции Выдача при автоматическом пересчете (Withdrawal for automatic accounting).</t>
  </si>
  <si>
    <t xml:space="preserve">5X8HG06</t>
  </si>
  <si>
    <t xml:space="preserve">Ошибка направления внесения Модуля Валидатора банкнот BC при выполнении команды BCU ready в ходе операции Выдача при автоматическом пересчете (Withdrawal for automatic accounting).</t>
  </si>
  <si>
    <t xml:space="preserve">5X8HG07</t>
  </si>
  <si>
    <t xml:space="preserve">Ошибка получения неопределенной команды Модуля Валидатора банкнот BCU в ходе операции Выдача при автоматическом пересчете (Withdrawal for automatic accounting).</t>
  </si>
  <si>
    <t xml:space="preserve">5X8HG08</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</si>
  <si>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Выдача при автоматическом пересчете (Withdrawal for automatic accounting).</t>
  </si>
  <si>
    <t xml:space="preserve">5X8HG09</t>
  </si>
  <si>
    <t xml:space="preserve">Ошибка настройки кода страны при выполнении команды записи данных в Модуль Валидатора банкнот BCUв ходе операции Выдача при автоматическом пересчете (Withdrawal for automatic accounting).</t>
  </si>
  <si>
    <t xml:space="preserve">5X8HG10</t>
  </si>
  <si>
    <t xml:space="preserve">Ошибка отсутствия БД распознавания для страны в процессе получения команды BCU data write в ходе операции Выдача при автоматическом пересчете (Withdrawal for automatic accounting).</t>
  </si>
  <si>
    <t xml:space="preserve">5X8HG11</t>
  </si>
  <si>
    <t xml:space="preserve">Не установлен код страны при получении команды BCU ready в ходе операции Выдача при автоматическом пересчете (Withdrawal for automatic accounting).</t>
  </si>
  <si>
    <t xml:space="preserve">5X8HG12</t>
  </si>
  <si>
    <t xml:space="preserve">Спецификация Модуля Валидатора банкнот BC отличается от параметра команды записи данных в ходе операции Выдача при автоматическом пересчете (Withdrawal for automatic accounting).</t>
  </si>
  <si>
    <t xml:space="preserve">5X8HG20</t>
  </si>
  <si>
    <t xml:space="preserve">Ошибка инициализации Контактного датчика изображения CIS при получении команды BCU ready в ходе операции Выдача при автоматическом пересчете (Withdrawal for automatic accounting).</t>
  </si>
  <si>
    <t xml:space="preserve">5X8HG21</t>
  </si>
  <si>
    <t xml:space="preserve">Ошибка включения при получении команды BCU ready в ходе операции Выдача при автоматическом пересчете (Withdrawal for automatic accounting).</t>
  </si>
  <si>
    <t xml:space="preserve">5X8HG22</t>
  </si>
  <si>
    <t xml:space="preserve">Ошибка инициализации датчика определения сдвоенных банкнот DD при получении команды BCU ready в ходе операции Выдача при автоматическом пересчете (Withdrawal for automatic accounting).</t>
  </si>
  <si>
    <t xml:space="preserve">5X8HG23</t>
  </si>
  <si>
    <t xml:space="preserve">Ошибка настройки ЦАП Датчика определения сдвоенных банкнот DD при получении команды BCU ready в ходе операции Выдача при автоматическом пересчете (Withdrawal for automatic accounting).</t>
  </si>
  <si>
    <t xml:space="preserve">5X8HG24</t>
  </si>
  <si>
    <t xml:space="preserve">Ошибка режима настройки энкодера при получении команды BCU ready в ходе операции Выдача при автоматическом пересчете (Withdrawal for automatic accounting).</t>
  </si>
  <si>
    <t xml:space="preserve">5X8HG36</t>
  </si>
  <si>
    <t xml:space="preserve">Ошибка режима распознавания при выполнении команды receiving BCU mode в ходе операции Выдача при автоматическом пересчете (Withdrawal for automatic accounting).</t>
  </si>
  <si>
    <t xml:space="preserve">5X8HG37</t>
  </si>
  <si>
    <t xml:space="preserve">Ошибка настроек транзакции при выполнении команды receiving BCU mode в ходе операции Выдача при автоматическом пересчете (Withdrawal for automatic accounting).</t>
  </si>
  <si>
    <t xml:space="preserve">5X8HI01</t>
  </si>
  <si>
    <t xml:space="preserve">Ошибка тайм-аута RecogTask Message в ходе операции Выдача при автоматическом пересчете (Withdrawal for automatic accounting).</t>
  </si>
  <si>
    <t xml:space="preserve">5X8HI02</t>
  </si>
  <si>
    <t xml:space="preserve">Ошибка тайм-аута ScanTask Message в ходе операции Выдача при автоматическом пересчете (Withdrawal for automatic accounting).</t>
  </si>
  <si>
    <t xml:space="preserve">5X8HI03</t>
  </si>
  <si>
    <t xml:space="preserve">Ошибка тайм-аута UartTask Message в ходе операции Выдача при автоматическом пересчете (Withdrawal for automatic accounting).</t>
  </si>
  <si>
    <t xml:space="preserve">5X8HI04</t>
  </si>
  <si>
    <t xml:space="preserve">Ошибка тайм-аута BcUsbTask Message в ходе операции Выдача при автоматическом пересчете (Withdrawal for automatic accounting).</t>
  </si>
  <si>
    <t xml:space="preserve">5X8HJ01</t>
  </si>
  <si>
    <t xml:space="preserve">Ошибка инициализации алгоритма распознавания в ходе операции Выдача при автоматическом пересчете (Withdrawal for automatic accounting).</t>
  </si>
  <si>
    <t xml:space="preserve">5X8HJ02</t>
  </si>
  <si>
    <t xml:space="preserve">Ошибка готовности Алгоритма Распознавания в ходе операции Выдача при автоматическом пересчете (Withdrawal for automatic accounting).</t>
  </si>
  <si>
    <t xml:space="preserve">5X8HJ03</t>
  </si>
  <si>
    <t xml:space="preserve">Ошибка алгоритма распознавания набора валют в ходе операции Выдача при автоматическом пересчете (Withdrawal for automatic accounting).</t>
  </si>
  <si>
    <t xml:space="preserve">5X8HS01</t>
  </si>
  <si>
    <t xml:space="preserve">Ошибка ПЛИС Write Scan Driver Init в ходе операции Выдача при автоматическом пересчете (Withdrawal for automatic accounting).</t>
  </si>
  <si>
    <t xml:space="preserve">5X8HS02</t>
  </si>
  <si>
    <t xml:space="preserve">Ошибка Sensor (MR/UV/DD/Gate) Power Off Scan Driver Init в ходе операции Выдача при автоматическом пересчете (Withdrawal for automatic accounting).</t>
  </si>
  <si>
    <t xml:space="preserve">5X8HS03</t>
  </si>
  <si>
    <t xml:space="preserve">Ошибка Контактного датчика изображения CIS Led On Value Set Fail Scan Driver Init в ходе операции Выдача при автоматическом пересчете (Withdrawal for automatic accounting).</t>
  </si>
  <si>
    <t xml:space="preserve">5X8HS04</t>
  </si>
  <si>
    <t xml:space="preserve">Ошибка Источника Света Set Fail Scan Driver Init в ходе операции Выдача при автоматическом пересчете (Withdrawal for automatic accounting).</t>
  </si>
  <si>
    <t xml:space="preserve">5X8HS05</t>
  </si>
  <si>
    <t xml:space="preserve">Ошибка Контактного датчика изображения CIS Shading Scan Driver Init в ходе операции Выдача при автоматическом пересчете (Withdrawal for automatic accounting).</t>
  </si>
  <si>
    <t xml:space="preserve">5X8HS08</t>
  </si>
  <si>
    <t xml:space="preserve">Ошибка ЦАП Set Fail Scan Driver Init в ходе операции Выдача при автоматическом пересчете (Withdrawal for automatic accounting).</t>
  </si>
  <si>
    <t xml:space="preserve">5X8HS11</t>
  </si>
  <si>
    <t xml:space="preserve">Ошибка ПЛИС Write BCU Ready в ходе операции Выдача при автоматическом пересчете (Withdrawal for automatic accounting).</t>
  </si>
  <si>
    <t xml:space="preserve">5X8HS12</t>
  </si>
  <si>
    <t xml:space="preserve">Ошибка Sensor (MR/UV/DD/Gate) Power Off BCU Ready в ходе операции Выдача при автоматическом пересчете (Withdrawal for automatic accounting).</t>
  </si>
  <si>
    <t xml:space="preserve">5X8HS13</t>
  </si>
  <si>
    <t xml:space="preserve">Ошибка Контактного датчика изображения CIS Led On Value Set Fail BCU Ready в ходе операции Выдача при автоматическом пересчете (Withdrawal for automatic accounting).</t>
  </si>
  <si>
    <t xml:space="preserve">5X8HS14</t>
  </si>
  <si>
    <t xml:space="preserve">Ошибка Источника Света Set Fail BCU Ready в ходе операции Выдача при автоматическом пересчете (Withdrawal for automatic accounting).</t>
  </si>
  <si>
    <t xml:space="preserve">5X8HS15</t>
  </si>
  <si>
    <t xml:space="preserve">Ошибка Контактного датчика изображения CIS Shading BCU Ready в ходе операции Выдача при автоматическом пересчете (Withdrawal for automatic accounting).</t>
  </si>
  <si>
    <t xml:space="preserve">5X8HS17</t>
  </si>
  <si>
    <t xml:space="preserve">Ошибка AFE Chip Set BCU Ready в ходе операции Выдача при автоматическом пересчете (Withdrawal for automatic accounting).</t>
  </si>
  <si>
    <t xml:space="preserve">5X8HS18</t>
  </si>
  <si>
    <t xml:space="preserve">Ошибка ЦАП Set Fail BCU Ready в ходе операции Выдача при автоматическом пересчете (Withdrawal for automatic accounting).</t>
  </si>
  <si>
    <t xml:space="preserve">5X8HS19</t>
  </si>
  <si>
    <t xml:space="preserve">Ошибка MR/UV/DD Sampling BCU Ready в ходе операции Выдача при автоматическом пересчете (Withdrawal for automatic accounting).</t>
  </si>
  <si>
    <t xml:space="preserve">5X8HS1A</t>
  </si>
  <si>
    <t xml:space="preserve">Ошибка ЦАП Датчика Холла Set Fail BCU Ready в ходе операции Выдача при автоматическом пересчете (Withdrawal for automatic accounting).</t>
  </si>
  <si>
    <t xml:space="preserve">5X8HS1B</t>
  </si>
  <si>
    <t xml:space="preserve">Ошибка Датчика Холла Shading Fail BCU Ready в ходе операции Выдача при автоматическом пересчете (Withdrawal for automatic accounting).</t>
  </si>
  <si>
    <t xml:space="preserve">5X8HS22</t>
  </si>
  <si>
    <t xml:space="preserve">Ошибка Модуля Валидатора BC Stop Sensor (MR/UV/DD/Gate) Power Off Scan Driver Init в ходе операции Выдача при автоматическом пересчете (Withdrawal for automatic accounting).</t>
  </si>
  <si>
    <t xml:space="preserve">5X8HS28</t>
  </si>
  <si>
    <t xml:space="preserve">Ошибка Модуля Валидатора BC Stop DAC Set Fail Scan Driver Init в ходе операции Выдача при автоматическом пересчете (Withdrawal for automatic accounting).</t>
  </si>
  <si>
    <t xml:space="preserve">5X8HS29</t>
  </si>
  <si>
    <t xml:space="preserve">Ошибка Модуля Валидатора BC Stop MR/UV/DD Sampling BCU Ready в ходе операции Выдача при автоматическом пересчете (Withdrawal for automatic accounting).</t>
  </si>
  <si>
    <t xml:space="preserve">5X8R100</t>
  </si>
  <si>
    <t xml:space="preserve">Модуль Валидатора BC вернул ошибку таймаута сообщения в ходе готовности к операции Выдача при автоматическом пересчете (Withdrawal for automatic accounting).</t>
  </si>
  <si>
    <t xml:space="preserve">5X8R200</t>
  </si>
  <si>
    <t xml:space="preserve">Модуль Валидатора BC вернул ошибку таймаута сообщения при проведении транзакции в ходе операции Выдача при автоматическом пересчете (Withdrawal for automatic accounting Error).</t>
  </si>
  <si>
    <t xml:space="preserve">5X8R300</t>
  </si>
  <si>
    <t xml:space="preserve">Модуль Валидатора BC вернул ошибку таймаута сообщения в ходе постпроцессинга ошибки операции Выдача при автоматическом пересчете (Withdrawal for automatic accounting Error).</t>
  </si>
  <si>
    <t xml:space="preserve">5X8R900</t>
  </si>
  <si>
    <t xml:space="preserve">Модуль Валидатора BC вернул ошибку таймаута сообщения в ходе операции Выдача при автоматическом пересчете (Withdrawal for automatic accounting).</t>
  </si>
  <si>
    <t xml:space="preserve">5X8RJ00</t>
  </si>
  <si>
    <t xml:space="preserve">Модуль Валидатора BC вернул ошибку таймаута сообщения в ходе операции Начало Остановки (Stop Ready) Выдача при автоматическом пересчете (Withdrawal for automatic accounting).</t>
  </si>
  <si>
    <t xml:space="preserve">5X8S100</t>
  </si>
  <si>
    <t xml:space="preserve">Получена неправильная Информация о памяти MI от Модуля Валидатора банкнот BC в ходе операции Выдача при автоматическом пересчете (Withdrawal for automatic accounting).</t>
  </si>
  <si>
    <t xml:space="preserve">5X8S200</t>
  </si>
  <si>
    <t xml:space="preserve">Получен ненормальный BCC от Модуля Валидатора банкнот в ходе операции Выдача при автоматическом пересчете (Withdrawal for automatic accounting).</t>
  </si>
  <si>
    <t xml:space="preserve">5X8S400</t>
  </si>
  <si>
    <t xml:space="preserve">Получена ошибка ETC. от Модуля Валидатора банкнот BC в ходе операции Выдача при автоматическом пересчете (Withdrawal for automatic accounting).</t>
  </si>
  <si>
    <t xml:space="preserve">5X8S900</t>
  </si>
  <si>
    <t xml:space="preserve">Повторная попытка завершилась ошибкой Модуля Валидатора банкнот BC в ходе операции Выдача при автоматическом пересчете (Withdrawal for automatic accounting).</t>
  </si>
  <si>
    <t xml:space="preserve">5X91300</t>
  </si>
  <si>
    <t xml:space="preserve">Датчик Кассеты Отбраковки RJC GSA03 сообщил об ошибке замятия по Темному типу в ходе операции Выдача при автоматическом пересчете (Withdrawal for automatic accounting).</t>
  </si>
  <si>
    <t xml:space="preserve">5X91500</t>
  </si>
  <si>
    <t xml:space="preserve">Датчик Кассеты Отбраковки RJC GSA05 сообщил об ошибке замятия по Темному типу Выдача при автоматическом пересчете (Withdrawal for automatic accounting).</t>
  </si>
  <si>
    <t xml:space="preserve">5X9J100</t>
  </si>
  <si>
    <t xml:space="preserve">Переполненная Кассета Отбраковки RJC в ходе операции Выдача при автоматическом пересчете (Withdrawal for automatic accounting).</t>
  </si>
  <si>
    <t xml:space="preserve">5X9P100</t>
  </si>
  <si>
    <t xml:space="preserve">Ошибка мотора Кассеты Отбраковки RJC в ходе операции Выдача при автоматическом пересчете (Withdrawal for automatic accounting).</t>
  </si>
  <si>
    <t xml:space="preserve">5XA2100</t>
  </si>
  <si>
    <t xml:space="preserve">Оставшиеся банкноты в Возвращающем Транспортном Тракте (GS801) перед выполнением операции Выдача при автоматическом пересчете (Withdrawal for automatic accounting).</t>
  </si>
  <si>
    <t xml:space="preserve">5XA2200</t>
  </si>
  <si>
    <t xml:space="preserve">Оставшиеся банкноты в Возвращающем Транспортном Тракте (GS002) перед выполнением операции Выдача при автоматическом пересчете (Withdrawal for automatic accounting).</t>
  </si>
  <si>
    <t xml:space="preserve">5XA2300</t>
  </si>
  <si>
    <t xml:space="preserve">Оставшиеся банкноты в Возвращающем Транспортном Тракте (GS003) перед выполнением операции Выдача при автоматическом пересчете (Withdrawal for automatic accounting).</t>
  </si>
  <si>
    <t xml:space="preserve">5XA2400</t>
  </si>
  <si>
    <t xml:space="preserve">Оставшиеся банкноты в Возвращающем Транспортном Тракте (GS004) перед выполнением операции Выдача при автоматическом пересчете (Withdrawal for automatic accounting).</t>
  </si>
  <si>
    <t xml:space="preserve">5XA2500</t>
  </si>
  <si>
    <t xml:space="preserve">Оставшиеся банкноты в Возвращающем Транспортном Тракте (GS005) перед выполнением операции Выдача при автоматическом пересчете (Withdrawal for automatic accounting).</t>
  </si>
  <si>
    <t xml:space="preserve">5XA2600</t>
  </si>
  <si>
    <t xml:space="preserve">Оставшиеся банкноты в Возвращающем Транспортном Тракте (GS006) перед выполнением операции Выдача при автоматическом пересчете (Withdrawal for automatic accounting).</t>
  </si>
  <si>
    <t xml:space="preserve">5XA2A00</t>
  </si>
  <si>
    <t xml:space="preserve">Оставшиеся банкноты в Возвращающем Транспортном Тракте (GS021) перед выполнением операции Выдача при автоматическом пересчете (Withdrawal for automatic accounting).</t>
  </si>
  <si>
    <t xml:space="preserve">5XA2B00</t>
  </si>
  <si>
    <t xml:space="preserve">Оставшиеся банкноты в Возвращающем Транспортном Тракте (GS022) перед выполнением операции Выдача при автоматическом пересчете (Withdrawal for automatic accounting).</t>
  </si>
  <si>
    <t xml:space="preserve">5XA2C00</t>
  </si>
  <si>
    <t xml:space="preserve">Произошла ошибка оставшихся банкнот в Модуле Валидатора банкнот BCU (Контактный датчик изображения CIS) в ходе операции Выдача при автоматическом пересчете (Withdrawal for automatic accounting).</t>
  </si>
  <si>
    <t xml:space="preserve">5XA2G00</t>
  </si>
  <si>
    <t xml:space="preserve">Оставшиеся банкноты в Возвращающем Транспортном Тракте (GS614) перед выполнением операции Выдача при автоматическом пересчете (Withdrawal for automatic accounting).</t>
  </si>
  <si>
    <t xml:space="preserve">5XA2H00</t>
  </si>
  <si>
    <t xml:space="preserve">Оставшиеся банкноты в Возвращающем Транспортном Тракте (GS618) перед выполнением операции Выдача при автоматическом пересчете (Withdrawal for automatic accounting).</t>
  </si>
  <si>
    <t xml:space="preserve">5XA2J00</t>
  </si>
  <si>
    <t xml:space="preserve">Оставшиеся банкноты в Возвращающем Транспортном Тракте (GS619) перед выполнением операции Выдача при автоматическом пересчете (Withdrawal for automatic accounting).</t>
  </si>
  <si>
    <t xml:space="preserve">5XA2K00</t>
  </si>
  <si>
    <t xml:space="preserve">Оставшиеся банкноты в Возвращающем Транспортном Тракте (GS703) перед выполнением операции Выдача при автоматическом пересчете (Withdrawal for automatic accounting).</t>
  </si>
  <si>
    <t xml:space="preserve">5XA2M00</t>
  </si>
  <si>
    <t xml:space="preserve">Оставшиеся банкноты в Возвращающем Транспортном Тракте (GS031) перед выполнением операции Выдача при автоматическом пересчете (Withdrawal for automatic accounting).</t>
  </si>
  <si>
    <t xml:space="preserve">5XA2N00</t>
  </si>
  <si>
    <t xml:space="preserve">Оставшиеся банкноты в Возвращающем Транспортном Тракте (GS032) перед выполнением операции Выдача при автоматическом пересчете (Withdrawal for automatic accounting).</t>
  </si>
  <si>
    <t xml:space="preserve">5XA2P00</t>
  </si>
  <si>
    <t xml:space="preserve">Оставшиеся банкноты в Возвращающем Транспортном Тракте (GS033) перед выполнением операции Выдача при автоматическом пересчете (Withdrawal for automatic accounting).</t>
  </si>
  <si>
    <t xml:space="preserve">5XA2Q00</t>
  </si>
  <si>
    <t xml:space="preserve">Оставшиеся банкноты в Возвращающем Транспортном Тракте (GS034) перед выполнением операции Выдача при автоматическом пересчете (Withdrawal for automatic accounting).</t>
  </si>
  <si>
    <t xml:space="preserve">5XA2W00</t>
  </si>
  <si>
    <t xml:space="preserve">Оставшиеся банкноты в Возвращающем Транспортном Тракте (GS802) перед выполнением операции Выдача при автоматическом пересчете (Withdrawal for automatic accounting).</t>
  </si>
  <si>
    <t xml:space="preserve">5XAA100</t>
  </si>
  <si>
    <t xml:space="preserve">Вынутое состояние Вспомогательной (невостребованных/фальшивых банкнот) Кассеты UTC перед выполнением операции Выдача при автоматическом пересчете (Withdrawal for automatic accounting).</t>
  </si>
  <si>
    <t xml:space="preserve">5XAA200</t>
  </si>
  <si>
    <t xml:space="preserve">Модуль временного хранения открыт перед выполнением операции Выдача при автоматическом пересчете (Withdrawal for automatic accounting).</t>
  </si>
  <si>
    <t xml:space="preserve">5XAA300</t>
  </si>
  <si>
    <t xml:space="preserve">Отстыкованное состояние концевого переключателя (inter lock) Верхней части Модуля Рециркуляции Банкнот BMU перед выполнением операции Выдача при автоматическом пересчете (Withdrawal for automatic accounting).</t>
  </si>
  <si>
    <t xml:space="preserve">5XAA400</t>
  </si>
  <si>
    <t xml:space="preserve">Выдвинутое состояние Верхней части Модуля Рециркуляции Банкнот BMU перед выполнением операции Выдача при автоматическом пересчете (Withdrawal for automatic accounting).</t>
  </si>
  <si>
    <t xml:space="preserve">5XAA600</t>
  </si>
  <si>
    <t xml:space="preserve">Открыт Модуль обслуживания клиентов CSM перед выполнением операции Выдача при автоматическом пересчете (Withdrawal for automatic accounting).</t>
  </si>
  <si>
    <t xml:space="preserve">5XAA700</t>
  </si>
  <si>
    <t xml:space="preserve">Вынутое состояние Кассеты Отбраковки RJC перед выполнением операции Выдача при автоматическом пересчете (Withdrawal for automatic accounting).</t>
  </si>
  <si>
    <t xml:space="preserve">5XAA800</t>
  </si>
  <si>
    <t xml:space="preserve">Отстыкованное состояние концевого переключателя (inter lock) Нижней части Модуля Рециркуляции Банкнот BMD перед выполнением операции Выдача при автоматическом пересчете (Withdrawal for automatic accounting).</t>
  </si>
  <si>
    <t xml:space="preserve">5XAA900</t>
  </si>
  <si>
    <t xml:space="preserve">Выдвинутое состояние Нижней части Модуля Рециркуляции Банкнот BMD перед выполнением операции Выдача при автоматическом пересчете (Withdrawal for automatic accounting).</t>
  </si>
  <si>
    <t xml:space="preserve">5XAAA00</t>
  </si>
  <si>
    <t xml:space="preserve">Модуль Валидатора банкнот BC открыт перед работой в ходе операции Выдача при автоматическом пересчете (Withdrawal for automatic accounting).</t>
  </si>
  <si>
    <t xml:space="preserve">5XAAC00</t>
  </si>
  <si>
    <t xml:space="preserve">Переполненная Кассета Отбраковки RJC перед выполнением операции Выдача при автоматическом пересчете (Withdrawal for automatic accounting).</t>
  </si>
  <si>
    <t xml:space="preserve">5XAAD00</t>
  </si>
  <si>
    <t xml:space="preserve">Переполненная Вспомогательная кассета UTC1 перед выполнением операции Выдача при автоматическом пересчете (Withdrawal for automatic accounting).</t>
  </si>
  <si>
    <t xml:space="preserve">5XAAE00</t>
  </si>
  <si>
    <t xml:space="preserve">Переполненная Вспомогательная кассета UTC2 перед выполнением операции Выдача при автоматическом пересчете (Withdrawal for automatic accounting).</t>
  </si>
  <si>
    <t xml:space="preserve">5XAAF00</t>
  </si>
  <si>
    <t xml:space="preserve">Пустая Кассета Рециркуляции RC перед выполнением операции Выдача при автоматическом пересчете (Withdrawal for automatic accounting).</t>
  </si>
  <si>
    <t xml:space="preserve">5XAE100</t>
  </si>
  <si>
    <t xml:space="preserve">Получена операция без выполнения команды установки начальных данных (Initail Info Set) в ходе операции Выдача при автоматическом пересчете (Withdrawal for automatic accounting).</t>
  </si>
  <si>
    <t xml:space="preserve">5XAE200</t>
  </si>
  <si>
    <t xml:space="preserve">Состояние not operation при получении команды в ходе операции Выдача при автоматическом пересчете (Withdrawal for automatic accounting).</t>
  </si>
  <si>
    <t xml:space="preserve">5XAE300</t>
  </si>
  <si>
    <t xml:space="preserve">Получена команда execute без операции Чтения Системных Данных (Read System Info) в ходе операции Выдача при автоматическом пересчете (Withdrawal for automatic accounting).</t>
  </si>
  <si>
    <t xml:space="preserve">5XAE400</t>
  </si>
  <si>
    <t xml:space="preserve">Транзакция Выдача при автоматическом пересчете (Withdrawal for automatic accounting transaction) была выполнена без Инициализации после включения питания.</t>
  </si>
  <si>
    <t xml:space="preserve">5XAE600</t>
  </si>
  <si>
    <t xml:space="preserve">Ошибка обработки операции Выдача при автоматическом пересчетев (Withdrawal for automatic accounting) ходе операции Работа кнопки TE (TE Button Operating).</t>
  </si>
  <si>
    <t xml:space="preserve">5XAEE00</t>
  </si>
  <si>
    <t xml:space="preserve">Нарушение последовательности сообщений интерфейса RS485 платы контроллера RBU в ходе операции Выдача при автоматическом пересчете (Withdrawal for automatic accounting).</t>
  </si>
  <si>
    <t xml:space="preserve">5XAEF00</t>
  </si>
  <si>
    <t xml:space="preserve">Нарушение линии связи интерфейса RS485 платы контроллера RBU в ходе операции Выдача при автоматическом пересчете (Withdrawal for automatic accounting).</t>
  </si>
  <si>
    <t xml:space="preserve">5XAH500</t>
  </si>
  <si>
    <t xml:space="preserve">Ошибка Чтения/Записи памяти NVRAM (128 деноминаций) в ходе операции Выдача при автоматическом пересчете (Withdrawal for automatic accounting).</t>
  </si>
  <si>
    <t xml:space="preserve">5XANA00</t>
  </si>
  <si>
    <t xml:space="preserve">CSM stack count is different with BC Normal Pass count в ходе операции Выдача при автоматическом пересчете (Withdrawal for automatic accounting).</t>
  </si>
  <si>
    <t xml:space="preserve">5XANL00</t>
  </si>
  <si>
    <t xml:space="preserve">Информационный статус. Слистывание при автоматическом пересчете в ходе операции Выдача (Withdrawal) Кассеты Рециркуляции RC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</si>
  <si>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1. Проверьте фактическое кол-во счетчика и значение счетчика на экране Сервисной панели оператора SPL. 2. Установите значение счетчика Кассеты Рециркуляции равным фактическому кол-ву. 3. Выполните инициализацию Модуля Рециркуляции Банкнот BRM (Восстановление)</t>
  </si>
  <si>
    <t xml:space="preserve">5XANQ00</t>
  </si>
  <si>
    <t xml:space="preserve">Не удалось выполнить укладку в другую кассету при восстановлении замятия в ходе операции Выдача при автоматическом пересчете (Withdrawal for automatic accounting).</t>
  </si>
  <si>
    <t xml:space="preserve">5XANR00</t>
  </si>
  <si>
    <t xml:space="preserve">Несоответствие счетчика набранных банкнот Кассеты Отбраковки RJC и счетчика разделенных банкнот в ходе операции тестирования автовосстановления в ходе операции Выдача при автоматическом пересчете (Withdrawal for automatic accounting).</t>
  </si>
  <si>
    <t xml:space="preserve">5XAR100</t>
  </si>
  <si>
    <t xml:space="preserve">Возвращена ошибка таймаута сообщения в ходе готовности к операции Выдача при автоматическом пересчете (Withdrawal for automatic accounting).</t>
  </si>
  <si>
    <t xml:space="preserve">5XAR200</t>
  </si>
  <si>
    <t xml:space="preserve">Возвращена ошибка таймаута сообщения при проведении транзакции в ходе операции Выдача при автоматическом пересчете (Withdrawal for automatic accounting).</t>
  </si>
  <si>
    <t xml:space="preserve">5XAR300</t>
  </si>
  <si>
    <t xml:space="preserve">Возвращена ошибка таймаута сообщения в ходе постпроцессинга ошибки операции Выдача при автоматическом пересчете (Withdrawal for automatic accounting).</t>
  </si>
  <si>
    <t xml:space="preserve">5XAR700</t>
  </si>
  <si>
    <t xml:space="preserve">Контроллер RBU вернул ошибку таймаута сообщения в ходе операции Выдача при автоматическом пересчете (Withdrawal for automatic accounting).</t>
  </si>
  <si>
    <t xml:space="preserve">5XAR900</t>
  </si>
  <si>
    <t xml:space="preserve">Ошибка таймаута сообщения готовности к укладке в процессе автовосстановления в ходе операции Выдача при автоматическом пересчете (Withdrawal for automatic accounting).</t>
  </si>
  <si>
    <t xml:space="preserve">5XARA01</t>
  </si>
  <si>
    <t xml:space="preserve">Ошибка таймаута сообщения возврата банкнот BM в процессе автовосстановления в ходе операции Выдача при автоматическом пересчете (Withdrawal for automatic accounting).</t>
  </si>
  <si>
    <t xml:space="preserve">5XARB02</t>
  </si>
  <si>
    <t xml:space="preserve">Возвращена ошибка таймаута сообщения при обработке банкнот оставшихся при авто-восстановлении в ходе операции Выдача при автоматическом пересчете (Withdrawal for automatic accounting).</t>
  </si>
  <si>
    <t xml:space="preserve">5XARC00</t>
  </si>
  <si>
    <t xml:space="preserve">5XARJ00</t>
  </si>
  <si>
    <t xml:space="preserve">Возвращена ошибка таймаута сообщения в ходе операции Начало Остановки (Stop Ready) в ходе операции Выдача при автоматическом пересчете (Withdrawal for automatic accounting).</t>
  </si>
  <si>
    <t xml:space="preserve">5XAS200</t>
  </si>
  <si>
    <t xml:space="preserve">Ошибка установки Кассеты Рециркуляции RC (0 или более 2) в режим укладки в ходе операции Выдача при автоматическом пересчете (Withdrawal for automatic accounting).</t>
  </si>
  <si>
    <t xml:space="preserve">5XAS300</t>
  </si>
  <si>
    <t xml:space="preserve">Ошибка установки Кассеты Рециркуляции RC в режим для выдачи и набора одновременно в ходе операции Выдача при автоматическом пересчете (Withdrawal for automatic accounting).</t>
  </si>
  <si>
    <t xml:space="preserve">5XAS600</t>
  </si>
  <si>
    <t xml:space="preserve">Ошибка настройки счетчика задвоенных банкнот в ходе операции Выдача при автоматическом пересчете (Withdrawal for automatic accounting).</t>
  </si>
  <si>
    <t xml:space="preserve">5XAS700</t>
  </si>
  <si>
    <t xml:space="preserve">Ошибка сравнения в ходе операции установки счетчика банкнот/деноминаций при Выдаче при автоматическом пересчете (Withdrawal for automatic accounting).</t>
  </si>
  <si>
    <t xml:space="preserve">5XAS800</t>
  </si>
  <si>
    <t xml:space="preserve">Значение счетчика набранных банкнот больше значения счетчика Оставшихся банкнот в процессе обновления счетчиков банкнот в ходе операции Выдача при автоматическом пересчете (Withdrawal for automatic accounting).</t>
  </si>
  <si>
    <t xml:space="preserve">5XASC00</t>
  </si>
  <si>
    <t xml:space="preserve">Модуль обслуживания клиентов CSM переполнен в ходе операции Выдача при автоматическом пересчете (Withdrawal for automatic accounting).</t>
  </si>
  <si>
    <t xml:space="preserve">5XASF00</t>
  </si>
  <si>
    <t xml:space="preserve">Для депозита отсутствует Кассета Рециркуляции в ходе операции Выдача при автоматическом пересчете (Withdrawal for automatic accounting).</t>
  </si>
  <si>
    <t xml:space="preserve">5XASR00</t>
  </si>
  <si>
    <t xml:space="preserve">Превышение кол-ва, максимально возможного для запроса операции Выдача при автоматическом пересчете (Withdrawal for automatic accounting) в ходе операции Выдача при автоматическом пересчете (Withdrawal for automatic accounting).</t>
  </si>
  <si>
    <t xml:space="preserve">5XASS00</t>
  </si>
  <si>
    <t xml:space="preserve">Кассета Рециркуляции RC1 не доступна для операции Выдача при автоматическом пересчете (Withdrawal for automatic accounting).</t>
  </si>
  <si>
    <t xml:space="preserve">5XAST00</t>
  </si>
  <si>
    <t xml:space="preserve">Кассета Рециркуляции RC2 не доступна для операции Выдача при автоматическом пересчете (Withdrawal for automatic accounting).</t>
  </si>
  <si>
    <t xml:space="preserve">5XASU00</t>
  </si>
  <si>
    <t xml:space="preserve">Кассета Рециркуляции RC3 не доступна для операции Выдача при автоматическом пересчете (Withdrawal for automatic accounting).</t>
  </si>
  <si>
    <t xml:space="preserve">5XASV00</t>
  </si>
  <si>
    <t xml:space="preserve">Кассета Рециркуляции RC4 не доступна для операции Выдача при автоматическом пересчете (Withdrawal for automatic accounting).</t>
  </si>
  <si>
    <t xml:space="preserve">5XASW00</t>
  </si>
  <si>
    <t xml:space="preserve">Кассета Рециркуляции RC5 не доступна для операции Выдача при автоматическом пересчете (Withdrawal for automatic accounting).</t>
  </si>
  <si>
    <t xml:space="preserve">5XASX00</t>
  </si>
  <si>
    <t xml:space="preserve">Запрашиваемое кол-во операции Выдача при автоматическом пересчете (Withdrawal for automatic accounting) dбольше чем соответствующее значение счетчика в кассете в ходе операции Выдача при автоматическом пересчете (Withdrawal for automatic accounting).</t>
  </si>
  <si>
    <t xml:space="preserve">5XASY00</t>
  </si>
  <si>
    <t xml:space="preserve">Запрашиваемое кол-во операции Выдача при автоматическом пересчете (Withdrawal for automatic accounting) равно 0 в ходе операции Выдача при автоматическом пересчете (Withdrawal for automatic accounting).</t>
  </si>
  <si>
    <t xml:space="preserve">5XBH100</t>
  </si>
  <si>
    <t xml:space="preserve">Ошибка чтения памяти EEPROM Кассеты Рециркуляции RC1 в ходе операции Выдача при автоматическом пересчете (Withdrawal for automatic accounting).</t>
  </si>
  <si>
    <t xml:space="preserve">5XBH200</t>
  </si>
  <si>
    <t xml:space="preserve">Ошибка чтения памяти EEPROM Кассеты Рециркуляции RC2 в ходе операции Выдача при автоматическом пересчете (Withdrawal for automatic accounting).</t>
  </si>
  <si>
    <t xml:space="preserve">5XBH300</t>
  </si>
  <si>
    <t xml:space="preserve">Ошибка чтения памяти EEPROM Кассеты Рециркуляции RC3 в ходе операции Выдача при автоматическом пересчете (Withdrawal for automatic accounting).</t>
  </si>
  <si>
    <t xml:space="preserve">5XBH400</t>
  </si>
  <si>
    <t xml:space="preserve">Ошибка чтения памяти EEPROM Кассеты Рециркуляции RC4 в ходе операции Выдача при автоматическом пересчете (Withdrawal for automatic accounting).</t>
  </si>
  <si>
    <t xml:space="preserve">5XBH500</t>
  </si>
  <si>
    <t xml:space="preserve">Ошибка чтения памяти EEPROM Кассеты Рециркуляции RC5 в ходе операции Выдача при автоматическом пересчете (Withdrawal for automatic accounting).</t>
  </si>
  <si>
    <t xml:space="preserve">5XBH600</t>
  </si>
  <si>
    <t xml:space="preserve">Ошибка записи памяти EEPROM Кассеты Рециркуляции RC1 в ходе операции Выдача при автоматическом пересчете (Withdrawal for automatic accounting).</t>
  </si>
  <si>
    <t xml:space="preserve">5XBH700</t>
  </si>
  <si>
    <t xml:space="preserve">Ошибка записи памяти EEPROM Кассеты Рециркуляции RC2 в ходе операции Выдача при автоматическом пересчете (Withdrawal for automatic accounting).</t>
  </si>
  <si>
    <t xml:space="preserve">5XBH800</t>
  </si>
  <si>
    <t xml:space="preserve">Ошибка записи памяти EEPROM Кассеты Рециркуляции RC3 в ходе операции Выдача при автоматическом пересчете (Withdrawal for automatic accounting).</t>
  </si>
  <si>
    <t xml:space="preserve">5XBH900</t>
  </si>
  <si>
    <t xml:space="preserve">Ошибка записи памяти EEPROM Кассеты Рециркуляции RC4 в ходе операции Выдача при автоматическом пересчете (Withdrawal for automatic accounting).</t>
  </si>
  <si>
    <t xml:space="preserve">5XBHA00</t>
  </si>
  <si>
    <t xml:space="preserve">Ошибка записи памяти EEPROM Кассеты Рециркуляции RC5 в ходе операции Выдача при автоматическом пересчете (Withdrawal for automatic accounting).</t>
  </si>
  <si>
    <t xml:space="preserve">5XBHB00</t>
  </si>
  <si>
    <t xml:space="preserve">Ошибка проверки данных памяти EEPROM Кассеты Рециркуляции RC1 в ходе операции Выдача при автоматическом пересчете (Withdrawal for automatic accounting).</t>
  </si>
  <si>
    <t xml:space="preserve">5XBHC00</t>
  </si>
  <si>
    <t xml:space="preserve">Ошибка проверки данных памяти EEPROM Кассеты Рециркуляции RC2 в ходе операции Выдача при автоматическом пересчете (Withdrawal for automatic accounting).</t>
  </si>
  <si>
    <t xml:space="preserve">5XBHD00</t>
  </si>
  <si>
    <t xml:space="preserve">Ошибка проверки данных памяти EEPROM Кассеты Рециркуляции RC3 в ходе операции Выдача при автоматическом пересчете (Withdrawal for automatic accounting).</t>
  </si>
  <si>
    <t xml:space="preserve">5XBHE00</t>
  </si>
  <si>
    <t xml:space="preserve">Ошибка проверки данных памяти EEPROM Кассеты Рециркуляции RC4 в ходе операции Выдача при автоматическом пересчете (Withdrawal for automatic accounting).</t>
  </si>
  <si>
    <t xml:space="preserve">5XBHF00</t>
  </si>
  <si>
    <t xml:space="preserve">Ошибка проверки данных памяти EEPROM Кассеты Рециркуляции RC5 в ходе операции Выдача при автоматическом пересчете (Withdrawal for automatic accounting).</t>
  </si>
  <si>
    <t xml:space="preserve">5XBHG00</t>
  </si>
  <si>
    <t xml:space="preserve">Не обнаружен концевой переключатель (интерлок) при Чтении/Записи памяти EEPROM Кассеты Рециркуляции RC в ходе операции Выдача при автоматическом пересчете (Withdrawal for automatic accounting).</t>
  </si>
  <si>
    <t xml:space="preserve">5XBS000</t>
  </si>
  <si>
    <t xml:space="preserve">Ошибка таймаута связи контроллера RBU в ходе операции Выдача при автоматическом пересчете (Withdrawal for automatic accounting).</t>
  </si>
  <si>
    <t xml:space="preserve">5XBS100</t>
  </si>
  <si>
    <t xml:space="preserve">Ошибка последовательности сообщений платы контроллера RBU в ходе операции Выдача при автоматическом пересчете (Withdrawal for automatic accounting).</t>
  </si>
  <si>
    <t xml:space="preserve">5XBS200</t>
  </si>
  <si>
    <t xml:space="preserve">Ошибка Информации о памяти MI в ходе соединения контроллера RBU в ходе операции Выдача при автоматическом пересчете (Withdrawal for automatic accounting).</t>
  </si>
  <si>
    <t xml:space="preserve">5XUS100</t>
  </si>
  <si>
    <t xml:space="preserve">Ошибка дублирования номера последовательности USB в ходе операции Выдача при автоматическом пересчете (Withdrawal for automatic accounting).</t>
  </si>
  <si>
    <t xml:space="preserve">5XUS300</t>
  </si>
  <si>
    <t xml:space="preserve">Ошибка длины данных команды USB  в ходе операции Выдача при автоматическом пересчете (Withdrawal for automatic accounting).</t>
  </si>
  <si>
    <t xml:space="preserve">5Y00100</t>
  </si>
  <si>
    <t xml:space="preserve">GS801 сообщил об ошибке замятия по Светлому типу в ходе операции Конец Депозита при автоматическом пересчете (Deposit End for automatic accounting).</t>
  </si>
  <si>
    <t xml:space="preserve">5Y00200</t>
  </si>
  <si>
    <t xml:space="preserve">GS002 сообщил об ошибке замятия по Светлому типу в ходе операции Конец Депозита при автоматическом пересчете (Deposit End for automatic accounting).</t>
  </si>
  <si>
    <t xml:space="preserve">5Y00300</t>
  </si>
  <si>
    <t xml:space="preserve">GS003 сообщил об ошибке замятия по Светлому типу в ходе операции Конец Депозита при автоматическом пересчете (Deposit End for automatic accounting).</t>
  </si>
  <si>
    <t xml:space="preserve">5Y00400</t>
  </si>
  <si>
    <t xml:space="preserve">GS004 сообщил об ошибке замятия по Светлому типу в ходе операции Конец Депозита при автоматическом пересчете (Deposit End for automatic accounting).</t>
  </si>
  <si>
    <t xml:space="preserve">5Y00500</t>
  </si>
  <si>
    <t xml:space="preserve">GS005 сообщил об ошибке замятия по Светлому типу в ходе операции Конец Депозита при автоматическом пересчете (Deposit End for automatic accounting).</t>
  </si>
  <si>
    <t xml:space="preserve">5Y00600</t>
  </si>
  <si>
    <t xml:space="preserve">GS006 сообщил об ошибке замятия по Светлому типу в ходе операции Конец Депозита при автоматическом пересчете (Deposit End for automatic accounting).</t>
  </si>
  <si>
    <t xml:space="preserve">5Y00A00</t>
  </si>
  <si>
    <t xml:space="preserve">GS021 сообщил об ошибке замятия по Светлому типу в ходе операции Конец Депозита при автоматическом пересчете (Deposit End for automatic accounting).</t>
  </si>
  <si>
    <t xml:space="preserve">5Y00B00</t>
  </si>
  <si>
    <t xml:space="preserve">GS022 сообщил об ошибке замятия по Светлому типу в ходе операции Конец Депозита при автоматическом пересчете (Deposit End for automatic accounting).</t>
  </si>
  <si>
    <t xml:space="preserve">5Y00M00</t>
  </si>
  <si>
    <t xml:space="preserve">GS031 сообщил об ошибке замятия по Светлому типу в ходе операции Конец Депозита при автоматическом пересчете (Deposit End for automatic accounting).</t>
  </si>
  <si>
    <t xml:space="preserve">5Y00N00</t>
  </si>
  <si>
    <t xml:space="preserve">GS032 сообщил об ошибке замятия по Светлому типу в ходе операции Конец Депозита при автоматическом пересчете (Deposit End for automatic accounting).</t>
  </si>
  <si>
    <t xml:space="preserve">5Y00P00</t>
  </si>
  <si>
    <t xml:space="preserve">GS033 сообщил об ошибке замятия по Светлому типу в ходе операции Конец Депозита при автоматическом пересчете (Deposit End for automatic accounting).</t>
  </si>
  <si>
    <t xml:space="preserve">5Y00Q00</t>
  </si>
  <si>
    <t xml:space="preserve">GS034 сообщил об ошибке замятия по Светлому типу в ходе операции Конец Депозита при автоматическом пересчете (Deposit End for automatic accounting).</t>
  </si>
  <si>
    <t xml:space="preserve">5Y00W00</t>
  </si>
  <si>
    <t xml:space="preserve">GS802 сообщил об ошибке замятия по Светлому типу в ходе операции Конец Депозита при автоматическом пересчете (Deposit End for automatic accounting).</t>
  </si>
  <si>
    <t xml:space="preserve">5Y01100</t>
  </si>
  <si>
    <t xml:space="preserve">GS801 сообщил об ошибке замятия по Темному типу в ходе операции Конец Депозита при автоматическом пересчете (Deposit End for automatic accounting).</t>
  </si>
  <si>
    <t xml:space="preserve">5Y01200</t>
  </si>
  <si>
    <t xml:space="preserve">GS002 сообщил об ошибке замятия по Темному типу в ходе операции Конец Депозита при автоматическом пересчете (Deposit End for automatic accounting).</t>
  </si>
  <si>
    <t xml:space="preserve">5Y01300</t>
  </si>
  <si>
    <t xml:space="preserve">GS003 сообщил об ошибке замятия по Темному типу в ходе операции Конец Депозита при автоматическом пересчете (Deposit End for automatic accounting).</t>
  </si>
  <si>
    <t xml:space="preserve">5Y01400</t>
  </si>
  <si>
    <t xml:space="preserve">GS004 сообщил об ошибке замятия по Темному типу в ходе операции Конец Депозита при автоматическом пересчете (Deposit End for automatic accounting).</t>
  </si>
  <si>
    <t xml:space="preserve">5Y01500</t>
  </si>
  <si>
    <t xml:space="preserve">GS005 сообщил об ошибке замятия по Темному типу в ходе операции Конец Депозита при автоматическом пересчете (Deposit End for automatic accounting).</t>
  </si>
  <si>
    <t xml:space="preserve">5Y01600</t>
  </si>
  <si>
    <t xml:space="preserve">GS006 сообщил об ошибке замятия по Темному типу в ходе операции Конец Депозита при автоматическом пересчете (Deposit End for automatic accounting).</t>
  </si>
  <si>
    <t xml:space="preserve">5Y01A00</t>
  </si>
  <si>
    <t xml:space="preserve">GS021 сообщил об ошибке замятия по Темному типу в ходе операции Конец Депозита при автоматическом пересчете (Deposit End for automatic accounting).</t>
  </si>
  <si>
    <t xml:space="preserve">5Y01B00</t>
  </si>
  <si>
    <t xml:space="preserve">GS022 сообщил об ошибке замятия по Темному типу в ходе операции Конец Депозита при автоматическом пересчете (Deposit End for automatic accounting).</t>
  </si>
  <si>
    <t xml:space="preserve">5Y01G00</t>
  </si>
  <si>
    <t xml:space="preserve">GS614 сообщил об ошибке замятия по Темному типу в ходе операции Конец Депозита при автоматическом пересчете (Deposit End for automatic accounting).</t>
  </si>
  <si>
    <t xml:space="preserve">5Y01H00</t>
  </si>
  <si>
    <t xml:space="preserve">GS618 сообщил об ошибке замятия по Темному типу в ходе операции Конец Депозита при автоматическом пересчете (Deposit End for automatic accounting).</t>
  </si>
  <si>
    <t xml:space="preserve">5Y01J00</t>
  </si>
  <si>
    <t xml:space="preserve">GS619 сообщил об ошибке замятия по Темному типу в ходе операции Конец Депозита при автоматическом пересчете (Deposit End for automatic accounting).</t>
  </si>
  <si>
    <t xml:space="preserve">5Y01K00</t>
  </si>
  <si>
    <t xml:space="preserve">GS703 сообщил об ошибке замятия по Темному типу в ходе операции Конец Депозита при автоматическом пересчете (Deposit End for automatic accounting).</t>
  </si>
  <si>
    <t xml:space="preserve">5Y01M00</t>
  </si>
  <si>
    <t xml:space="preserve">GS031 сообщил об ошибке замятия по Темному типу в ходе операции Конец Депозита при автоматическом пересчете (Deposit End for automatic accounting).</t>
  </si>
  <si>
    <t xml:space="preserve">5Y01N00</t>
  </si>
  <si>
    <t xml:space="preserve">GS032 сообщил об ошибке замятия по Темному типу в ходе операции Конец Депозита при автоматическом пересчете (Deposit End for automatic accounting).</t>
  </si>
  <si>
    <t xml:space="preserve">5Y01P00</t>
  </si>
  <si>
    <t xml:space="preserve">GS033 сообщил об ошибке замятия по Темному типу в ходе операции Конец Депозита при автоматическом пересчете (Deposit End for automatic accounting).</t>
  </si>
  <si>
    <t xml:space="preserve">5Y01Q00</t>
  </si>
  <si>
    <t xml:space="preserve">GS034 сообщил об ошибке замятия по Темному типу в ходе операции Конец Депозита при автоматическом пересчете (Deposit End for automatic accounting).</t>
  </si>
  <si>
    <t xml:space="preserve">5Y01W00</t>
  </si>
  <si>
    <t xml:space="preserve">GS802 сообщил об ошибке замятия по Темному типу в ходе операции Конец Депозита при автоматическом пересчете (Deposit End for automatic accounting).</t>
  </si>
  <si>
    <t xml:space="preserve">5Y02100</t>
  </si>
  <si>
    <t xml:space="preserve">Произошла ошибка оставшихся банкнот в области датчика GS801 в ходе операции Конец Депозита при автоматическом пересчете (Deposit End for automatic accounting).</t>
  </si>
  <si>
    <t xml:space="preserve">5Y02200</t>
  </si>
  <si>
    <t xml:space="preserve">Произошла ошибка оставшихся банкнот в области датчика GS002 в ходе операции Конец Депозита при автоматическом пересчете (Deposit End for automatic accounting).</t>
  </si>
  <si>
    <t xml:space="preserve">5Y02300</t>
  </si>
  <si>
    <t xml:space="preserve">Произошла ошибка оставшихся банкнот в области датчика GS003 в ходе операции Конец Депозита при автоматическом пересчете (Deposit End for automatic accounting).</t>
  </si>
  <si>
    <t xml:space="preserve">5Y02400</t>
  </si>
  <si>
    <t xml:space="preserve">Произошла ошибка оставшихся банкнот в области датчика GS004 в ходе операции Конец Депозита при автоматическом пересчете (Deposit End for automatic accounting).</t>
  </si>
  <si>
    <t xml:space="preserve">5Y02500</t>
  </si>
  <si>
    <t xml:space="preserve">Произошла ошибка оставшихся банкнот в области датчика GS005 в ходе операции Конец Депозита при автоматическом пересчете (Deposit End for automatic accounting).</t>
  </si>
  <si>
    <t xml:space="preserve">5Y02600</t>
  </si>
  <si>
    <t xml:space="preserve">Произошла ошибка оставшихся банкнот в области датчика GS006 в ходе операции Конец Депозита при автоматическом пересчете (Deposit End for automatic accounting).</t>
  </si>
  <si>
    <t xml:space="preserve">5Y02A00</t>
  </si>
  <si>
    <t xml:space="preserve">Произошла ошибка оставшихся банкнот в области датчика GS021 в ходе операции Конец Депозита при автоматическом пересчете (Deposit End for automatic accounting).</t>
  </si>
  <si>
    <t xml:space="preserve">5Y02B00</t>
  </si>
  <si>
    <t xml:space="preserve">Произошла ошибка оставшихся банкнот в области датчика GS022 в ходе операции Конец Депозита при автоматическом пересчете (Deposit End for automatic accounting).</t>
  </si>
  <si>
    <t xml:space="preserve">5Y02G00</t>
  </si>
  <si>
    <t xml:space="preserve">Произошла ошибка оставшихся банкнот в области датчика GS614 в ходе операции Конец Депозита при автоматическом пересчете (Deposit End for automatic accounting).</t>
  </si>
  <si>
    <t xml:space="preserve">5Y02H00</t>
  </si>
  <si>
    <t xml:space="preserve">Произошла ошибка оставшихся банкнот в области датчика GS618 в ходе операции Конец Депозита при автоматическом пересчете (Deposit End for automatic accounting).</t>
  </si>
  <si>
    <t xml:space="preserve">5Y02J00</t>
  </si>
  <si>
    <t xml:space="preserve">Произошла ошибка оставшихся банкнот в области датчика GS619 в ходе операции Конец Депозита при автоматическом пересчете (Deposit End for automatic accounting).</t>
  </si>
  <si>
    <t xml:space="preserve">5Y02K00</t>
  </si>
  <si>
    <t xml:space="preserve">Произошла ошибка оставшихся банкнот в области датчика GS703 в ходе операции Конец Депозита при автоматическом пересчете (Deposit End for automatic accounting).</t>
  </si>
  <si>
    <t xml:space="preserve">5Y02M00</t>
  </si>
  <si>
    <t xml:space="preserve">Произошла ошибка оставшихся банкнот в области датчика GS031 в ходе операции Конец Депозита при автоматическом пересчете (Deposit End for automatic accounting).</t>
  </si>
  <si>
    <t xml:space="preserve">5Y02N00</t>
  </si>
  <si>
    <t xml:space="preserve">Произошла ошибка оставшихся банкнот в области датчика GS032 в ходе операции Конец Депозита при автоматическом пересчете (Deposit End for automatic accounting).</t>
  </si>
  <si>
    <t xml:space="preserve">5Y02P00</t>
  </si>
  <si>
    <t xml:space="preserve">Произошла ошибка оставшихся банкнот в области датчика GS033 в ходе операции Конец Депозита при автоматическом пересчете (Deposit End for automatic accounting).</t>
  </si>
  <si>
    <t xml:space="preserve">5Y02Q00</t>
  </si>
  <si>
    <t xml:space="preserve">Произошла ошибка оставшихся банкнот в области датчика GS034 в ходе операции Конец Депозита при автоматическом пересчете (Deposit End for automatic accounting).</t>
  </si>
  <si>
    <t xml:space="preserve">5Y02W00</t>
  </si>
  <si>
    <t xml:space="preserve">Произошла ошибка оставшихся банкнот в области датчика GS802 в ходе операции Конец Депозита при автоматическом пересчете (Deposit End for automatic accounting).</t>
  </si>
  <si>
    <t xml:space="preserve">5Y05100</t>
  </si>
  <si>
    <t xml:space="preserve">Произошла ошибка Транспортного Тракта по данным датчика GS801 в ходе операции Конец Депозита при автоматическом пересчете (Deposit End for automatic accounting).</t>
  </si>
  <si>
    <t xml:space="preserve">5Y05200</t>
  </si>
  <si>
    <t xml:space="preserve">Произошла ошибка Транспортного Тракта по данным датчика GS002 в ходе операции Конец Депозита при автоматическом пересчете (Deposit End for automatic accounting).</t>
  </si>
  <si>
    <t xml:space="preserve">5Y05300</t>
  </si>
  <si>
    <t xml:space="preserve">Произошла ошибка Транспортного Тракта по данным датчика GS003 в ходе операции Конец Депозита при автоматическом пересчете (Deposit End for automatic accounting).</t>
  </si>
  <si>
    <t xml:space="preserve">5Y05400</t>
  </si>
  <si>
    <t xml:space="preserve">Произошла ошибка Транспортного Тракта по данным датчика GS004 в ходе операции Конец Депозита при автоматическом пересчете (Deposit End for automatic accounting).</t>
  </si>
  <si>
    <t xml:space="preserve">5Y05500</t>
  </si>
  <si>
    <t xml:space="preserve">Произошла ошибка Транспортного Тракта по данным датчика GS005 в ходе операции Конец Депозита при автоматическом пересчете (Deposit End for automatic accounting).</t>
  </si>
  <si>
    <t xml:space="preserve">5Y05600</t>
  </si>
  <si>
    <t xml:space="preserve">Произошла ошибка Транспортного Тракта по данным датчика GS006 в ходе операции Конец Депозита при автоматическом пересчете (Deposit End for automatic accounting).</t>
  </si>
  <si>
    <t xml:space="preserve">5Y05A00</t>
  </si>
  <si>
    <t xml:space="preserve">Произошла ошибка Транспортного Тракта по данным датчика GS021 в ходе операции Конец Депозита при автоматическом пересчете (Deposit End for automatic accounting).</t>
  </si>
  <si>
    <t xml:space="preserve">5Y05B00</t>
  </si>
  <si>
    <t xml:space="preserve">Произошла ошибка Транспортного Тракта по данным датчика GS022 в ходе операции Конец Депозита при автоматическом пересчете (Deposit End for automatic accounting).</t>
  </si>
  <si>
    <t xml:space="preserve">5Y05M00</t>
  </si>
  <si>
    <t xml:space="preserve">Произошла ошибка Транспортного Тракта по данным датчика GS031 в ходе операции Конец Депозита при автоматическом пересчете (Deposit End for automatic accounting).</t>
  </si>
  <si>
    <t xml:space="preserve">5Y05N00</t>
  </si>
  <si>
    <t xml:space="preserve">Произошла ошибка Транспортного Тракта по данным датчика GS032 в ходе операции Конец Депозита при автоматическом пересчете (Deposit End for automatic accounting).</t>
  </si>
  <si>
    <t xml:space="preserve">5Y05P00</t>
  </si>
  <si>
    <t xml:space="preserve">Произошла ошибка Транспортного Тракта по данным датчика GS033 в ходе операции Конец Депозита при автоматическом пересчете (Deposit End for automatic accounting).</t>
  </si>
  <si>
    <t xml:space="preserve">5Y05Q00</t>
  </si>
  <si>
    <t xml:space="preserve">Произошла ошибка Транспортного Тракта по данным датчика GS034 в ходе операции Конец Депозита при автоматическом пересчете (Deposit End for automatic accounting).</t>
  </si>
  <si>
    <t xml:space="preserve">5Y05W00</t>
  </si>
  <si>
    <t xml:space="preserve">Произошла ошибка Транспортного Тракта по данным датчика GS802 в ходе операции Конец Депозита при автоматическом пересчете (Deposit End for automatic accounting).</t>
  </si>
  <si>
    <t xml:space="preserve">5Y05Y00</t>
  </si>
  <si>
    <t xml:space="preserve">5Y06G00</t>
  </si>
  <si>
    <t xml:space="preserve">Произошла ошибка Возвращающего Транспортного Тракта (датчик GS614) в ходе операции Конец Депозита при автоматическом пересчете (Deposit End for automatic accounting).</t>
  </si>
  <si>
    <t xml:space="preserve">5Y06H00</t>
  </si>
  <si>
    <t xml:space="preserve">Произошла ошибка Возвращающего Транспортного Тракта (датчик GS618) в ходе операции Конец Депозита при автоматическом пересчете (Deposit End for automatic accounting).</t>
  </si>
  <si>
    <t xml:space="preserve">5Y06J00</t>
  </si>
  <si>
    <t xml:space="preserve">Произошла ошибка Возвращающего Транспортного Тракта (датчик GS619) в ходе операции Конец Депозита при автоматическом пересчете (Deposit End for automatic accounting).</t>
  </si>
  <si>
    <t xml:space="preserve">5Y07100</t>
  </si>
  <si>
    <t xml:space="preserve">Произошла ошибка порядка следования банкнот в области датчика GS801 в ходе операции Конец Депозита при автоматическом пересчете (Deposit End for automatic accounting).</t>
  </si>
  <si>
    <t xml:space="preserve">5Y07200</t>
  </si>
  <si>
    <t xml:space="preserve">Произошла ошибка порядка следования банкнот в области датчика GS002 в ходе операции Конец Депозита при автоматическом пересчете (Deposit End for automatic accounting).</t>
  </si>
  <si>
    <t xml:space="preserve">5Y07300</t>
  </si>
  <si>
    <t xml:space="preserve">Произошла ошибка порядка следования банкнот в области датчика GS003 в ходе операции Конец Депозита при автоматическом пересчете (Deposit End for automatic accounting).</t>
  </si>
  <si>
    <t xml:space="preserve">5Y07400</t>
  </si>
  <si>
    <t xml:space="preserve">Произошла ошибка порядка следования банкнот в области датчика GS004 в ходе операции Конец Депозита при автоматическом пересчете (Deposit End for automatic accounting).</t>
  </si>
  <si>
    <t xml:space="preserve">5Y07500</t>
  </si>
  <si>
    <t xml:space="preserve">Произошла ошибка порядка следования банкнот в области датчика GS005 в ходе операции Конец Депозита при автоматическом пересчете (Deposit End for automatic accounting).</t>
  </si>
  <si>
    <t xml:space="preserve">5Y07600</t>
  </si>
  <si>
    <t xml:space="preserve">Произошла ошибка порядка следования банкнот в области датчика GS006 в ходе операции Конец Депозита при автоматическом пересчете (Deposit End for automatic accounting).</t>
  </si>
  <si>
    <t xml:space="preserve">5Y07A00</t>
  </si>
  <si>
    <t xml:space="preserve">Произошла ошибка порядка следования банкнот в области датчика GS021 в ходе операции Конец Депозита при автоматическом пересчете (Deposit End for automatic accounting).</t>
  </si>
  <si>
    <t xml:space="preserve">5Y07B00</t>
  </si>
  <si>
    <t xml:space="preserve">Произошла ошибка порядка следования банкнот в области датчика GS022 в ходе операции Конец Депозита при автоматическом пересчете (Deposit End for automatic accounting).</t>
  </si>
  <si>
    <t xml:space="preserve">5Y07G00</t>
  </si>
  <si>
    <t xml:space="preserve">Произошла ошибка порядка следования банкнот в области датчика GS614 в ходе операции Конец Депозита при автоматическом пересчете (Deposit End for automatic accounting).</t>
  </si>
  <si>
    <t xml:space="preserve">5Y07H00</t>
  </si>
  <si>
    <t xml:space="preserve">Произошла ошибка порядка следования банкнот в области датчика GS618 в ходе операции Конец Депозита при автоматическом пересчете (Deposit End for automatic accounting).</t>
  </si>
  <si>
    <t xml:space="preserve">5Y07J00</t>
  </si>
  <si>
    <t xml:space="preserve">Произошла ошибка порядка следования банкнот в области датчика GS619 в ходе операции Конец Депозита при автоматическом пересчете (Deposit End for automatic accounting).</t>
  </si>
  <si>
    <t xml:space="preserve">5Y07K00</t>
  </si>
  <si>
    <t xml:space="preserve">Произошла ошибка порядка следования банкнот в области датчика GS703 в ходе операции Конец Депозита при автоматическом пересчете (Deposit End for automatic accounting).</t>
  </si>
  <si>
    <t xml:space="preserve">5Y07M00</t>
  </si>
  <si>
    <t xml:space="preserve">Произошла ошибка порядка следования банкнот в области датчика GS031 в ходе операции Конец Депозита при автоматическом пересчете (Deposit End for automatic accounting).</t>
  </si>
  <si>
    <t xml:space="preserve">5Y07N00</t>
  </si>
  <si>
    <t xml:space="preserve">Произошла ошибка порядка следования банкнот в области датчика GS032 в ходе операции Конец Депозита при автоматическом пересчете (Deposit End for automatic accounting).</t>
  </si>
  <si>
    <t xml:space="preserve">5Y07P00</t>
  </si>
  <si>
    <t xml:space="preserve">Произошла ошибка порядка следования банкнот в области датчика GS033 в ходе операции Конец Депозита при автоматическом пересчете (Deposit End for automatic accounting).</t>
  </si>
  <si>
    <t xml:space="preserve">5Y07Q00</t>
  </si>
  <si>
    <t xml:space="preserve">Произошла ошибка порядка следования банкнот в области датчика GS034 в ходе операции Конец Депозита при автоматическом пересчете (Deposit End for automatic accounting).</t>
  </si>
  <si>
    <t xml:space="preserve">5Y07W00</t>
  </si>
  <si>
    <t xml:space="preserve">Произошла ошибка порядка следования банкнот в области датчика GS802 в ходе операции Конец Депозита при автоматическом пересчете (Deposit End for automatic accounting).</t>
  </si>
  <si>
    <t xml:space="preserve">5Y0DR00</t>
  </si>
  <si>
    <t xml:space="preserve">Ошибка синхронизации распознавания в ходе операции Конец Депозита при автоматическом пересчете (Deposit End for automatic accounting).</t>
  </si>
  <si>
    <t xml:space="preserve">5Y0DS00</t>
  </si>
  <si>
    <t xml:space="preserve">5Y0DT00</t>
  </si>
  <si>
    <t xml:space="preserve">5Y0DU00</t>
  </si>
  <si>
    <t xml:space="preserve">5Y0DV00</t>
  </si>
  <si>
    <t xml:space="preserve">5Y0DW00</t>
  </si>
  <si>
    <t xml:space="preserve">5Y0DX00</t>
  </si>
  <si>
    <t xml:space="preserve">5Y0DY00</t>
  </si>
  <si>
    <t xml:space="preserve">5Y0F100</t>
  </si>
  <si>
    <t xml:space="preserve">Ошибка motor step out return error двигателя GM001 в ходе операции Конец Депозита при автоматическом пересчете (Deposit End for automatic accounting).</t>
  </si>
  <si>
    <t xml:space="preserve">5Y0F200</t>
  </si>
  <si>
    <t xml:space="preserve">Ошибка motor step out return error двигателя GM002 в ходе операции Конец Депозита при автоматическом пересчете (Deposit End for automatic accounting).</t>
  </si>
  <si>
    <t xml:space="preserve">5Y0F400</t>
  </si>
  <si>
    <t xml:space="preserve">Ошибка motor step out return двигателя GM004 в ходе операции Конец Депозита при автоматическом пересчете (Deposit End for automatic accounting).</t>
  </si>
  <si>
    <t xml:space="preserve">5Y0F500</t>
  </si>
  <si>
    <t xml:space="preserve">Снижено кол-во счетов энкодера двигателя GM001 относительно предыдущих значений в ходе операции Конец Депозита при автоматическом пересчете (Deposit End for automatic accounting).</t>
  </si>
  <si>
    <t xml:space="preserve">5Y0F600</t>
  </si>
  <si>
    <t xml:space="preserve">Снижено кол-во счетов энкодера двигателя GM002 относительно предыдущих значений в ходе операции Конец Депозита при автоматическом пересчете (Deposit End for automatic accounting).</t>
  </si>
  <si>
    <t xml:space="preserve">5Y0F700</t>
  </si>
  <si>
    <t xml:space="preserve">Снижено кол-во счетов энкодера двигателя GM004 относительно предыдущих значений в ходе операции Конец Депозита при автоматическом пересчете (Deposit End for automatic accounting).</t>
  </si>
  <si>
    <t xml:space="preserve">5Y0G100</t>
  </si>
  <si>
    <t xml:space="preserve">Не удалось переключить 3-х направленный Затвор Тракта в режим 0-го градуса в ходе операции Конец Депозита при автоматическом пересчете (Deposit End for automatic accounting).</t>
  </si>
  <si>
    <t xml:space="preserve">5Y0G200</t>
  </si>
  <si>
    <t xml:space="preserve">Не удалось переключить 3-х направленный Затвор Тракта в 120 градусный режим в ходе операции Конец Депозита при автоматическом пересчете (Deposit End for automatic accounting).</t>
  </si>
  <si>
    <t xml:space="preserve">5Y0G300</t>
  </si>
  <si>
    <t xml:space="preserve">Ошибка таймаута изменения режима 3-направленного затвора на 120 градусов в ходе операции Пересчет Депозита (Deposit Count) в ходе операции Конец Депозита при автоматическом пересчете (Deposit End for automatic accounting).</t>
  </si>
  <si>
    <t xml:space="preserve">5Y0K100</t>
  </si>
  <si>
    <t xml:space="preserve">Ошибка дублирования серийного номера в ходе операции Конец Депозита при автоматическом пересчете (Deposit End for automatic accounting)..</t>
  </si>
  <si>
    <t xml:space="preserve">5Y0K200</t>
  </si>
  <si>
    <t xml:space="preserve">Переполненная Вспомогательная кассета UTC1 и UTC2 в ходе операции Конец Депозита при автоматическом пересчете (Deposit End for automatic accounting).</t>
  </si>
  <si>
    <t xml:space="preserve">5Y0N900</t>
  </si>
  <si>
    <t xml:space="preserve">Кол-во набранных банкнот не совпадает с кол-вом уложенных банкнот при завершении разделения в ходе операции Конец Депозита при автоматическом пересчете (Deposit End for automatic accounting).</t>
  </si>
  <si>
    <t xml:space="preserve">5Y0NA00</t>
  </si>
  <si>
    <t xml:space="preserve">Ошибка проверки контрольной суммы при разделении банкнот Модуля временного хранения_TE в ходе операции Конец Депозита при автоматическом пересчете (Deposit End for automatic accounting).</t>
  </si>
  <si>
    <t xml:space="preserve">5Y0NC00</t>
  </si>
  <si>
    <t xml:space="preserve">Не удалось проверить последнюю банкноту в окончании Среднего Транспортного Тракта в ходе операции Конец Депозита при автоматическом пересчете (Deposit End for automatic accounting).</t>
  </si>
  <si>
    <t xml:space="preserve">5Y0NK00</t>
  </si>
  <si>
    <t xml:space="preserve">Ошибка No gate for insertion в ходе операции Конец Депозита при автоматическом пересчете (Deposit End for automatic accounting).</t>
  </si>
  <si>
    <t xml:space="preserve">5Y0NL00</t>
  </si>
  <si>
    <t xml:space="preserve">Данные распознавания операции Выдача отличаются от данных распознавания  операции Депозит в ходе операции Конец Депозита при автоматическом пересчете (Deposit End for automatic accounting).</t>
  </si>
  <si>
    <t xml:space="preserve">5Y0Q100</t>
  </si>
  <si>
    <t xml:space="preserve">Ошибка установки Вспомогательной Кассеты UTC в ходе операции Конец Депозита при автоматическом пересчете (Deposit End for automatic accounting).</t>
  </si>
  <si>
    <t xml:space="preserve">5Y0Q200</t>
  </si>
  <si>
    <t xml:space="preserve">Ошибка открытого Модуля временного хранения (TE) в ходе операции Конец Депозита при автоматическом пересчете (Deposit End for automatic accounting).</t>
  </si>
  <si>
    <t xml:space="preserve">5Y0Q300</t>
  </si>
  <si>
    <t xml:space="preserve">Ошибка концевого переключателя BMU в ходе операции Конец Депозита при автоматическом пересчете (Deposit End for automatic accounting).</t>
  </si>
  <si>
    <t xml:space="preserve">5Y0Q400</t>
  </si>
  <si>
    <t xml:space="preserve">Ошибка установки BMU в ходе операции Конец Депозита при автоматическом пересчете (Deposit End for automatic accounting).</t>
  </si>
  <si>
    <t xml:space="preserve">5Y0Q500</t>
  </si>
  <si>
    <t xml:space="preserve">Сейфовая дверь открыта в ходе операции Конец Депозита при автоматическом пересчете (Deposit End for automatic accounting).</t>
  </si>
  <si>
    <t xml:space="preserve">5Y0Q600</t>
  </si>
  <si>
    <t xml:space="preserve">Ошибка открытия CSM в ходе операции Конец Депозита при автоматическом пересчете (Deposit End for automatic accounting).</t>
  </si>
  <si>
    <t xml:space="preserve">5Y0Q700</t>
  </si>
  <si>
    <t xml:space="preserve">Ошибка вынутой Кассеты Отбраковки RJC в ходе операции Конец Депозита при автоматическом пересчете (Deposit End for automatic accounting).</t>
  </si>
  <si>
    <t xml:space="preserve">5Y0Q800</t>
  </si>
  <si>
    <t xml:space="preserve">Ошибка концевого переключателя BMD в ходе операции Конец Депозита при автоматическом пересчете (Deposit End for automatic accounting).</t>
  </si>
  <si>
    <t xml:space="preserve">5Y0Q900</t>
  </si>
  <si>
    <t xml:space="preserve">Ошибка положения BMD в ходе операции Конец Депозита при автоматическом пересчете (Deposit End for automatic accounting).</t>
  </si>
  <si>
    <t xml:space="preserve">5Y0QA00</t>
  </si>
  <si>
    <t xml:space="preserve">Ошибка открытия BC в ходе операции Конец Депозита при автоматическом пересчете (Deposit End for automatic accounting).</t>
  </si>
  <si>
    <t xml:space="preserve">5Y0R100</t>
  </si>
  <si>
    <t xml:space="preserve">BM вернул ошибку таймаута сообщения в ходе готовности к операции Конец Депозита при автоматическом пересчете (Deposit End for automatic accounting).</t>
  </si>
  <si>
    <t xml:space="preserve">5Y0R200</t>
  </si>
  <si>
    <t xml:space="preserve">BM вернул ошибку таймаута сообщения при проведении транзакции в ходе операции Транзакция Конец Депозита при автоматическом пересчете (Deposit End for automatic accounting Transaction).</t>
  </si>
  <si>
    <t xml:space="preserve">5Y0R300</t>
  </si>
  <si>
    <t xml:space="preserve">BM вернул ошибку таймаута сообщения в ходе постпроцессинга ошибки операции  Конец Депозита при автоматическом пересчете (Deposit End for automatic accounting Error).</t>
  </si>
  <si>
    <t xml:space="preserve">5Y10500</t>
  </si>
  <si>
    <t xml:space="preserve">GS105 сообщил об ошибке замятия по Светлому типу в ходе операции Конец Депозита при автоматическом пересчете (Deposit End for automatic accounting).</t>
  </si>
  <si>
    <t xml:space="preserve">5Y11100</t>
  </si>
  <si>
    <t xml:space="preserve">GS101 замятие в области датчика в ходе операции Конец Депозита при автоматическом пересчете (Deposit End for automatic accounting).</t>
  </si>
  <si>
    <t xml:space="preserve">5Y11200</t>
  </si>
  <si>
    <t xml:space="preserve">GS102 замятие в области датчика в ходе операции Конец Депозита при автоматическом пересчете (Deposit End for automatic accounting).</t>
  </si>
  <si>
    <t xml:space="preserve">5Y11500</t>
  </si>
  <si>
    <t xml:space="preserve">GS105 замятие в области датчика в ходе операции Конец Депозита при автоматическом пересчете (Deposit End for automatic accounting).</t>
  </si>
  <si>
    <t xml:space="preserve">5Y12100</t>
  </si>
  <si>
    <t xml:space="preserve">Произошла ошибка оставшихся банкнот в области датчика GS101 в ходе операции Конец Депозита при автоматическом пересчете (Deposit End for automatic accounting).</t>
  </si>
  <si>
    <t xml:space="preserve">5Y12200</t>
  </si>
  <si>
    <t xml:space="preserve">Произошла ошибка оставшихся банкнот в области датчика GS102 в ходе операции Конец Депозита при автоматическом пересчете (Deposit End for automatic accounting).</t>
  </si>
  <si>
    <t xml:space="preserve">5Y12500</t>
  </si>
  <si>
    <t xml:space="preserve">Произошла ошибка оставшихся банкнот в области датчика GS105 в ходе операции Конец Депозита при автоматическом пересчете (Deposit End for automatic accounting).</t>
  </si>
  <si>
    <t xml:space="preserve">5Y15500</t>
  </si>
  <si>
    <t xml:space="preserve">Произошла ошибка Транспортного Тракта по данным датчика GS105 в ходе операции Конец Депозита при автоматическом пересчете (Deposit End for automatic accounting).</t>
  </si>
  <si>
    <t xml:space="preserve">5Y16500</t>
  </si>
  <si>
    <t xml:space="preserve">Произошла ошибка Возвращающего Транспортного Тракта (датчик GS105) в ходе операции Конец Депозита при автоматическом пересчете (Deposit End for automatic accounting).</t>
  </si>
  <si>
    <t xml:space="preserve">5Y17500</t>
  </si>
  <si>
    <t xml:space="preserve">Произошла ошибка порядка следования банкнот в области датчика GS105 в ходе операции Конец Депозита при автоматическом пересчете (Deposit End for automatic accounting).</t>
  </si>
  <si>
    <t xml:space="preserve">5Y1G100</t>
  </si>
  <si>
    <t xml:space="preserve">Не удалось вернуть банкноты в Кассету Рециркуляции RC1 в ходе операции Конец Депозита при автоматическом пересчете (Deposit End for automatic accounting).</t>
  </si>
  <si>
    <t xml:space="preserve">5Y1G200</t>
  </si>
  <si>
    <t xml:space="preserve">Не удалось переместить Прижимную Пластину Кассеты Рециркуляции RC1 в укладывающее положение в ходе операции Конец Депозита при автоматическом пересчете (Deposit End for automatic accounting).</t>
  </si>
  <si>
    <t xml:space="preserve">5Y1G400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</si>
  <si>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Конец Депозита при автоматическом пересчете (Deposit End for automatic accounting).</t>
  </si>
  <si>
    <t xml:space="preserve">5Y1G500</t>
  </si>
  <si>
    <t xml:space="preserve">Сбой обратного хода укладывающего ролика Кассеты Рециркуляции RC1 в ходе операции Конец Депозита при автоматическом пересчете (Deposit End for automatic accounting).(ошибка датчика)</t>
  </si>
  <si>
    <t xml:space="preserve">5Y1G600</t>
  </si>
  <si>
    <t xml:space="preserve">Превышен предел количества попыток перемещений укладывающего ролика Кассеты Рециркуляции RC1 в ходе операции Конец Депозита при автоматическом пересчете (Deposit End for automatic accounting).</t>
  </si>
  <si>
    <t xml:space="preserve">5Y1G800</t>
  </si>
  <si>
    <t xml:space="preserve">Не удалось переместить Прижимную Пластину в прижимающее положение Кассеты Рециркуляции RC1 в ходе операции Конец Депозита при автоматическом пересчете (Deposit End for automatic accounting).</t>
  </si>
  <si>
    <t xml:space="preserve">5Y1GA00</t>
  </si>
  <si>
    <t xml:space="preserve">Ошибка неправильного потока сообщений Кассеты Рециркуляции RC1 в ходе операции Конец Депозита при автоматическом пересчете (Deposit End for automatic accounting).</t>
  </si>
  <si>
    <t xml:space="preserve">5Y1GB00</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</si>
  <si>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</si>
  <si>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5Y1GC00</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</si>
  <si>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</si>
  <si>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5Y1GG00</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</si>
  <si>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</si>
  <si>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5Y1GH00</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</si>
  <si>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</si>
  <si>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5Y1GJ00</t>
  </si>
  <si>
    <t xml:space="preserve">Сбой обратного хода укладывающего ролика Кассеты Рециркуляции RC1 в ходе операции Конец Депозита при автоматическом пересчете (Deposit End for automatic accounting).(Перерасход)</t>
  </si>
  <si>
    <t xml:space="preserve">5Y1GK00</t>
  </si>
  <si>
    <t xml:space="preserve">Сбой обратного хода укладывающего ролика Кассеты Рециркуляции RC1 в ходе операции Конец Депозита при автоматическом пересчете (Deposit End for automatic accounting). (Ошибка состояния двигателя)</t>
  </si>
  <si>
    <t xml:space="preserve">5Y1GL00</t>
  </si>
  <si>
    <t xml:space="preserve">Не удалось переместить подающий ролик Кассеты Рециркуляции RC1 в исходное положение в ходе операции Конец Депозита при автоматическом пересчете (Deposit End for automatic accounting).(Ошибка состояния двигателя)</t>
  </si>
  <si>
    <t xml:space="preserve">5Y1J300</t>
  </si>
  <si>
    <t xml:space="preserve">Ошибка проверки переполнения Кассеты Рециркуляции RC1 в ходе операции Конец Депозита при автоматическом пересчете (Deposit End for automatic accounting).</t>
  </si>
  <si>
    <t xml:space="preserve">5Y1R100</t>
  </si>
  <si>
    <t xml:space="preserve">5Y1R200</t>
  </si>
  <si>
    <t xml:space="preserve">5Y1R300</t>
  </si>
  <si>
    <t xml:space="preserve">Ошибка тайм-аута сообщения Кассеты Рециркуляции RC1 в ходе постпроцессинга ошибки операции  Конец Депозита при автоматическом пересчете (Deposit End for automatic accounting Error).</t>
  </si>
  <si>
    <t xml:space="preserve">5Y1S100</t>
  </si>
  <si>
    <t xml:space="preserve">Возвращено неизвестное значение Кассеты Рециркуляции RC1 в ходе операции Конец Депозита при автоматическом пересчете (Deposit End for automatic accounting).</t>
  </si>
  <si>
    <t xml:space="preserve">5Y1S200</t>
  </si>
  <si>
    <t xml:space="preserve">Неизвестная команда RC1 в ходе операции Конец Депозита при автоматическом пересчете (Deposit End for automatic accounting).</t>
  </si>
  <si>
    <t xml:space="preserve">5Y20500</t>
  </si>
  <si>
    <t xml:space="preserve">GS205 сообщил об ошибке замятия по Светлому типу в ходе операции Конец Депозита при автоматическом пересчете (Deposit End for automatic accounting).</t>
  </si>
  <si>
    <t xml:space="preserve">5Y21100</t>
  </si>
  <si>
    <t xml:space="preserve">GS201 замятие в области датчика в ходе операции Конец Депозита при автоматическом пересчете (Deposit End for automatic accounting).</t>
  </si>
  <si>
    <t xml:space="preserve">5Y21200</t>
  </si>
  <si>
    <t xml:space="preserve">GS202 замятие в области датчика в ходе операции Конец Депозита при автоматическом пересчете (Deposit End for automatic accounting).</t>
  </si>
  <si>
    <t xml:space="preserve">5Y21500</t>
  </si>
  <si>
    <t xml:space="preserve">GS205 замятие в области датчика в ходе операции Конец Депозита при автоматическом пересчете (Deposit End for automatic accounting).</t>
  </si>
  <si>
    <t xml:space="preserve">5Y22100</t>
  </si>
  <si>
    <t xml:space="preserve">Произошла ошибка оставшихся банкнот в области датчика GS201 в ходе операции Конец Депозита при автоматическом пересчете (Deposit End for automatic accounting).</t>
  </si>
  <si>
    <t xml:space="preserve">5Y22200</t>
  </si>
  <si>
    <t xml:space="preserve">Произошла ошибка оставшихся банкнот в области датчика GS202 в ходе операции Конец Депозита при автоматическом пересчете (Deposit End for automatic accounting).</t>
  </si>
  <si>
    <t xml:space="preserve">5Y22500</t>
  </si>
  <si>
    <t xml:space="preserve">Произошла ошибка оставшихся банкнот в области датчика GS205 в ходе операции Конец Депозита при автоматическом пересчете (Deposit End for automatic accounting).</t>
  </si>
  <si>
    <t xml:space="preserve">5Y25500</t>
  </si>
  <si>
    <t xml:space="preserve">Произошла ошибка Транспортного Тракта по данным датчика GS205 в ходе операции Конец Депозита при автоматическом пересчете (Deposit End for automatic accounting).</t>
  </si>
  <si>
    <t xml:space="preserve">5Y26500</t>
  </si>
  <si>
    <t xml:space="preserve">Произошла ошибка Возвращающего Транспортного Тракта (датчик GS205) в ходе операции Конец Депозита при автоматическом пересчете (Deposit End for automatic accounting).</t>
  </si>
  <si>
    <t xml:space="preserve">5Y27500</t>
  </si>
  <si>
    <t xml:space="preserve">Произошла ошибка порядка следования банкнот в области датчика GS205 в ходе операции Конец Депозита при автоматическом пересчете (Deposit End for automatic accounting).</t>
  </si>
  <si>
    <t xml:space="preserve">5Y2G100</t>
  </si>
  <si>
    <t xml:space="preserve">Не удалось вернуть банкноты в Кассету Рециркуляции RC2 в ходе операции Конец Депозита при автоматическом пересчете (Deposit End for automatic accounting).</t>
  </si>
  <si>
    <t xml:space="preserve">5Y2G200</t>
  </si>
  <si>
    <t xml:space="preserve">5Y2G400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</si>
  <si>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Конец Депозита при автоматическом пересчете (Deposit End for automatic accounting).</t>
  </si>
  <si>
    <t xml:space="preserve">5Y2G500</t>
  </si>
  <si>
    <t xml:space="preserve">Сбой обратного хода укладывающего ролика Кассеты Рециркуляции RC2 в ходе операции Конец Депозита при автоматическом пересчете (Deposit End for automatic accounting).(ошибка датчика)</t>
  </si>
  <si>
    <t xml:space="preserve">5Y2G600</t>
  </si>
  <si>
    <t xml:space="preserve">Превышен предел количества попыток перемещений укладывающего ролика Кассеты Рециркуляции RC2 в ходе операции Конец Депозита при автоматическом пересчете (Deposit End for automatic accounting).</t>
  </si>
  <si>
    <t xml:space="preserve">5Y2G800</t>
  </si>
  <si>
    <t xml:space="preserve">Не удалось переместить Прижимную Пластину в прижимающее положение Кассеты Рециркуляции RC2 в ходе операции Конец Депозита при автоматическом пересчете (Deposit End for automatic accounting).</t>
  </si>
  <si>
    <t xml:space="preserve">5Y2GA00</t>
  </si>
  <si>
    <t xml:space="preserve">Ошибка неправильного потока сообщений Кассеты Рециркуляции RC2 в ходе операции Конец Депозита при автоматическом пересчете (Deposit End for automatic accounting).</t>
  </si>
  <si>
    <t xml:space="preserve">5Y2GB00</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</si>
  <si>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</si>
  <si>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5Y2GC00</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</si>
  <si>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</si>
  <si>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5Y2GG00</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</si>
  <si>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</si>
  <si>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5Y2GH00</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</si>
  <si>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</si>
  <si>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5Y2GJ00</t>
  </si>
  <si>
    <t xml:space="preserve">Сбой обратного хода укладывающего ролика Кассеты Рециркуляции RC2 в ходе операции Конец Депозита при автоматическом пересчете (Deposit End for automatic accounting).(Перерасход)</t>
  </si>
  <si>
    <t xml:space="preserve">5Y2GK00</t>
  </si>
  <si>
    <t xml:space="preserve">Сбой обратного хода укладывающего ролика Кассеты Рециркуляции RC2 в ходе операции Конец Депозита при автоматическом пересчете (Deposit End for automatic accounting). (Ошибка состояния двигателя)</t>
  </si>
  <si>
    <t xml:space="preserve">5Y2GL00</t>
  </si>
  <si>
    <t xml:space="preserve">Не удалось переместить подающий ролик Кассеты Рециркуляции RC2 в исходное положение в ходе операции Конец Депозита при автоматическом пересчете (Deposit End for automatic accounting).(Ошибка состояния двигателя)</t>
  </si>
  <si>
    <t xml:space="preserve">5Y2J300</t>
  </si>
  <si>
    <t xml:space="preserve">Ошибка проверки переполнения Кассеты Рециркуляции RC2 в ходе операции Конец Депозита при автоматическом пересчете (Deposit End for automatic accounting).</t>
  </si>
  <si>
    <t xml:space="preserve">5Y2R100</t>
  </si>
  <si>
    <t xml:space="preserve">Ошибка тайм-аута сообщения Кассеты Рециркуляции RC2 в ходе готовности к операции Конец Депозита при автоматическом пересчете (Deposit End for automatic accounting).</t>
  </si>
  <si>
    <t xml:space="preserve">5Y2R200</t>
  </si>
  <si>
    <t xml:space="preserve">Ошибка тайм-аута сообщения Кассеты Рециркуляции RC2 при проведении транзакции в ходе операции Транзакция Конец Депозита при автоматическом пересчете (Deposit End for automatic accounting Transaction).</t>
  </si>
  <si>
    <t xml:space="preserve">5Y2R300</t>
  </si>
  <si>
    <t xml:space="preserve">Ошибка тайм-аута сообщения Кассеты Рециркуляции RC2 в ходе постпроцессинга ошибки операции  Конец Депозита при автоматическом пересчете (Deposit End for automatic accounting Error).</t>
  </si>
  <si>
    <t xml:space="preserve">5Y2S100</t>
  </si>
  <si>
    <t xml:space="preserve">Возвращено неизвестное значение Кассеты Рециркуляции RC2 в ходе операции Конец Депозита при автоматическом пересчете (Deposit End for automatic accounting).</t>
  </si>
  <si>
    <t xml:space="preserve">5Y2S200</t>
  </si>
  <si>
    <t xml:space="preserve">Неизвестная команда RC2 в ходе операции Конец Депозита при автоматическом пересчете (Deposit End for automatic accounting).</t>
  </si>
  <si>
    <t xml:space="preserve">5Y30500</t>
  </si>
  <si>
    <t xml:space="preserve">GS305 сообщил об ошибке замятия по Светлому типу в ходе операции Конец Депозита при автоматическом пересчете (Deposit End for automatic accounting).</t>
  </si>
  <si>
    <t xml:space="preserve">5Y31100</t>
  </si>
  <si>
    <t xml:space="preserve">GS301 замятие в области датчика в ходе операции Конец Депозита при автоматическом пересчете (Deposit End for automatic accounting).</t>
  </si>
  <si>
    <t xml:space="preserve">5Y31200</t>
  </si>
  <si>
    <t xml:space="preserve">GS302 замятие в области датчика в ходе операции Конец Депозита при автоматическом пересчете (Deposit End for automatic accounting).</t>
  </si>
  <si>
    <t xml:space="preserve">5Y31500</t>
  </si>
  <si>
    <t xml:space="preserve">GS305 замятие в области датчика в ходе операции Конец Депозита при автоматическом пересчете (Deposit End for automatic accounting).</t>
  </si>
  <si>
    <t xml:space="preserve">5Y32100</t>
  </si>
  <si>
    <t xml:space="preserve">Произошла ошибка оставшихся банкнот в области датчика GS301 в ходе операции Конец Депозита при автоматическом пересчете (Deposit End for automatic accounting).</t>
  </si>
  <si>
    <t xml:space="preserve">5Y32200</t>
  </si>
  <si>
    <t xml:space="preserve">Произошла ошибка оставшихся банкнот в области датчика GS302 в ходе операции Конец Депозита при автоматическом пересчете (Deposit End for automatic accounting).</t>
  </si>
  <si>
    <t xml:space="preserve">5Y32500</t>
  </si>
  <si>
    <t xml:space="preserve">Произошла ошибка оставшихся банкнот в области датчика GS305 в ходе операции Конец Депозита при автоматическом пересчете (Deposit End for automatic accounting).</t>
  </si>
  <si>
    <t xml:space="preserve">5Y35500</t>
  </si>
  <si>
    <t xml:space="preserve">Произошла ошибка Транспортного Тракта по данным датчика GS305 в ходе операции Конец Депозита при автоматическом пересчете (Deposit End for automatic accounting).</t>
  </si>
  <si>
    <t xml:space="preserve">5Y36500</t>
  </si>
  <si>
    <t xml:space="preserve">Произошла ошибка Возвращающего Транспортного Тракта (датчик GS305) в ходе операции Конец Депозита при автоматическом пересчете (Deposit End for automatic accounting).</t>
  </si>
  <si>
    <t xml:space="preserve">5Y37500</t>
  </si>
  <si>
    <t xml:space="preserve">Произошла ошибка порядка следования банкнот в области датчика GS305 в ходе операции Конец Депозита при автоматическом пересчете (Deposit End for automatic accounting).</t>
  </si>
  <si>
    <t xml:space="preserve">5Y3G100</t>
  </si>
  <si>
    <t xml:space="preserve">Не удалось вернуть банкноты в ходе операции RC3 Конец Депозита при автоматическом пересчете (Deposit End for automatic accounting).</t>
  </si>
  <si>
    <t xml:space="preserve">5Y3G200</t>
  </si>
  <si>
    <t xml:space="preserve">Не удалось переместить Прижимную Пластину Кассеты Рециркуляции RC3 в укладывающее положение в ходе операции Конец Депозита при автоматическом пересчете (Deposit End for automatic accounting).</t>
  </si>
  <si>
    <t xml:space="preserve">5Y3G400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</si>
  <si>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Конец Депозита при автоматическом пересчете (Deposit End for automatic accounting).</t>
  </si>
  <si>
    <t xml:space="preserve">5Y3G500</t>
  </si>
  <si>
    <t xml:space="preserve">Сбой обратного хода укладывающего ролика Кассеты Рециркуляции RC3 в ходе операции Конец Депозита при автоматическом пересчете (Deposit End for automatic accounting).(ошибка датчика)</t>
  </si>
  <si>
    <t xml:space="preserve">5Y3G600</t>
  </si>
  <si>
    <t xml:space="preserve">Превышен предел количества попыток перемещений укладывающего ролика Кассеты Рециркуляции RC3 в ходе операции Конец Депозита при автоматическом пересчете (Deposit End for automatic accounting).</t>
  </si>
  <si>
    <t xml:space="preserve">5Y3G800</t>
  </si>
  <si>
    <t xml:space="preserve">Не удалось переместить Прижимную Пластину в прижимающее положение Кассеты Рециркуляции RC3 в ходе операции Конец Депозита при автоматическом пересчете (Deposit End for automatic accounting).</t>
  </si>
  <si>
    <t xml:space="preserve">5Y3GA00</t>
  </si>
  <si>
    <t xml:space="preserve">Ошибка неправильного потока сообщений Кассеты Рециркуляции RC3 в ходе операции Конец Депозита при автоматическом пересчете (Deposit End for automatic accounting).</t>
  </si>
  <si>
    <t xml:space="preserve">5Y3GB00</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</si>
  <si>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</si>
  <si>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5Y3GC00</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</si>
  <si>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</si>
  <si>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5Y3GG00</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</si>
  <si>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</si>
  <si>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5Y3GH00</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</si>
  <si>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</si>
  <si>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5Y3GJ00</t>
  </si>
  <si>
    <t xml:space="preserve">Сбой обратного хода укладывающего ролика Кассеты Рециркуляции RC3 в ходе операции Конец Депозита при автоматическом пересчете (Deposit End for automatic accounting).(Перерасход)</t>
  </si>
  <si>
    <t xml:space="preserve">5Y3GK00</t>
  </si>
  <si>
    <t xml:space="preserve">Сбой обратного хода укладывающего ролика Кассеты Рециркуляции RC3 в ходе операции Конец Депозита при автоматическом пересчете (Deposit End for automatic accounting). (Ошибка состояния двигателя)</t>
  </si>
  <si>
    <t xml:space="preserve">5Y3GL00</t>
  </si>
  <si>
    <t xml:space="preserve">Не удалось переместить подающий ролик Кассеты Рециркуляции RC3 в исходное положение в ходе операции Конец Депозита при автоматическом пересчете (Deposit End for automatic accounting).(Ошибка состояния двигателя)</t>
  </si>
  <si>
    <t xml:space="preserve">5Y3J300</t>
  </si>
  <si>
    <t xml:space="preserve">Ошибка проверки переполнения Кассеты Рециркуляции RC3 в ходе операции Конец Депозита при автоматическом пересчете (Deposit End for automatic accounting).</t>
  </si>
  <si>
    <t xml:space="preserve">5Y3R100</t>
  </si>
  <si>
    <t xml:space="preserve">Ошибка тайм-аута сообщения Кассеты Рециркуляции RC3 в ходе готовности к операции Конец Депозита при автоматическом пересчете (Deposit End for automatic accounting).</t>
  </si>
  <si>
    <t xml:space="preserve">5Y3R200</t>
  </si>
  <si>
    <t xml:space="preserve">Ошибка тайм-аута сообщения Кассеты Рециркуляции RC3 при проведении транзакции в ходе операции Конец Депозита при автоматическом пересчете (Deposit End for automatic accounting).</t>
  </si>
  <si>
    <t xml:space="preserve">5Y3R300</t>
  </si>
  <si>
    <t xml:space="preserve">Ошибка тайм-аута сообщения Кассеты Рециркуляции RC3 в ходе постпроцессинга ошибки операции  Конец Депозита при автоматическом пересчете (Deposit End for automatic accounting Error).</t>
  </si>
  <si>
    <t xml:space="preserve">5Y3S100</t>
  </si>
  <si>
    <t xml:space="preserve">Возвращено неизвестное значение Кассеты Рециркуляции RC3 в ходе операции Конец Депозита при автоматическом пересчете (Deposit End for automatic accounting).</t>
  </si>
  <si>
    <t xml:space="preserve">5Y3S200</t>
  </si>
  <si>
    <t xml:space="preserve">Неизвестная команда RC3 в ходе операции Конец Депозита при автоматическом пересчете (Deposit End for automatic accounting).</t>
  </si>
  <si>
    <t xml:space="preserve">5Y40500</t>
  </si>
  <si>
    <t xml:space="preserve">GS405 сообщил об ошибке замятия по Светлому типу в ходе операции Конец Депозита при автоматическом пересчете (Deposit End for automatic accounting).</t>
  </si>
  <si>
    <t xml:space="preserve">5Y41100</t>
  </si>
  <si>
    <t xml:space="preserve">GS401 замятие в области датчика в ходе операции Конец Депозита при автоматическом пересчете (Deposit End for automatic accounting).</t>
  </si>
  <si>
    <t xml:space="preserve">5Y41200</t>
  </si>
  <si>
    <t xml:space="preserve">GS402 замятие в области датчика в ходе операции Конец Депозита при автоматическом пересчете (Deposit End for automatic accounting).</t>
  </si>
  <si>
    <t xml:space="preserve">5Y41500</t>
  </si>
  <si>
    <t xml:space="preserve">GS405 замятие в области датчика в ходе операции Конец Депозита при автоматическом пересчете (Deposit End for automatic accounting).</t>
  </si>
  <si>
    <t xml:space="preserve">5Y42100</t>
  </si>
  <si>
    <t xml:space="preserve">Произошла ошибка оставшихся банкнот в области датчика GS401 в ходе операции Конец Депозита при автоматическом пересчете (Deposit End for automatic accounting).</t>
  </si>
  <si>
    <t xml:space="preserve">5Y42200</t>
  </si>
  <si>
    <t xml:space="preserve">Произошла ошибка оставшихся банкнот в области датчика GS402 в ходе операции Конец Депозита при автоматическом пересчете (Deposit End for automatic accounting).</t>
  </si>
  <si>
    <t xml:space="preserve">5Y42500</t>
  </si>
  <si>
    <t xml:space="preserve">Произошла ошибка оставшихся банкнот в области датчика GS405 в ходе операции Конец Депозита при автоматическом пересчете (Deposit End for automatic accounting).</t>
  </si>
  <si>
    <t xml:space="preserve">5Y45500</t>
  </si>
  <si>
    <t xml:space="preserve">Произошла ошибка Транспортного Тракта по данным датчика GS405 в ходе операции Конец Депозита при автоматическом пересчете (Deposit End for automatic accounting).</t>
  </si>
  <si>
    <t xml:space="preserve">5Y46500</t>
  </si>
  <si>
    <t xml:space="preserve">Произошла ошибка Возвращающего Транспортного Тракта (датчик GS405 в ходе операции Конец Депозита при автоматическом пересчете (Deposit End for automatic accounting).</t>
  </si>
  <si>
    <t xml:space="preserve">5Y47500</t>
  </si>
  <si>
    <t xml:space="preserve">Произошла ошибка порядка следования банкнот в области датчика GS405 в ходе операции Конец Депозита при автоматическом пересчете (Deposit End for automatic accounting).</t>
  </si>
  <si>
    <t xml:space="preserve">5Y4G100</t>
  </si>
  <si>
    <t xml:space="preserve">Не удалось вернуть банкноты в Кассету Рециркуляции RC4 в ходе операции Конец Депозита при автоматическом пересчете (Deposit End for automatic accounting).</t>
  </si>
  <si>
    <t xml:space="preserve">5Y4G200</t>
  </si>
  <si>
    <t xml:space="preserve">Не удалось переместить Прижимную Пластину Кассеты Рециркуляции RC4 в укладывающее положение в ходе операции Конец Депозита при автоматическом пересчете (Deposit End for automatic accounting).</t>
  </si>
  <si>
    <t xml:space="preserve">5Y4G400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</si>
  <si>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Конец Депозита при автоматическом пересчете (Deposit End for automatic accounting).</t>
  </si>
  <si>
    <t xml:space="preserve">5Y4G500</t>
  </si>
  <si>
    <t xml:space="preserve">Сбой обратного хода укладывающего ролика Кассеты Рециркуляции RC4 в ходе операции Конец Депозита при автоматическом пересчете (Deposit End for automatic accounting).(ошибка датчика)</t>
  </si>
  <si>
    <t xml:space="preserve">5Y4G600</t>
  </si>
  <si>
    <t xml:space="preserve">Превышен предел количества попыток перемещений укладывающего ролика Кассеты Рециркуляции RC4 в ходе операции Конец Депозита при автоматическом пересчете (Deposit End for automatic accounting).</t>
  </si>
  <si>
    <t xml:space="preserve">5Y4G800</t>
  </si>
  <si>
    <t xml:space="preserve">Не удалось переместить Прижимную Пластину в прижимающее положение Кассеты Рециркуляции RC4 в ходе операции Конец Депозита при автоматическом пересчете (Deposit End for automatic accounting).</t>
  </si>
  <si>
    <t xml:space="preserve">5Y4GA00</t>
  </si>
  <si>
    <t xml:space="preserve">Ошибка неправильного потока сообщений Кассеты Рециркуляции RC4 в ходе операции Конец Депозита при автоматическом пересчете (Deposit End for automatic accounting).</t>
  </si>
  <si>
    <t xml:space="preserve">5Y4GB00</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</si>
  <si>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</si>
  <si>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5Y4GC00</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</si>
  <si>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</si>
  <si>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5Y4GG00</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</si>
  <si>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</si>
  <si>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5Y4GH00</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</si>
  <si>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</si>
  <si>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5Y4GJ00</t>
  </si>
  <si>
    <t xml:space="preserve">Сбой обратного хода укладывающего ролика Кассеты Рециркуляции RC4 в ходе операции Конец Депозита при автоматическом пересчете (Deposit End for automatic accounting).(Перерасход)</t>
  </si>
  <si>
    <t xml:space="preserve">5Y4GK00</t>
  </si>
  <si>
    <t xml:space="preserve">Сбой обратного хода укладывающего ролика Кассеты Рециркуляции RC4 в ходе операции Конец Депозита при автоматическом пересчете (Deposit End for automatic accounting). (Ошибка состояния двигателя)</t>
  </si>
  <si>
    <t xml:space="preserve">5Y4GL00</t>
  </si>
  <si>
    <t xml:space="preserve">Не удалось переместить подающий ролик Кассеты Рециркуляции RC4 в исходное положение в ходе операции Конец Депозита при автоматическом пересчете (Deposit End for automatic accounting).(Ошибка состояния двигателя)</t>
  </si>
  <si>
    <t xml:space="preserve">5Y4J300</t>
  </si>
  <si>
    <t xml:space="preserve">Ошибка проверки переполнения Кассеты Рециркуляции RC4 в ходе операции Конец Депозита при автоматическом пересчете (Deposit End for automatic accounting).</t>
  </si>
  <si>
    <t xml:space="preserve">5Y4R100</t>
  </si>
  <si>
    <t xml:space="preserve">5Y4R200</t>
  </si>
  <si>
    <t xml:space="preserve">5Y4R300</t>
  </si>
  <si>
    <t xml:space="preserve">Ошибка тайм-аута сообщения Кассеты Рециркуляции RC4 при обработке ошибки в ходе операции Конец Депозита при автоматическом пересчете (Deposit End for automatic accounting).</t>
  </si>
  <si>
    <t xml:space="preserve">5Y4S100</t>
  </si>
  <si>
    <t xml:space="preserve">Возвращено неизвестное значение Кассеты Рециркуляции RC4 в ходе операции Конец Депозита при автоматическом пересчете (Deposit End for automatic accounting).</t>
  </si>
  <si>
    <t xml:space="preserve">5Y4S200</t>
  </si>
  <si>
    <t xml:space="preserve">Неизвестная команда RC4 в ходе операции Конец Депозита при автоматическом пересчете (Deposit End for automatic accounting).</t>
  </si>
  <si>
    <t xml:space="preserve">5Y50500</t>
  </si>
  <si>
    <t xml:space="preserve">GS505 сообщил об ошибке замятия по Светлому типу в ходе операции Конец Депозита при автоматическом пересчете (Deposit End for automatic accounting).</t>
  </si>
  <si>
    <t xml:space="preserve">5Y51100</t>
  </si>
  <si>
    <t xml:space="preserve">GS501 замятие в области датчика в ходе операции Конец Депозита при автоматическом пересчете (Deposit End for automatic accounting).</t>
  </si>
  <si>
    <t xml:space="preserve">5Y51200</t>
  </si>
  <si>
    <t xml:space="preserve">GS502 замятие в области датчика в ходе операции Конец Депозита при автоматическом пересчете (Deposit End for automatic accounting).</t>
  </si>
  <si>
    <t xml:space="preserve">5Y51500</t>
  </si>
  <si>
    <t xml:space="preserve">GS505 замятие в области датчика в ходе операции Конец Депозита при автоматическом пересчете (Deposit End for automatic accounting).</t>
  </si>
  <si>
    <t xml:space="preserve">5Y52100</t>
  </si>
  <si>
    <t xml:space="preserve">Произошла ошибка оставшихся банкнот в области датчика GS501 в ходе операции Конец Депозита при автоматическом пересчете (Deposit End for automatic accounting).</t>
  </si>
  <si>
    <t xml:space="preserve">5Y52200</t>
  </si>
  <si>
    <t xml:space="preserve">Произошла ошибка оставшихся банкнот в области датчика GS502 в ходе операции Конец Депозита при автоматическом пересчете (Deposit End for automatic accounting).</t>
  </si>
  <si>
    <t xml:space="preserve">5Y52500</t>
  </si>
  <si>
    <t xml:space="preserve">Произошла ошибка оставшихся банкнот в области датчика GS505 в ходе операции Конец Депозита при автоматическом пересчете (Deposit End for automatic accounting).</t>
  </si>
  <si>
    <t xml:space="preserve">5Y55500</t>
  </si>
  <si>
    <t xml:space="preserve">Произошла ошибка Транспортного Тракта по данным датчика GS505 в ходе операции Конец Депозита при автоматическом пересчете (Deposit End for automatic accounting).</t>
  </si>
  <si>
    <t xml:space="preserve">5Y56500</t>
  </si>
  <si>
    <t xml:space="preserve">Произошла ошибка Возвращающего Транспортного Тракта (датчик GS505) в ходе операции Конец Депозита при автоматическом пересчете (Deposit End for automatic accounting).</t>
  </si>
  <si>
    <t xml:space="preserve">5Y57500</t>
  </si>
  <si>
    <t xml:space="preserve">Произошла ошибка порядка следования банкнот в области датчика GS505 в ходе операции Конец Депозита при автоматическом пересчете (Deposit End for automatic accounting).</t>
  </si>
  <si>
    <t xml:space="preserve">5Y5G100</t>
  </si>
  <si>
    <t xml:space="preserve">Не удалось вернуть банкноты в Кассету Рециркуляции RC5 в ходе операции Конец Депозита при автоматическом пересчете (Deposit End for automatic accounting).</t>
  </si>
  <si>
    <t xml:space="preserve">5Y5G200</t>
  </si>
  <si>
    <t xml:space="preserve">Не удалось переместить Прижимную Пластину Кассеты Рециркуляции RC5 в укладывающее положение в ходе операции Конец Депозита при автоматическом пересчете (Deposit End for automatic accounting).</t>
  </si>
  <si>
    <t xml:space="preserve">5Y5G400</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</si>
  <si>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Конец Депозита при автоматическом пересчете (Deposit End for automatic accounting).</t>
  </si>
  <si>
    <t xml:space="preserve">5Y5G500</t>
  </si>
  <si>
    <t xml:space="preserve">Сбой обратного хода укладывающего ролика Кассеты Рециркуляции RC5 в ходе операции Конец Депозита при автоматическом пересчете (Deposit End for automatic accounting).(ошибка датчика)</t>
  </si>
  <si>
    <t xml:space="preserve">5Y5G600</t>
  </si>
  <si>
    <t xml:space="preserve">Превышен предел количества попыток перемещений укладывающего ролика Кассеты Рециркуляции RC5 в ходе операции Конец Депозита при автоматическом пересчете (Deposit End for automatic accounting).</t>
  </si>
  <si>
    <t xml:space="preserve">5Y5G800</t>
  </si>
  <si>
    <t xml:space="preserve">Не удалось переместить Прижимную Пластину в прижимающее положение Кассеты Рециркуляции RC5 в ходе операции Конец Депозита при автоматическом пересчете (Deposit End for automatic accounting).</t>
  </si>
  <si>
    <t xml:space="preserve">5Y5GA00</t>
  </si>
  <si>
    <t xml:space="preserve">Ошибка неправильного потока сообщений Кассеты Рециркуляции RC5 в ходе операции Конец Депозита при автоматическом пересчете (Deposit End for automatic accounting).</t>
  </si>
  <si>
    <t xml:space="preserve">5Y5GB00</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</si>
  <si>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</si>
  <si>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5Y5GC00</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</si>
  <si>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</si>
  <si>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5Y5GG00</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</si>
  <si>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</si>
  <si>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5Y5GH00</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</si>
  <si>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</si>
  <si>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5Y5GJ00</t>
  </si>
  <si>
    <t xml:space="preserve">Сбой обратного хода укладывающего ролика Кассеты Рециркуляции RC5 в ходе операции Конец Депозита при автоматическом пересчете (Deposit End for automatic accounting).(Перерасход)</t>
  </si>
  <si>
    <t xml:space="preserve">5Y5GK00</t>
  </si>
  <si>
    <t xml:space="preserve">Сбой обратного хода укладывающего ролика Кассеты Рециркуляции RC5 в ходе операции Конец Депозита при автоматическом пересчете (Deposit End for automatic accounting). (Ошибка состояния двигателя)</t>
  </si>
  <si>
    <t xml:space="preserve">5Y5GL00</t>
  </si>
  <si>
    <t xml:space="preserve">Не удалось переместить подающий ролик Кассеты Рециркуляции RC5 в исходное положение в ходе операции Конец Депозита при автоматическом пересчете (Deposit End for automatic accounting).(Ошибка состояния двигателя)</t>
  </si>
  <si>
    <t xml:space="preserve">5Y5J300</t>
  </si>
  <si>
    <t xml:space="preserve">Ошибка проверки переполнения Кассеты Рециркуляции RC5 в ходе операции Конец Депозита при автоматическом пересчете (Deposit End for automatic accounting).</t>
  </si>
  <si>
    <t xml:space="preserve">5Y5R100</t>
  </si>
  <si>
    <t xml:space="preserve">Ошибка тайм-аута сообщения Кассеты Рециркуляции RC5 в ходе готовности к операции Конец Депозита при автоматическом пересчете (Deposit End for automatic accounting).</t>
  </si>
  <si>
    <t xml:space="preserve">5Y5R200</t>
  </si>
  <si>
    <t xml:space="preserve">Ошибка тайм-аута сообщения Кассеты Рециркуляции RC5 при проведении транзакции в ходе операции Транзакция Конец Депозита при автоматическом пересчете (Deposit End for automatic accounting).</t>
  </si>
  <si>
    <t xml:space="preserve">5Y5R300</t>
  </si>
  <si>
    <t xml:space="preserve">Ошибка тайм-аута сообщения Кассеты Рециркуляции RC5 в ходе постпроцессинга ошибки операции  Конец Депозита при автоматическом пересчете (Deposit End for automatic accounting Error).</t>
  </si>
  <si>
    <t xml:space="preserve">5Y5S100</t>
  </si>
  <si>
    <t xml:space="preserve">Неопределенные возвратные значения Кассеты Рециркуляции RC5 в ходе операции Конец Депозита при автоматическом пересчете (Deposit End for automatic accounting).</t>
  </si>
  <si>
    <t xml:space="preserve">5Y5S200</t>
  </si>
  <si>
    <t xml:space="preserve">Неизвестная команда RC5 в ходе операции Конец Депозита при автоматическом пересчете (Deposit End for automatic accounting).</t>
  </si>
  <si>
    <t xml:space="preserve">5Y6R100</t>
  </si>
  <si>
    <t xml:space="preserve">Модуль обслуживания клиентов CSM вернул ошибку таймаута сообщения в ходе готовности к операции Конец Депозита при автоматическом пересчете (Deposit End for automatic accounting).</t>
  </si>
  <si>
    <t xml:space="preserve">5Y6R200</t>
  </si>
  <si>
    <t xml:space="preserve">Модуль обслуживания клиентов CSM вернул ошибку таймаута сообщения при проведении транзакции в ходе операции Транзакция Конец Депозита при автоматическом пересчете (Deposit End for automatic accounting Transaction).</t>
  </si>
  <si>
    <t xml:space="preserve">5Y6R300</t>
  </si>
  <si>
    <t xml:space="preserve">Модуль обслуживания клиентов CSM вернул ошибку таймаута сообщения в ходе постпроцессинга ошибки операции  Конец Депозита при автоматическом пересчете (Deposit End for automatic accounting Error).</t>
  </si>
  <si>
    <t xml:space="preserve">5Y71300</t>
  </si>
  <si>
    <t xml:space="preserve">GS703 замятие в области датчика по Темному типу в ходе операции Конец Депозита при автоматическом пересчете (Deposit End for automatic accounting).</t>
  </si>
  <si>
    <t xml:space="preserve">5Y72100</t>
  </si>
  <si>
    <t xml:space="preserve">Произошла ошибка оставшихся банкнот в области датчика GS701 в ходе операции Конец Депозита при автоматическом пересчете (Deposit End for automatic accounting).</t>
  </si>
  <si>
    <t xml:space="preserve">5Y72200</t>
  </si>
  <si>
    <t xml:space="preserve">Произошла ошибка оставшихся банкнот в области датчика GS702 в ходе операции Конец Депозита при автоматическом пересчете (Deposit End for automatic accounting).</t>
  </si>
  <si>
    <t xml:space="preserve">5Y72300</t>
  </si>
  <si>
    <t xml:space="preserve">5Y72800</t>
  </si>
  <si>
    <t xml:space="preserve">Произошла ошибка оставшихся банкнот в области датчика GS709 в ходе операции Конец Депозита при автоматическом пересчете (Deposit End for automatic accounting).</t>
  </si>
  <si>
    <t xml:space="preserve">5Y7G100</t>
  </si>
  <si>
    <t xml:space="preserve">Нарушение работы двигателя в сторону укладки в ходе операции Конец Депозита при автоматическом пересчете (Deposit End for automatic accounting).</t>
  </si>
  <si>
    <t xml:space="preserve">5Y7G200</t>
  </si>
  <si>
    <t xml:space="preserve">Нарушение работы двигателя в сторону разделения в ходе операции в ходе операции Конец Депозита при автоматическом пересчете (Deposit End for automatic accounting).</t>
  </si>
  <si>
    <t xml:space="preserve">5Y7G300</t>
  </si>
  <si>
    <t xml:space="preserve">Нарушение остановки двигателя в ходе операции Конец Депозита при автоматическом пересчете (Deposit End for automatic accounting).</t>
  </si>
  <si>
    <t xml:space="preserve">5Y7G400</t>
  </si>
  <si>
    <t xml:space="preserve">Не обнаружен передний конец ленты в ходе операции Конец Депозита при автоматическом пересчете (Deposit End for automatic accounting).</t>
  </si>
  <si>
    <t xml:space="preserve">5Y7G500</t>
  </si>
  <si>
    <t xml:space="preserve">Обнаружен передний конец ленты в ходе операции Конец Депозита при автоматическом пересчете (Deposit End for automatic accounting).</t>
  </si>
  <si>
    <t xml:space="preserve">5Y7G600</t>
  </si>
  <si>
    <t xml:space="preserve">Не обнаружен задний конец ленты в ходе операции Конец Депозита при автоматическом пересчете (Deposit End for automatic accounting).</t>
  </si>
  <si>
    <t xml:space="preserve">5Y7G700</t>
  </si>
  <si>
    <t xml:space="preserve">Обнаружен задний конец ленты в ходе операции Конец Депозита при автоматическом пересчете (Deposit End for automatic accounting).</t>
  </si>
  <si>
    <t xml:space="preserve">5Y7J100</t>
  </si>
  <si>
    <t xml:space="preserve">Полный барабан TE в ходе операции Конец Депозита при автоматическом пересчете (Deposit End for automatic accounting).</t>
  </si>
  <si>
    <t xml:space="preserve">5Y7J200</t>
  </si>
  <si>
    <t xml:space="preserve">Пустой барабан TE в ходе операции Конец Депозита при автоматическом пересчете (Deposit End for automatic accounting).</t>
  </si>
  <si>
    <t xml:space="preserve">5Y7J300</t>
  </si>
  <si>
    <t xml:space="preserve">Штатная операция Конец Приема (Receipt End) невозможна в ходе операции Конец Депозита при автоматическом пересчете (Deposit End for automatic accounting).</t>
  </si>
  <si>
    <t xml:space="preserve">5Y7R100</t>
  </si>
  <si>
    <t xml:space="preserve">Модуль временного хранения_TE вернул ошибку таймаута сообщения в ходе готовности к операции Конец Депозита при автоматическом пересчете (Deposit End for automatic accounting).</t>
  </si>
  <si>
    <t xml:space="preserve">5Y7R200</t>
  </si>
  <si>
    <t xml:space="preserve">Модуль временного хранения_TE вернул ошибку таймаута сообщения при проведении транзакции в ходе операции Транзакция Конец Депозита при автоматическом пересчете (Deposit End for automatic accounting).</t>
  </si>
  <si>
    <t xml:space="preserve">5Y7R300</t>
  </si>
  <si>
    <t xml:space="preserve">Модуль временного хранения_TE вернул ошибку таймаута сообщения в ходе постпроцессинга ошибки операции  Конец Депозита при автоматическом пересчете (Deposit End for automatic accounting Error).</t>
  </si>
  <si>
    <t xml:space="preserve">5Y8HA01</t>
  </si>
  <si>
    <t xml:space="preserve">Ошибка датчика GS801A в ходе операции Конец Депозита при автоматическом пересчете (Deposit End for automatic accounting).</t>
  </si>
  <si>
    <t xml:space="preserve">5Y8HA02</t>
  </si>
  <si>
    <t xml:space="preserve">Ошибка датчика GS801B в ходе операции Конец Депозита при автоматическом пересчете (Deposit End for automatic accounting).</t>
  </si>
  <si>
    <t xml:space="preserve">5Y8HA03</t>
  </si>
  <si>
    <t xml:space="preserve">Ошибка датчиков GS801A, GS801B в ходе операции Конец Депозита при автоматическом пересчете (Deposit End for automatic accounting).</t>
  </si>
  <si>
    <t xml:space="preserve">5Y8HA04</t>
  </si>
  <si>
    <t xml:space="preserve">Ошибка датчика GS802A в ходе операции Конец Депозита при автоматическом пересчете (Deposit End for automatic accounting).</t>
  </si>
  <si>
    <t xml:space="preserve">5Y8HA05</t>
  </si>
  <si>
    <t xml:space="preserve">Ошибка датчиков GS801A, GS802A в ходе операции Конец Депозита при автоматическом пересчете (Deposit End for automatic accounting).</t>
  </si>
  <si>
    <t xml:space="preserve">5Y8HA06</t>
  </si>
  <si>
    <t xml:space="preserve">Ошибка датчиков GS801B, GS802A в ходе операции Конец Депозита при автоматическом пересчете (Deposit End for automatic accounting).</t>
  </si>
  <si>
    <t xml:space="preserve">5Y8HA07</t>
  </si>
  <si>
    <t xml:space="preserve">Ошибка датчиков GS801A, GS801B, GS802A в ходе операции Конец Депозита при автоматическом пересчете (Deposit End for automatic accounting).</t>
  </si>
  <si>
    <t xml:space="preserve">5Y8HA08</t>
  </si>
  <si>
    <t xml:space="preserve">Ошибка датчика GS802B в ходе операции Конец Депозита при автоматическом пересчете (Deposit End for automatic accounting).</t>
  </si>
  <si>
    <t xml:space="preserve">5Y8HA09</t>
  </si>
  <si>
    <t xml:space="preserve">Ошибка датчиков GS801A, GS802B в ходе операции Конец Депозита при автоматическом пересчете (Deposit End for automatic accounting).</t>
  </si>
  <si>
    <t xml:space="preserve">5Y8HA10</t>
  </si>
  <si>
    <t xml:space="preserve">Ошибка датчиков GS801B, GS802B в ходе операции Конец Депозита при автоматическом пересчете (Deposit End for automatic accounting).</t>
  </si>
  <si>
    <t xml:space="preserve">5Y8HA11</t>
  </si>
  <si>
    <t xml:space="preserve">Ошибка датчиков GS801A, GS801B, GS802B в ходе операции Конец Депозита при автоматическом пересчете (Deposit End for automatic accounting).</t>
  </si>
  <si>
    <t xml:space="preserve">5Y8HA12</t>
  </si>
  <si>
    <t xml:space="preserve">Ошибка датчиков GS802A, GS802B в ходе операции Конец Депозита при автоматическом пересчете (Deposit End for automatic accounting).</t>
  </si>
  <si>
    <t xml:space="preserve">5Y8HA13</t>
  </si>
  <si>
    <t xml:space="preserve">Ошибка датчиков GS801A, GS802A, GS802B в ходе операции Конец Депозита при автоматическом пересчете (Deposit End for automatic accounting).</t>
  </si>
  <si>
    <t xml:space="preserve">5Y8HA14</t>
  </si>
  <si>
    <t xml:space="preserve">Ошибка датчиков GS801B, GS802A, GS802B в ходе операции Конец Депозита при автоматическом пересчете (Deposit End for automatic accounting).</t>
  </si>
  <si>
    <t xml:space="preserve">5Y8HA15</t>
  </si>
  <si>
    <t xml:space="preserve">Ошибка датчиков GS801A, GS801B, GS802A, GS802B в ходе операции Конец Депозита при автоматическом пересчете (Deposit End for automatic accounting).</t>
  </si>
  <si>
    <t xml:space="preserve">5Y8HF03</t>
  </si>
  <si>
    <t xml:space="preserve">Ошибка загрузки данных шейдинга Контактного датчика изображения CIS в ходе операции Конец Депозита при автоматическом пересчете (Deposit End for automatic accounting).</t>
  </si>
  <si>
    <t xml:space="preserve">5Y8HF04</t>
  </si>
  <si>
    <t xml:space="preserve">Ошибка загрузки таблицы БД распознавания в ходе операции Конец Депозита при автоматическом пересчете (Deposit End for automatic accounting).</t>
  </si>
  <si>
    <t xml:space="preserve">5Y8HF05</t>
  </si>
  <si>
    <t xml:space="preserve">Ошибка контрольной суммы данных ПЛИС Модуля Валидатора банкнот BC в ходе операции Конец Депозита при автоматическом пересчете (Deposit End for automatic accounting).</t>
  </si>
  <si>
    <t xml:space="preserve">5Y8HF06</t>
  </si>
  <si>
    <t xml:space="preserve">Ошибка конфигурации ПЛИС Модуля Валидатора банкнот BC в ходе операции Конец Депозита при автоматическом пересчете (Deposit End for automatic accounting).</t>
  </si>
  <si>
    <t xml:space="preserve">5Y8HF07</t>
  </si>
  <si>
    <t xml:space="preserve">Ошибка загрузки данных заголовка ПЛИС Модуля Валидатора банкнот BC header в ходе операции Конец Депозита при автоматическом пересчете (Deposit End for automatic accounting).</t>
  </si>
  <si>
    <t xml:space="preserve">5Y8HF08</t>
  </si>
  <si>
    <t xml:space="preserve">Ошибка инициализации ПЛИС в ходе операции Конец Депозита при автоматическом пересчете (Deposit End for automatic accounting).</t>
  </si>
  <si>
    <t xml:space="preserve">5Y8HF09</t>
  </si>
  <si>
    <t xml:space="preserve">Ошибка чтения ПЛИС в ходе операции Конец Депозита при автоматическом пересчете (Deposit End for automatic accounting).</t>
  </si>
  <si>
    <t xml:space="preserve">5Y8HF11</t>
  </si>
  <si>
    <t xml:space="preserve">Ошибка загрузки Базы Данных распознавания #01 в ходе операции Конец Депозита при автоматическом пересчете (Deposit End for automatic accounting).</t>
  </si>
  <si>
    <t xml:space="preserve">5Y8HF12</t>
  </si>
  <si>
    <t xml:space="preserve">Ошибка загрузки Базы Данных распознавания #02 в ходе операции Конец Депозита при автоматическом пересчете (Deposit End for automatic accounting).</t>
  </si>
  <si>
    <t xml:space="preserve">5Y8HF13</t>
  </si>
  <si>
    <t xml:space="preserve">Ошибка загрузки Базы Данных распознавания #03 в ходе операции Конец Депозита при автоматическом пересчете (Deposit End for automatic accounting).</t>
  </si>
  <si>
    <t xml:space="preserve">5Y8HF14</t>
  </si>
  <si>
    <t xml:space="preserve">Ошибка загрузки Базы Данных распознавания #04 в ходе операции Конец Депозита при автоматическом пересчете (Deposit End for automatic accounting).</t>
  </si>
  <si>
    <t xml:space="preserve">5Y8HF15</t>
  </si>
  <si>
    <t xml:space="preserve">Ошибка загрузки Базы Данных распознавания #05 в ходе операции Конец Депозита при автоматическом пересчете (Deposit End for automatic accounting).</t>
  </si>
  <si>
    <t xml:space="preserve">5Y8HF16</t>
  </si>
  <si>
    <t xml:space="preserve">Ошибка загрузки Базы Данных распознавания #06 в ходе операции Конец Депозита при автоматическом пересчете (Deposit End for automatic accounting).</t>
  </si>
  <si>
    <t xml:space="preserve">5Y8HF17</t>
  </si>
  <si>
    <t xml:space="preserve">Ошибка загрузки Базы Данных распознавания #07 в ходе операции Конец Депозита при автоматическом пересчете (Deposit End for automatic accounting).</t>
  </si>
  <si>
    <t xml:space="preserve">5Y8HF18</t>
  </si>
  <si>
    <t xml:space="preserve">Ошибка загрузки Базы Данных распознавания #08 в ходе операции Конец Депозита при автоматическом пересчете (Deposit End for automatic accounting).</t>
  </si>
  <si>
    <t xml:space="preserve">5Y8HF19</t>
  </si>
  <si>
    <t xml:space="preserve">Ошибка загрузки Базы Данных распознавания #09 в ходе операции Конец Депозита при автоматическом пересчете (Deposit End for automatic accounting).</t>
  </si>
  <si>
    <t xml:space="preserve">5Y8HF20</t>
  </si>
  <si>
    <t xml:space="preserve">Ошибка загрузки Базы Данных распознавания #10 в ходе операции Конец Депозита при автоматическом пересчете (Deposit End for automatic accounting).</t>
  </si>
  <si>
    <t xml:space="preserve">5Y8HG01</t>
  </si>
  <si>
    <t xml:space="preserve">Ошибка установки режима при выполнении команды BCU mode в ходе операции Конец Депозита при автоматическом пересчете (Deposit End for automatic accounting).</t>
  </si>
  <si>
    <t xml:space="preserve">5Y8HG02</t>
  </si>
  <si>
    <t xml:space="preserve">Ошибка установленного уровня распознавания при выполнении команды BCU mode в ходе операции Конец Депозита при автоматическом пересчете (Deposit End for automatic accounting).</t>
  </si>
  <si>
    <t xml:space="preserve">5Y8HG03</t>
  </si>
  <si>
    <t xml:space="preserve">Ошибка установки начала транзакции при выполнении команды BCU ready в ходе операции Конец Депозита при автоматическом пересчете (Deposit End for automatic accounting).</t>
  </si>
  <si>
    <t xml:space="preserve">5Y8HG04</t>
  </si>
  <si>
    <t xml:space="preserve">Ошибка установки режима при выполнении команды BCU ready в ходе операции Конец Депозита при автоматическом пересчете (Deposit End for automatic accounting).</t>
  </si>
  <si>
    <t xml:space="preserve">5Y8HG05</t>
  </si>
  <si>
    <t xml:space="preserve">Ошибка установленного уровня распознавания при выполнении команды BCU ready в ходе операции Конец Депозита при автоматическом пересчете (Deposit End for automatic accounting).</t>
  </si>
  <si>
    <t xml:space="preserve">5Y8HG06</t>
  </si>
  <si>
    <t xml:space="preserve">Ошибка направления внесения Модуля Валидатора банкнот BC при выполнении команды BCU ready в ходе операции Конец Депозита при автоматическом пересчете (Deposit End for automatic accounting).</t>
  </si>
  <si>
    <t xml:space="preserve">5Y8HG07</t>
  </si>
  <si>
    <t xml:space="preserve">Ошибка получения неопределенной команды Модуля Валидатора банкнот BCU в ходе операции Конец Депозита при автоматическом пересчете (Deposit End for automatic accounting).</t>
  </si>
  <si>
    <t xml:space="preserve">5Y8HG08</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</si>
  <si>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Конец Депозита при автоматическом пересчете (Deposit End for automatic accounting).</t>
  </si>
  <si>
    <t xml:space="preserve">5Y8HG09</t>
  </si>
  <si>
    <t xml:space="preserve">Ошибка настройки кода страны при выполнении команды записи данных в Модуль Валидатора банкнот BCUв ходе операции Конец Депозита при автоматическом пересчете (Deposit End for automatic accounting).</t>
  </si>
  <si>
    <t xml:space="preserve">5Y8HG10</t>
  </si>
  <si>
    <t xml:space="preserve">Ошибка отсутствия БД распознавания для страны в процессе получения команды BCU data write в ходе операции Конец Депозита при автоматическом пересчете (Deposit End for automatic accounting).</t>
  </si>
  <si>
    <t xml:space="preserve">5Y8HG11</t>
  </si>
  <si>
    <t xml:space="preserve">Не установлен код страны при получении команды BCU ready в ходе операции Конец Депозита при автоматическом пересчете (Deposit End for automatic accounting).</t>
  </si>
  <si>
    <t xml:space="preserve">5Y8HG12</t>
  </si>
  <si>
    <t xml:space="preserve">Спецификация Модуля Валидатор банкнот BC не соответствует пораметру команды записи в ходе операции Конец Депозита при автоматическом пересчете (Deposit End for automatic accounting).</t>
  </si>
  <si>
    <t xml:space="preserve">5Y8HG20</t>
  </si>
  <si>
    <t xml:space="preserve">Ошибка инициализации Контактного датчика изображения CIS при получении команды BCU ready в ходе операции Конец Депозита при автоматическом пересчете (Deposit End for automatic accounting).</t>
  </si>
  <si>
    <t xml:space="preserve">5Y8HG21</t>
  </si>
  <si>
    <t xml:space="preserve">Ошибка включения при получении команды BCU ready в ходе операции Конец Депозита при автоматическом пересчете (Deposit End for automatic accounting).</t>
  </si>
  <si>
    <t xml:space="preserve">5Y8HG22</t>
  </si>
  <si>
    <t xml:space="preserve">Ошибка инициализации датчика DD при получении команды BCU ready в ходе операции Конец Депозита при автоматическом пересчете (Deposit End for automatic accounting).</t>
  </si>
  <si>
    <t xml:space="preserve">5Y8HG23</t>
  </si>
  <si>
    <t xml:space="preserve">Ошибка настройки ЦАП Датчика определения сдвоенных банкнот DD при получении команды BCU ready в ходе операции Конец Депозита при автоматическом пересчете (Deposit End for automatic accounting).</t>
  </si>
  <si>
    <t xml:space="preserve">5Y8HG24</t>
  </si>
  <si>
    <t xml:space="preserve">Ошибка режима настройки энкодера при получении команды BCU ready в ходе операции Конец Депозита при автоматическом пересчете (Deposit End for automatic accounting).</t>
  </si>
  <si>
    <t xml:space="preserve">5Y8HG36</t>
  </si>
  <si>
    <t xml:space="preserve">Ошибка режима распознавания при выполнении команды receiving BCU mode в ходе операции Конец Депозита при автоматическом пересчете (Deposit End for automatic accounting).</t>
  </si>
  <si>
    <t xml:space="preserve">5Y8HG37</t>
  </si>
  <si>
    <t xml:space="preserve">Ошибка настроек транзакции при выполнении команды receiving BCU mode в ходе операции Конец Депозита при автоматическом пересчете (Deposit End for automatic accounting).</t>
  </si>
  <si>
    <t xml:space="preserve">5Y8HI01</t>
  </si>
  <si>
    <t xml:space="preserve">Ошибка тайм-аута RecogTask Message в ходе операции Конец Депозита при автоматическом пересчете (Deposit End for automatic accounting).</t>
  </si>
  <si>
    <t xml:space="preserve">5Y8HI02</t>
  </si>
  <si>
    <t xml:space="preserve">Ошибка тайм-аута ScanTask Message в ходе операции Конец Депозита при автоматическом пересчете (Deposit End for automatic accounting).</t>
  </si>
  <si>
    <t xml:space="preserve">5Y8HI03</t>
  </si>
  <si>
    <t xml:space="preserve">Ошибка тайм-аута UartTask Message в ходе операции Конец Депозита при автоматическом пересчете (Deposit End for automatic accounting).</t>
  </si>
  <si>
    <t xml:space="preserve">5Y8HI04</t>
  </si>
  <si>
    <t xml:space="preserve">Ошибка тайм-аута BcUsbTask Message в ходе операции Конец Депозита при автоматическом пересчете (Deposit End for automatic accounting).</t>
  </si>
  <si>
    <t xml:space="preserve">5Y8HJ01</t>
  </si>
  <si>
    <t xml:space="preserve">Ошибка инициализации алгоритма распознавания в ходе операции Конец Депозита при автоматическом пересчете (Deposit End for automatic accounting).</t>
  </si>
  <si>
    <t xml:space="preserve">5Y8HJ02</t>
  </si>
  <si>
    <t xml:space="preserve">Ошибка готовности Алгоритма Распознавания в ходе операции Конец Депозита при автоматическом пересчете (Deposit End for automatic accounting).</t>
  </si>
  <si>
    <t xml:space="preserve">5Y8HJ03</t>
  </si>
  <si>
    <t xml:space="preserve">Ошибка алгоритма распознавания набора валют в ходе операции Конец Депозита при автоматическом пересчете (Deposit End for automatic accounting).</t>
  </si>
  <si>
    <t xml:space="preserve">5Y8HS01</t>
  </si>
  <si>
    <t xml:space="preserve">Ошибка ПЛИС Write Scan Driver Init в ходе операции Конец Депозита при автоматическом пересчете (Deposit End for automatic accounting).</t>
  </si>
  <si>
    <t xml:space="preserve">5Y8HS02</t>
  </si>
  <si>
    <t xml:space="preserve">Ошибка Sensor (MR/UV/DD/Gate) Power Off Scan Driver Init в ходе операции Конец Депозита при автоматическом пересчете (Deposit End for automatic accounting).</t>
  </si>
  <si>
    <t xml:space="preserve">5Y8HS03</t>
  </si>
  <si>
    <t xml:space="preserve">Ошибка Контактного датчика изображения CIS Led On Value Set Fail Scan Driver Init в ходе операции Конец Депозита при автоматическом пересчете (Deposit End for automatic accounting).</t>
  </si>
  <si>
    <t xml:space="preserve">5Y8HS04</t>
  </si>
  <si>
    <t xml:space="preserve">Ошибка Источника Света Set Fail Scan Driver Init в ходе операции Конец Депозита при автоматическом пересчете (Deposit End for automatic accounting).</t>
  </si>
  <si>
    <t xml:space="preserve">5Y8HS05</t>
  </si>
  <si>
    <t xml:space="preserve">Ошибка Контактного датчика изображения CIS Shading Scan Driver Init в ходе операции Конец Депозита при автоматическом пересчете (Deposit End for automatic accounting).</t>
  </si>
  <si>
    <t xml:space="preserve">5Y8HS08</t>
  </si>
  <si>
    <t xml:space="preserve">Ошибка ЦАП Set Fail Scan Driver Init в ходе операции Конец Депозита при автоматическом пересчете (Deposit End for automatic accounting).</t>
  </si>
  <si>
    <t xml:space="preserve">5Y8HS11</t>
  </si>
  <si>
    <t xml:space="preserve">Ошибка ПЛИС Write BCU Ready в ходе операции Конец Депозита при автоматическом пересчете (Deposit End for automatic accounting).</t>
  </si>
  <si>
    <t xml:space="preserve">5Y8HS12</t>
  </si>
  <si>
    <t xml:space="preserve">Ошибка Sensor (MR/UV/DD/Gate) Power Off BCU Ready в ходе операции Конец Депозита при автоматическом пересчете (Deposit End for automatic accounting).</t>
  </si>
  <si>
    <t xml:space="preserve">5Y8HS13</t>
  </si>
  <si>
    <t xml:space="preserve">Ошибка Контактного датчика изображения CIS Led On Value Set Fail BCU Ready в ходе операции Конец Депозита при автоматическом пересчете (Deposit End for automatic accounting).</t>
  </si>
  <si>
    <t xml:space="preserve">5Y8HS14</t>
  </si>
  <si>
    <t xml:space="preserve">Ошибка Источника Света Set Fail BCU Ready в ходе операции Конец Депозита при автоматическом пересчете (Deposit End for automatic accounting).</t>
  </si>
  <si>
    <t xml:space="preserve">5Y8HS15</t>
  </si>
  <si>
    <t xml:space="preserve">Ошибка Контактного датчика изображения CIS Shading BCU Ready в ходе операции Конец Депозита при автоматическом пересчете (Deposit End for automatic accounting).</t>
  </si>
  <si>
    <t xml:space="preserve">5Y8HS17</t>
  </si>
  <si>
    <t xml:space="preserve">Ошибка AFE Chip Set BCU Ready в ходе операции Конец Депозита при автоматическом пересчете (Deposit End for automatic accounting).</t>
  </si>
  <si>
    <t xml:space="preserve">5Y8HS18</t>
  </si>
  <si>
    <t xml:space="preserve">Ошибка ЦАП Set Fail BCU Ready в ходе операции Конец Депозита при автоматическом пересчете (Deposit End for automatic accounting).</t>
  </si>
  <si>
    <t xml:space="preserve">5Y8HS19</t>
  </si>
  <si>
    <t xml:space="preserve">Ошибка MR/UV/DD Sampling BCU Ready в ходе операции Конец Депозита при автоматическом пересчете (Deposit End for automatic accounting).</t>
  </si>
  <si>
    <t xml:space="preserve">5Y8HS1A</t>
  </si>
  <si>
    <t xml:space="preserve">Ошибка ЦАП Датчика Холла Set Fail BCU Ready в ходе операции Конец Депозита при автоматическом пересчете (Deposit End for automatic accounting).</t>
  </si>
  <si>
    <t xml:space="preserve">5Y8HS1B</t>
  </si>
  <si>
    <t xml:space="preserve">Ошибка Датчика Холла Shading Fail BCU Ready в ходе операции Конец Депозита при автоматическом пересчете (Deposit End for automatic accounting).</t>
  </si>
  <si>
    <t xml:space="preserve">5Y8HS22</t>
  </si>
  <si>
    <t xml:space="preserve">Ошибка Модуля Валидатора BC Stop Sensor (MR/UV/DD/Gate) Power Off Scan Driver Init в ходе операции Конец Депозита при автоматическом пересчете (Deposit End for automatic accounting).</t>
  </si>
  <si>
    <t xml:space="preserve">5Y8HS28</t>
  </si>
  <si>
    <t xml:space="preserve">Ошибка Модуля Валидатора BC Stop DAC Set Fail Scan Driver Init в ходе операции Конец Депозита при автоматическом пересчете (Deposit End for automatic accounting).</t>
  </si>
  <si>
    <t xml:space="preserve">5Y8HS29</t>
  </si>
  <si>
    <t xml:space="preserve">Ошибка Модуля Валидатора BC Stop MR/UV/DD Sampling BCU Ready в ходе операции Конец Депозита при автоматическом пересчете (Deposit End for automatic accounting).</t>
  </si>
  <si>
    <t xml:space="preserve">5Y8R100</t>
  </si>
  <si>
    <t xml:space="preserve">Модуль Валидатора BC вернул ошибку таймаута сообщения в ходе готовности к операции Конец Депозита при автоматическом пересчете (Deposit End for automatic accounting).</t>
  </si>
  <si>
    <t xml:space="preserve">5Y8R200</t>
  </si>
  <si>
    <t xml:space="preserve">Модуль Валидатора BC вернул ошибку таймаута сообщения при проведении транзакции в ходе операции Конец Депозита при автоматическом пересчете (Deposit End for automatic accounting).</t>
  </si>
  <si>
    <t xml:space="preserve">5Y8R300</t>
  </si>
  <si>
    <t xml:space="preserve">Модуль Валидатора BC вернул ошибку таймаута сообщения в ходе постпроцессинга ошибки операции  Конец Депозита при автоматическом пересчете (Deposit End for automatic accounting Error).</t>
  </si>
  <si>
    <t xml:space="preserve">5Y8R900</t>
  </si>
  <si>
    <t xml:space="preserve">Модуль Валидатора BC вернул ошибку таймаута сообщения в ходе операции Конец Депозита при автоматическом пересчете (Deposit End for automatic accounting).</t>
  </si>
  <si>
    <t xml:space="preserve">5Y8S100</t>
  </si>
  <si>
    <t xml:space="preserve">Получена неправильная Информация о памяти MI от Модуля Валидатора банкнот BC в ходе операции Конец Депозита при автоматическом пересчете (Deposit End for automatic accounting).</t>
  </si>
  <si>
    <t xml:space="preserve">5Y8S200</t>
  </si>
  <si>
    <t xml:space="preserve">Получен ненормальный BCC от Модуля Валидатора банкнот в ходе операции Конец Депозита при автоматическом пересчете (Deposit End for automatic accounting).</t>
  </si>
  <si>
    <t xml:space="preserve">5Y8S400</t>
  </si>
  <si>
    <t xml:space="preserve">Получена ошибка ETC. от Модуля Валидатора банкнот BC в ходе операции Конец Депозита при автоматическом пересчете (Deposit End for automatic accounting).</t>
  </si>
  <si>
    <t xml:space="preserve">5Y8S900</t>
  </si>
  <si>
    <t xml:space="preserve">Повторная попытка завершилась ошибкой Модуля Валидатора банкнот BC в ходе операции Конец Депозита при автоматическом пересчете (Deposit End for automatic accounting).</t>
  </si>
  <si>
    <t xml:space="preserve">5Y91300</t>
  </si>
  <si>
    <t xml:space="preserve">Датчик Кассеты Отбраковки RJC GSA03 сообщил об ошибке замятия по Темному типу в ходе операции Конец Депозита при автоматическом пересчете (Deposit End for automatic accounting).</t>
  </si>
  <si>
    <t xml:space="preserve">5Y91500</t>
  </si>
  <si>
    <t xml:space="preserve">Датчик Кассеты Отбраковки RJC GSA05 сообщил об ошибке замятия по Темному типу в ходе операции Конец Депозита при автоматическом пересчете (Deposit End for automatic accounting).</t>
  </si>
  <si>
    <t xml:space="preserve">5Y9J100</t>
  </si>
  <si>
    <t xml:space="preserve">Переполненная Кассета Отбраковки RJC в ходе операции Конец Депозита при автоматическом пересчете (Deposit End for automatic accounting).</t>
  </si>
  <si>
    <t xml:space="preserve">5Y9P100</t>
  </si>
  <si>
    <t xml:space="preserve">Ошибка мотора Кассеты Отбраковки RJC в ходе операции Конец Депозита при автоматическом пересчете (Deposit End for automatic accounting).</t>
  </si>
  <si>
    <t xml:space="preserve">5Y9R100</t>
  </si>
  <si>
    <t xml:space="preserve">Ошибка тайм-аута сообщения Кассеты Отбраковки RJC в ходе готовности к операции Конец Депозита при автоматическом пересчете (Deposit End for automatic accounting).</t>
  </si>
  <si>
    <t xml:space="preserve">5Y9R200</t>
  </si>
  <si>
    <t xml:space="preserve">Ошибка тайм-аута сообщения Кассеты Отбраковки RJC при проведении транзакции в ходе операции Конец Депозита при автоматическом пересчете (Deposit End for automatic accounting).</t>
  </si>
  <si>
    <t xml:space="preserve">5Y9R300</t>
  </si>
  <si>
    <t xml:space="preserve">Ошибка тайм-аута сообщения Кассеты Отбраковки RJC в ходе постпроцессинга ошибки операции  Конец Депозита при автоматическом пересчете (Deposit End for automatic accounting Error).</t>
  </si>
  <si>
    <t xml:space="preserve">5YA2100</t>
  </si>
  <si>
    <t xml:space="preserve">Оставшиеся банкноты в Возвращающем Тракте (GS801) перед выполнением операции Конец Депозита при автоматическом пересчете (Deposit End for automatic accounting).</t>
  </si>
  <si>
    <t xml:space="preserve">5YA2200</t>
  </si>
  <si>
    <t xml:space="preserve">Оставшиеся банкноты в Возвращающем Тракте (GS002) перед выполнением операции Конец Депозита при автоматическом пересчете (Deposit End for automatic accounting).</t>
  </si>
  <si>
    <t xml:space="preserve">5YA2300</t>
  </si>
  <si>
    <t xml:space="preserve">Оставшиеся банкноты в Возвращающем Тракте (GS003) перед выполнением операции Конец Депозита при автоматическом пересчете (Deposit End for automatic accounting).</t>
  </si>
  <si>
    <t xml:space="preserve">5YA2400</t>
  </si>
  <si>
    <t xml:space="preserve">Оставшиеся банкноты в Возвращающем Тракте (GS004) перед выполнением операции Конец Депозита при автоматическом пересчете (Deposit End for automatic accounting).</t>
  </si>
  <si>
    <t xml:space="preserve">5YA2500</t>
  </si>
  <si>
    <t xml:space="preserve">Оставшиеся банкноты в Возвращающем Тракте (GS005) перед выполнением операции Конец Депозита при автоматическом пересчете (Deposit End for automatic accounting).</t>
  </si>
  <si>
    <t xml:space="preserve">5YA2600</t>
  </si>
  <si>
    <t xml:space="preserve">Оставшиеся банкноты в Возвращающем Тракте (GS006) перед выполнением операции Конец Депозита при автоматическом пересчете (Deposit End for automatic accounting).</t>
  </si>
  <si>
    <t xml:space="preserve">5YA2A00</t>
  </si>
  <si>
    <t xml:space="preserve">Оставшиеся банкноты в Возвращающем Тракте (GS021) перед выполнением операции Конец Депозита при автоматическом пересчете (Deposit End for automatic accounting).</t>
  </si>
  <si>
    <t xml:space="preserve">5YA2B00</t>
  </si>
  <si>
    <t xml:space="preserve">Оставшиеся банкноты в Возвращающем Тракте (GS022) перед выполнением операции Конец Депозита при автоматическом пересчете (Deposit End for automatic accounting).</t>
  </si>
  <si>
    <t xml:space="preserve">5YA2C00</t>
  </si>
  <si>
    <t xml:space="preserve">Произошла ошибка оставшихся банкнот в Модуле Валидатора банкнот BCU (Контактный датчик изображения CIS) в ходе операции Конец Депозита при автоматическом пересчете (Deposit End for automatic accounting).</t>
  </si>
  <si>
    <t xml:space="preserve">5YA2G00</t>
  </si>
  <si>
    <t xml:space="preserve">Оставшиеся банкноты в Возвращающем Тракте (GS614) перед выполнением операции Конец Депозита при автоматическом пересчете (Deposit End for automatic accounting).</t>
  </si>
  <si>
    <t xml:space="preserve">5YA2H00</t>
  </si>
  <si>
    <t xml:space="preserve">Оставшиеся банкноты в Возвращающем Тракте (GS618) перед выполнением операции Конец Депозита при автоматическом пересчете (Deposit End for automatic accounting).</t>
  </si>
  <si>
    <t xml:space="preserve">5YA2J00</t>
  </si>
  <si>
    <t xml:space="preserve">Оставшиеся банкноты в Возвращающем Тракте (GS619) перед выполнением операции Конец Депозита при автоматическом пересчете (Deposit End for automatic accounting).</t>
  </si>
  <si>
    <t xml:space="preserve">5YA2K00</t>
  </si>
  <si>
    <t xml:space="preserve">Оставшиеся банкноты в Возвращающем Тракте (GS703) перед выполнением операции Конец Депозита при автоматическом пересчете (Deposit End for automatic accounting).</t>
  </si>
  <si>
    <t xml:space="preserve">5YA2M00</t>
  </si>
  <si>
    <t xml:space="preserve">Оставшиеся банкноты в Возвращающем Тракте (GS031) перед выполнением операции Конец Депозита при автоматическом пересчете (Deposit End for automatic accounting).</t>
  </si>
  <si>
    <t xml:space="preserve">5YA2N00</t>
  </si>
  <si>
    <t xml:space="preserve">Оставшиеся банкноты в Возвращающем Тракте (GS032) перед выполнением операции Конец Депозита при автоматическом пересчете (Deposit End for automatic accounting).</t>
  </si>
  <si>
    <t xml:space="preserve">5YA2P00</t>
  </si>
  <si>
    <t xml:space="preserve">Оставшиеся банкноты в Возвращающем Тракте (GS033) перед выполнением операции Конец Депозита при автоматическом пересчете (Deposit End for automatic accounting).</t>
  </si>
  <si>
    <t xml:space="preserve">5YA2Q00</t>
  </si>
  <si>
    <t xml:space="preserve">Оставшиеся банкноты в Возвращающем Тракте (GS034) перед выполнением операции Конец Депозита при автоматическом пересчете (Deposit End for automatic accounting).</t>
  </si>
  <si>
    <t xml:space="preserve">5YA2W00</t>
  </si>
  <si>
    <t xml:space="preserve">Оставшиеся банкноты в Возвращающем Тракте (GS802) перед выполнением операции Конец Депозита при автоматическом пересчете (Deposit End for automatic accounting).</t>
  </si>
  <si>
    <t xml:space="preserve">5YAA100</t>
  </si>
  <si>
    <t xml:space="preserve">Вынутое состояние Вспомогательной (невостребованных/фальшивых банкнот) Кассеты UTC перед выполнением операции Конец Депозита при автоматическом пересчете (Deposit End for automatic accounting).</t>
  </si>
  <si>
    <t xml:space="preserve">5YAA200</t>
  </si>
  <si>
    <t xml:space="preserve">Модуль временного хранения открыт перед выполнением операции Конец Депозита при автоматическом пересчете (Deposit End for automatic accounting).</t>
  </si>
  <si>
    <t xml:space="preserve">5YAA300</t>
  </si>
  <si>
    <t xml:space="preserve">Отстыкованное состояние концевого переключателя (inter lock) Верхней части Модуля Рециркуляции Банкнот BMU перед выполнением операции Конец Депозита при автоматическом пересчете (Deposit End for automatic accounting).</t>
  </si>
  <si>
    <t xml:space="preserve">5YAA400</t>
  </si>
  <si>
    <t xml:space="preserve">Выдвинутое состояние Верхней части Модуля Рециркуляции Банкнот BMU перед выполнением операции Конец Депозита при автоматическом пересчете (Deposit End for automatic accounting).</t>
  </si>
  <si>
    <t xml:space="preserve">5YAA600</t>
  </si>
  <si>
    <t xml:space="preserve">Открыт Модуль обслуживания клиентов CSM перед выполнением операции Конец Депозита при автоматическом пересчете (Deposit End for automatic accounting).</t>
  </si>
  <si>
    <t xml:space="preserve">5YAA700</t>
  </si>
  <si>
    <t xml:space="preserve">Вынутое состояние Кассеты Отбраковки RJC перед выполнением операции Конец Депозита при автоматическом пересчете (Deposit End for automatic accounting).</t>
  </si>
  <si>
    <t xml:space="preserve">5YAA800</t>
  </si>
  <si>
    <t xml:space="preserve">Отстыкованное состояние концевого переключателя (inter lock) Нижней части Модуля Рециркуляции Банкнот BMD перед выполнением операции Конец Депозита при автоматическом пересчете (Deposit End for automatic accounting).</t>
  </si>
  <si>
    <t xml:space="preserve">5YAA900</t>
  </si>
  <si>
    <t xml:space="preserve">Выдвинутое состояние Нижней части Модуля Рециркуляции Банкнот BMD перед выполнением операции Конец Депозита при автоматическом пересчете (Deposit End for automatic accounting).</t>
  </si>
  <si>
    <t xml:space="preserve">5YAAA00</t>
  </si>
  <si>
    <t xml:space="preserve">Модуль Валидатора банкнот BC открыт перед работой в ходе операции Конец Депозита при автоматическом пересчете (Deposit End for automatic accounting).</t>
  </si>
  <si>
    <t xml:space="preserve">5YAAB00</t>
  </si>
  <si>
    <t xml:space="preserve">Переполненная Кассета Рециркуляции RC перед выполнением операции Конец Депозита при автоматическом пересчете (Deposit End for automatic accounting).</t>
  </si>
  <si>
    <t xml:space="preserve">5YAAC00</t>
  </si>
  <si>
    <t xml:space="preserve">Переполненная Кассета Отбраковки RJC перед выполнением операции Конец Депозита при автоматическом пересчете (Deposit End for automatic accounting).</t>
  </si>
  <si>
    <t xml:space="preserve">5YAAD00</t>
  </si>
  <si>
    <t xml:space="preserve">Переполненная Вспомогательная кассета UTC1 перед выполнением операции Конец Депозита при автоматическом пересчете (Deposit End for automatic accounting).</t>
  </si>
  <si>
    <t xml:space="preserve">5YAAE00</t>
  </si>
  <si>
    <t xml:space="preserve">Переполненная Вспомогательная кассета UTC2 перед выполнением операции Конец Депозита при автоматическом пересчете (Deposit End for automatic accounting).</t>
  </si>
  <si>
    <t xml:space="preserve">5YAAF00</t>
  </si>
  <si>
    <t xml:space="preserve">Пустая Кассета Рециркуляции RC перед выполнением операции Конец Депозита при автоматическом пересчете (Deposit End for automatic accounting).</t>
  </si>
  <si>
    <t xml:space="preserve">5YAAG00</t>
  </si>
  <si>
    <t xml:space="preserve">Кассета Рециркуляции RC не используется для сохранения подозрительных банкнот перед выполнением операции Конец Депозита при автоматическом пересчете (Deposit End for automatic accounting).</t>
  </si>
  <si>
    <t xml:space="preserve">5YAAH00</t>
  </si>
  <si>
    <t xml:space="preserve">Вынутое состояние Кассеты Рециркуляции RC при сохранении банкнот, удержанных из CSM перед выполнением операции Конец Депозита при автоматическом пересчете (Deposit End for automatic accounting).</t>
  </si>
  <si>
    <t xml:space="preserve">5YAAJ00</t>
  </si>
  <si>
    <t xml:space="preserve">Вынутое состояние Кассеты Рециркуляции RC при сохранении нетипичных серийных номеров перед операцией в ходе операции Конец Депозита при автоматическом пересчете (Deposit End for automatic accounting).</t>
  </si>
  <si>
    <t xml:space="preserve">5YAAK00</t>
  </si>
  <si>
    <t xml:space="preserve">Отсеки UTC1 и UTC2 назначены для удержания во Вспомогательной Кассете, которая не используется перед выполнением в ходе операции Конец Депозита при автоматическом пересчете (Deposit End for automatic accounting).</t>
  </si>
  <si>
    <t xml:space="preserve">5YAE100</t>
  </si>
  <si>
    <t xml:space="preserve">Получена операция без выполнения команды установки начальных данных (Initail Info Set) в ходе операции Конец Депозита при автоматическом пересчете (Deposit End for automatic accounting).</t>
  </si>
  <si>
    <t xml:space="preserve">5YAE200</t>
  </si>
  <si>
    <t xml:space="preserve">Состояние not operation при получении команды в ходе операции Конец Депозита при автоматическом пересчете (Deposit End for automatic accounting).</t>
  </si>
  <si>
    <t xml:space="preserve">5YAE300</t>
  </si>
  <si>
    <t xml:space="preserve">Получена операция без выполнения команды чтения системных данных (Sysrem Info Read) в ходе операции Конец Депозита при автоматическом пересчете (Deposit End for automatic accounting).</t>
  </si>
  <si>
    <t xml:space="preserve">5YAE400</t>
  </si>
  <si>
    <t xml:space="preserve">Транзакцияв ходе операции Конец Депозита  при автоматическом пересчете (Deposit End for automatic accounting transaction) была выполнена без инициализации после включения питания .</t>
  </si>
  <si>
    <t xml:space="preserve">5YAE600</t>
  </si>
  <si>
    <t xml:space="preserve">Ошибка обработки операции Конец Депозита (Deposit End) при автоматическом пересчете в ходе операции Работа кнопки TE (TE Button Operating).</t>
  </si>
  <si>
    <t xml:space="preserve">5YAEE00</t>
  </si>
  <si>
    <t xml:space="preserve">Нарушение последовательности сообщений интерфейса RS485 платы контроллера RBU в ходе операции Конец Депозита при автоматическом пересчете (Deposit End for automatic accounting).</t>
  </si>
  <si>
    <t xml:space="preserve">5YAEF00</t>
  </si>
  <si>
    <t xml:space="preserve">Нарушение линии связи интерфейса RS485 платы контроллера RBU в ходе операции Конец Депозита при автоматическом пересчете (Deposit End for automatic accounting).</t>
  </si>
  <si>
    <t xml:space="preserve">5YAH500</t>
  </si>
  <si>
    <t xml:space="preserve">Ошибка Чтения/Записи памяти NVRAM (128 деноминаций) в ходе операции Конец Депозита при автоматическом пересчете (Deposit End for automatic accounting).</t>
  </si>
  <si>
    <t xml:space="preserve">5YAL100</t>
  </si>
  <si>
    <t xml:space="preserve">5YAN100</t>
  </si>
  <si>
    <t xml:space="preserve">Отличие счетчиков набранных банкнот в Кассете Рециркуляции RC1 и нормальным счетчиком на основании прохождения через Модуль Валидатора банкнот BC в ходе операции Конец Депозита при автоматическом пересчете (Deposit End for automatic accounting).</t>
  </si>
  <si>
    <t xml:space="preserve">5YAN200</t>
  </si>
  <si>
    <t xml:space="preserve">Отличие счетчиков набранных банкнот в Кассете Рециркуляции RC2 и нормальным счетчиком на основании прохождения через Модуль Валидатора банкнот BC в ходе операции Конец Депозита при автоматическом пересчете (Deposit End for automatic accounting).</t>
  </si>
  <si>
    <t xml:space="preserve">5YAN300</t>
  </si>
  <si>
    <t xml:space="preserve">Отличие счетчиков набранных банкнот в Кассете Рециркуляции RC3 и нормальным счетчиком на основании прохождения через Модуль Валидатора банкнот BC в ходе операции Конец Депозита при автоматическом пересчете (Deposit End for automatic accounting).</t>
  </si>
  <si>
    <t xml:space="preserve">5YAN400</t>
  </si>
  <si>
    <t xml:space="preserve">Отличие счетчиков набранных банкнот в Кассете Рециркуляции RC4 и нормальным счетчиком на основании прохождения через Модуль Валидатора банкнот BC в ходе операции Конец Депозита при автоматическом пересчете (Deposit End for automatic accounting).</t>
  </si>
  <si>
    <t xml:space="preserve">5YAN500</t>
  </si>
  <si>
    <t xml:space="preserve">Отличие счетчиков набранных банкнот в Кассете Рециркуляции RC5 и нормальным счетчиком на основании прохождения через Модуль Валидатора банкнот BC в ходе операции Конец Депозита при автоматическом пересчете (Deposit End for automatic accounting).</t>
  </si>
  <si>
    <t xml:space="preserve">5YAN600</t>
  </si>
  <si>
    <t xml:space="preserve">Счетчик банкнот в ходе операции Пересчет Депозита (Deposit Count) отличен от полученного значения счетчика в ходе операции Конец Депозита при автоматическом пересчете (Deposit End for automatic accounting) без отбракованных банкнот в ходе операции Конец Депозита при автоматическом пересчете (Deposit End for automatic accounting).</t>
  </si>
  <si>
    <t xml:space="preserve">5YAN800</t>
  </si>
  <si>
    <t xml:space="preserve">Несоответствие полученных банкнот операции Пересчет Депозита (Deposit Count) без отбракованных банкнот в ходе операции Конец Депозита (Deposit End) при автоматическом пересчете (Deposit End for automatic accounting).</t>
  </si>
  <si>
    <t xml:space="preserve">5YAN900</t>
  </si>
  <si>
    <t xml:space="preserve">Счетчик набранных деноминаций в ходе операции Конец Депозита при автоматическом пересчете (Deposit End for automatic accounting) больше чем счетчик набранных деноминаций в ходе операции Конец Депозита при автоматическом пересчете (Deposit End for automatic accounting).</t>
  </si>
  <si>
    <t xml:space="preserve">5YANF00</t>
  </si>
  <si>
    <t xml:space="preserve">Счётчик набранных банкнот во Вспомогательной Кассете UTC2 в ходе операции Конец Депозита (Deposit End) при автоматическом пересчете отличается от счётчика фальшивых банкнот в ходе операции Конец Депозита при автоматическом пересчете (Deposit End for automatic accounting).</t>
  </si>
  <si>
    <t xml:space="preserve">5YANG00</t>
  </si>
  <si>
    <t xml:space="preserve">Счётчик фальшивых банкнот отличается от счётчика набранных банкнот во Вспомогательной Кассете UTC2 в ходе операции Конец Депозита (Deposit End) при автоматической операции Пересчет Депозита (Deposit Count).</t>
  </si>
  <si>
    <t xml:space="preserve">5YANH00</t>
  </si>
  <si>
    <t xml:space="preserve">5YANP00</t>
  </si>
  <si>
    <t xml:space="preserve">Счетчик в ходе операции Конец Депозита при автоматическом пересчете (Deposit End for automatic accounting) меньше чем в ходе операции Пересчет Депозита (Deposit Count) после выравнивани я счетчика в ходе операции Конец Депозита при автоматическом пересчете (Deposit End for automatic accounting).</t>
  </si>
  <si>
    <t xml:space="preserve">5YANQ00</t>
  </si>
  <si>
    <t xml:space="preserve">Не удалось выполнить укладку в другую кассету при восстановлении замятия в ходе операции Конец Депозита при автоматическом пересчете (Deposit End for automatic accounting).</t>
  </si>
  <si>
    <t xml:space="preserve">5YANR00</t>
  </si>
  <si>
    <t xml:space="preserve">Несоответствие счетчика набранных банкнот Кассеты Отбраковки RJC и счетчика разделенных банкнот в ходе операции тестирования автовосстановления в ходе операции Конец Депозита при автоматическом пересчете (Deposit End for automatic accounting).</t>
  </si>
  <si>
    <t xml:space="preserve">5YAR100</t>
  </si>
  <si>
    <t xml:space="preserve">Возвращена ошибка таймаута сообщения в ходе готовности к операции Конец Депозита при автоматическом пересчете (Deposit End for automatic accounting).</t>
  </si>
  <si>
    <t xml:space="preserve">5YAR200</t>
  </si>
  <si>
    <t xml:space="preserve">Возвращена ошибка таймаута сообщения при проведении транзакции в ходе операции Транзакция Конец Депозита при автоматическом пересчете (Deposit End for automatic accounting).</t>
  </si>
  <si>
    <t xml:space="preserve">5YAR300</t>
  </si>
  <si>
    <t xml:space="preserve">Возвращена ошибка таймаута сообщения в ходе постпроцессинга ошибки операции  Конец Депозита при автоматическом пересчете (Deposit End for automatic accounting Error).</t>
  </si>
  <si>
    <t xml:space="preserve">5YAR700</t>
  </si>
  <si>
    <t xml:space="preserve">Контроллер RBU вернул ошибку таймаута сообщения в ходе операции Конец Депозита при автоматическом пересчете (Deposit End for automatic accounting).</t>
  </si>
  <si>
    <t xml:space="preserve">5YAR900</t>
  </si>
  <si>
    <t xml:space="preserve">Ошибка таймаута сообщения готовности к укладке в процессе автовосстановления в ходе операции Конец Депозита при автоматическом пересчете (Deposit End for automatic accounting).</t>
  </si>
  <si>
    <t xml:space="preserve">5YARA00</t>
  </si>
  <si>
    <t xml:space="preserve">Ошибка таймаута сообщения возврата банкнот BM в процессе автовосстановления в ходе операции Конец Депозита при автоматическом пересчете (Deposit End for automatic accounting).</t>
  </si>
  <si>
    <t xml:space="preserve">5YARB00</t>
  </si>
  <si>
    <t xml:space="preserve">Процесс оставшихся банкнот вернул ошибку таймаута сообщения в процессе автовосстановления в ходе операции Конец Депозита при автоматическом пересчете (Deposit End for automatic accounting).</t>
  </si>
  <si>
    <t xml:space="preserve">5YARC00</t>
  </si>
  <si>
    <t xml:space="preserve">5YARJ00</t>
  </si>
  <si>
    <t xml:space="preserve">Возвращена ошибка таймаута сообщения при операции Начало Остановки (Stop Ready) в ходе операции Конец Депозита при автоматическом пересчете (Deposit End for automatic accounting).</t>
  </si>
  <si>
    <t xml:space="preserve">5YAS600</t>
  </si>
  <si>
    <t xml:space="preserve">Ошибка установок счетчика задвоенных банкнот в ходе операции Конец Депозита при автоматическом пересчете (Deposit End for automatic accounting).</t>
  </si>
  <si>
    <t xml:space="preserve">5YAS800</t>
  </si>
  <si>
    <t xml:space="preserve">Значение счетчика набранных банкнот больше значения счетчика Оставшихся банкнот в процессе обновления счетчиков банкнот duringduring Конец Депозита при автоматическом пересчете (Deposit End for automatic accounting).</t>
  </si>
  <si>
    <t xml:space="preserve">5YASF00</t>
  </si>
  <si>
    <t xml:space="preserve">Для депозита отсутствует Кассета Рециркуляции в ходе операции Конец Депозита при автоматическом пересчете (Deposit End for automatic accounting).</t>
  </si>
  <si>
    <t xml:space="preserve">5YASJ00</t>
  </si>
  <si>
    <t xml:space="preserve">Депозитная Кассета установила статус Отказ от приема по причине отсутствия кассеты в ходе операции Конец Депозита при автоматическом пересчете (Deposit End for automatic accounting).</t>
  </si>
  <si>
    <t xml:space="preserve">5YBH100</t>
  </si>
  <si>
    <t xml:space="preserve">Ошибка чтения памяти EEPROM Кассеты Рециркуляции RC1 в ходе операции Конец Депозита при автоматическом пересчете (Deposit End for automatic accounting).</t>
  </si>
  <si>
    <t xml:space="preserve">5YBH200</t>
  </si>
  <si>
    <t xml:space="preserve">Ошибка чтения памяти EEPROM Кассеты Рециркуляции RC2 в ходе операции Конец Депозита при автоматическом пересчете (Deposit End for automatic accounting).</t>
  </si>
  <si>
    <t xml:space="preserve">5YBH300</t>
  </si>
  <si>
    <t xml:space="preserve">Ошибка чтения памяти EEPROM Кассеты Рециркуляции RC3 в ходе операции Конец Депозита при автоматическом пересчете (Deposit End for automatic accounting).</t>
  </si>
  <si>
    <t xml:space="preserve">5YBH400</t>
  </si>
  <si>
    <t xml:space="preserve">Ошибка чтения памяти EEPROM Кассеты Рециркуляции RC4 в ходе операции Конец Депозита при автоматическом пересчете (Deposit End for automatic accounting).</t>
  </si>
  <si>
    <t xml:space="preserve">5YBH500</t>
  </si>
  <si>
    <t xml:space="preserve">Ошибка чтения памяти EEPROM Кассеты Рециркуляции RC5 в ходе операции Конец Депозита при автоматическом пересчете (Deposit End for automatic accounting).</t>
  </si>
  <si>
    <t xml:space="preserve">5YBH600</t>
  </si>
  <si>
    <t xml:space="preserve">Ошибка записи памяти EEPROM Кассеты Рециркуляции RC1 в ходе операции Конец Депозита при автоматическом пересчете (Deposit End for automatic accounting).</t>
  </si>
  <si>
    <t xml:space="preserve">5YBH700</t>
  </si>
  <si>
    <t xml:space="preserve">Ошибка записи памяти EEPROM Кассеты Рециркуляции RC2 в ходе операции Конец Депозита при автоматическом пересчете (Deposit End for automatic accounting).</t>
  </si>
  <si>
    <t xml:space="preserve">5YBH800</t>
  </si>
  <si>
    <t xml:space="preserve">Ошибка записи памяти EEPROM Кассеты Рециркуляции RC3 в ходе операции Конец Депозита при автоматическом пересчете (Deposit End for automatic accounting).</t>
  </si>
  <si>
    <t xml:space="preserve">5YBH900</t>
  </si>
  <si>
    <t xml:space="preserve">Ошибка записи памяти EEPROM Кассеты Рециркуляции RC4 в ходе операции Конец Депозита при автоматическом пересчете (Deposit End for automatic accounting).</t>
  </si>
  <si>
    <t xml:space="preserve">5YBHA00</t>
  </si>
  <si>
    <t xml:space="preserve">Ошибка записи памяти EEPROM Кассеты Рециркуляции RC5 в ходе операции Конец Депозита при автоматическом пересчете (Deposit End for automatic accounting).</t>
  </si>
  <si>
    <t xml:space="preserve">5YBHB00</t>
  </si>
  <si>
    <t xml:space="preserve">Ошибка проверки данных памяти EEPROM Кассеты Рециркуляции RC1 в ходе операции Конец Депозита при автоматическом пересчете (Deposit End for automatic accounting).</t>
  </si>
  <si>
    <t xml:space="preserve">5YBHC00</t>
  </si>
  <si>
    <t xml:space="preserve">Ошибка проверки данных памяти EEPROM Кассеты Рециркуляции RC2 в ходе операции Конец Депозита при автоматическом пересчете (Deposit End for automatic accounting).</t>
  </si>
  <si>
    <t xml:space="preserve">5YBHD00</t>
  </si>
  <si>
    <t xml:space="preserve">Ошибка проверки данных памяти EEPROM Кассеты Рециркуляции RC3 в ходе операции Конец Депозита при автоматическом пересчете (Deposit End for automatic accounting).</t>
  </si>
  <si>
    <t xml:space="preserve">5YBHE00</t>
  </si>
  <si>
    <t xml:space="preserve">Ошибка проверки данных памяти EEPROM Кассеты Рециркуляции RC4 в ходе операции Конец Депозита при автоматическом пересчете (Deposit End for automatic accounting).</t>
  </si>
  <si>
    <t xml:space="preserve">5YBHF00</t>
  </si>
  <si>
    <t xml:space="preserve">Ошибка проверки данных памяти EEPROM Кассеты Рециркуляции RC5 в ходе операции Конец Депозита при автоматическом пересчете (Deposit End for automatic accounting).</t>
  </si>
  <si>
    <t xml:space="preserve">5YBHG00</t>
  </si>
  <si>
    <t xml:space="preserve">Не обнаружен концевой переключатель (интерлок) при Чтении/Записи памяти EEPROM Кассеты Рециркуляции RC в ходе операции Конец Депозита при автоматическом пересчете (Deposit End for automatic accounting).</t>
  </si>
  <si>
    <t xml:space="preserve">5YBR000</t>
  </si>
  <si>
    <t xml:space="preserve">Превышено время ожидание ответа платы контроллера RBU в ходе операции Конец Депозита при автоматическом пересчете (Deposit End for automatic accounting).</t>
  </si>
  <si>
    <t xml:space="preserve">5YBR700</t>
  </si>
  <si>
    <t xml:space="preserve">5YBS000</t>
  </si>
  <si>
    <t xml:space="preserve">Ошибка таймаута связи контроллера RBU в ходе операции Конец Депозита при автоматическом пересчете (Deposit End for automatic accounting).</t>
  </si>
  <si>
    <t xml:space="preserve">5YBS100</t>
  </si>
  <si>
    <t xml:space="preserve">Ошибка последовательности сообщений платы контроллера RBU в ходе операции Конец Депозита при автоматическом пересчете (Deposit End for automatic accounting).</t>
  </si>
  <si>
    <t xml:space="preserve">5YBS200</t>
  </si>
  <si>
    <t xml:space="preserve">Ошибка Информации о памяти MI в ходе соединения контроллера RBU в ходе операции Конец Депозита при автоматическом пересчете (Deposit End for automatic accounting).</t>
  </si>
  <si>
    <t xml:space="preserve">5YUS100</t>
  </si>
  <si>
    <t xml:space="preserve">Ошибка дублирования номера последовательности USB в ходе операции Конец Депозита при автоматическом пересчете (Deposit End for automatic accounting).</t>
  </si>
  <si>
    <t xml:space="preserve">5YUS300</t>
  </si>
  <si>
    <t xml:space="preserve">Ошибка длины данных команды USB  в ходе операции Конец Депозита при автоматическом пересчете (Deposit End for automatic accounting).</t>
  </si>
  <si>
    <t xml:space="preserve">5ZUS000</t>
  </si>
  <si>
    <t xml:space="preserve">Отказ в сертификации на 1 стадии.</t>
  </si>
  <si>
    <t xml:space="preserve">5ZUS100</t>
  </si>
  <si>
    <t xml:space="preserve">Отказ в сертификации на 2 стадии.</t>
  </si>
  <si>
    <t xml:space="preserve">5ZUS200</t>
  </si>
  <si>
    <t xml:space="preserve">Ошибка дешифрования данных USB.</t>
  </si>
  <si>
    <t xml:space="preserve">9510500</t>
  </si>
  <si>
    <t xml:space="preserve">Модуль Рециркуляции Банкнот BRM не спозиционирован</t>
  </si>
  <si>
    <t xml:space="preserve">1. Убедитесь, что Модуль Рециркуляции Банкнот находится в ожидаемом положении. 2. Проверьте состояние датчика в Сервисной утилите вендора VDM в случае повторения ошибки даже при ожидаемом положении Модуля Рециркуляции Банкнот</t>
  </si>
  <si>
    <t xml:space="preserve">9513300</t>
  </si>
  <si>
    <t xml:space="preserve">Не удалось выполнить опрос и открыть ошибку связи.</t>
  </si>
  <si>
    <t xml:space="preserve">1. Проверьте USB-кабель 2. Проверьте наименование драйвера, загруженного в Менеджер оборудования: nh GBRM или BRM20 3. В случае ненормальной работы потребуется проанализировать лог-журналы. Соберите лог-журнал.</t>
  </si>
  <si>
    <t xml:space="preserve">9513400</t>
  </si>
  <si>
    <t xml:space="preserve">Активирован новый процесс шифрования, операция не может быть выполнена.</t>
  </si>
  <si>
    <t xml:space="preserve">1. Переведите DIP-переключатель платы RBU №7 в положение ON (вкл) 2. Выполните сброс основной платы 3. Подождите в течение 20 секунд 4. Восстановите  DIP-переключатель  платы RBU №7 в положение OFF (выкл) 5. Повторно выполните сброс</t>
  </si>
  <si>
    <t xml:space="preserve">Отсоединение или выключение внешнего Шаттера</t>
  </si>
  <si>
    <t xml:space="preserve">1. Проверьте USB/последовательный кабель между устройством внешнего шаттера и Управляющей электроникой CE 2. Выключите и включите драйвер внешнего шаттера </t>
  </si>
  <si>
    <t xml:space="preserve">Обновите dll-файл библиотеки Сервисной утилиты производителя VDM Модуля Рециркуляции Банкнот BRM</t>
  </si>
  <si>
    <t xml:space="preserve">Произошла ошибка Шаттера.</t>
  </si>
  <si>
    <t xml:space="preserve">Проверьте, что шторка шаттера закрыта</t>
  </si>
  <si>
    <t xml:space="preserve">В случае отправки команды отменв от ПО верхнего уровня AP</t>
  </si>
  <si>
    <t xml:space="preserve">1. Обработана команда отмены транзакции от ПО верхнего уровня AP (Проверьте поток команд от ПО Верхнего уровня AP)</t>
  </si>
  <si>
    <t xml:space="preserve">Произошёл аппратный сбой в ходе операции Транзакция (Transaction). Например, в ходе операции выдача, отбраковка, удержание, внесение, конец внесения и команды сброс.</t>
  </si>
  <si>
    <t xml:space="preserve">1. Проверьте тракт или модуль на наличие сбоев. 2. В случае ненормальной работы потребуется проанализировать лог-журналы. Соберите лог-журнал.</t>
  </si>
  <si>
    <t xml:space="preserve">Не удалось выделить память во время выполнения команды xfs</t>
  </si>
  <si>
    <t xml:space="preserve">1. Проверьте выделенную память для ПО Верхнего AP и Среднего SP уровней 2. В случае ненормальной работы потребуется проанализировать лог-журналы. Соберите лог-журнал.</t>
  </si>
  <si>
    <t xml:space="preserve">Время ожидания выполнения xfs команды истекло</t>
  </si>
  <si>
    <t xml:space="preserve">1. Проверьте значение входного таймаута от ПО верхнего уровня AP</t>
  </si>
  <si>
    <t xml:space="preserve">Неподдерживаемая xfs команда xfs.</t>
  </si>
  <si>
    <t xml:space="preserve">1. Неподдерживаемая команда</t>
  </si>
  <si>
    <t xml:space="preserve">Неверные данные памяти, в случае ввода денежной единицы numver 0 и отдельного параметра mixnumber в ходе отправки команды denominate.</t>
  </si>
  <si>
    <t xml:space="preserve">1. Проверьте входные данные от ПО верхнего уровня AP 2. В случае ненормальной работы потребуется проанализировать лог-журналы. Соберите лог-журнал.</t>
  </si>
  <si>
    <t xml:space="preserve">Несоответствие запрошенного кол-ва и суммы запрошенного кол-ва: вероятно нулевое значение.</t>
  </si>
  <si>
    <t xml:space="preserve">1. В случае ненормальной работы потребуется проанализировать лог-журналы. Соберите лог-журнал.</t>
  </si>
  <si>
    <t xml:space="preserve">Введён недопустимый номинал.</t>
  </si>
  <si>
    <t xml:space="preserve">1. Проверьте входные данные 2. В случае ненормальной работы потребуется проанализировать лог-журналы. Соберите лог-журнал.</t>
  </si>
  <si>
    <t xml:space="preserve">Произошла ошибка модуля наличных. Например, невозможна операция выдачи</t>
  </si>
  <si>
    <t xml:space="preserve">1. Проверьте состояние кассеты, оставшееся кол-во банкнот по данным ПО и фактическое. В том числе проверьте прижимную пластину, переднюю направляющую, слистывающий ролик 2. В случае ненормальной работы потребуется проанализировать лог-журналы. Соберите лог-журнал.</t>
  </si>
  <si>
    <t xml:space="preserve">Введеное неверно значение суммы кол-ва емкостей для наличных и денежные единицы больше определенных значений.</t>
  </si>
  <si>
    <t xml:space="preserve">Запрос на превышение максимального количества.</t>
  </si>
  <si>
    <t xml:space="preserve">Неподдерживаемая позиция</t>
  </si>
  <si>
    <t xml:space="preserve">Не удалось открыть Шторку шаттера</t>
  </si>
  <si>
    <t xml:space="preserve">1. Проверьте состояние и ошибки шторки шаттера 2. Проверьте положение верхней части Модуля Рециркуляции Банкнот, а также положение выходного отверстия</t>
  </si>
  <si>
    <t xml:space="preserve">Шторка шаттера уже открыта</t>
  </si>
  <si>
    <t xml:space="preserve">1. Проверьте состояние и ошибки шторки шаттера 2. В случае ненормальной работы потребуется проанализировать лог-журналы. Соберите лог-журнал.</t>
  </si>
  <si>
    <t xml:space="preserve">Думаю, выходное пололожение пусто при выполнении команды present</t>
  </si>
  <si>
    <t xml:space="preserve">1. Проверьте наличие предметов в выходном лотке 2. В случае ненормальной работы потребуется проанализировать лог-журналы. Соберите лог-журнал.</t>
  </si>
  <si>
    <t xml:space="preserve">9530317</t>
  </si>
  <si>
    <t xml:space="preserve">Модуль Рециркуляции Банкнот BRM уже находится в состоянии обмена.</t>
  </si>
  <si>
    <t xml:space="preserve">1. Проверьте поток команд от ПО верхнего уровня AP 2. В случае ненормальной работы потребуется проанализировать лог-журналы. Соберите лог-журнал.</t>
  </si>
  <si>
    <t xml:space="preserve">Отсутствует активный обмен</t>
  </si>
  <si>
    <t xml:space="preserve">Не удалось закрыть Шторку шаттера по команде закрыть шаттер.</t>
  </si>
  <si>
    <t xml:space="preserve">Банкноты были предоставлены в выходное положение в начале операции, но были убраны до завершения операции при команде удержания</t>
  </si>
  <si>
    <t xml:space="preserve">Содержимое по крайней мере одной из определенных строк mix таблицы неверно.</t>
  </si>
  <si>
    <t xml:space="preserve">1. Потребуется проанализировать лог-журналы. Соберите лог-журнал.</t>
  </si>
  <si>
    <t xml:space="preserve">Зона для удержания, определенная в параметре RetractArea не поддерживается.</t>
  </si>
  <si>
    <t xml:space="preserve">1. Проверьте входные данные от ПО верхнего уровня AP</t>
  </si>
  <si>
    <t xml:space="preserve">Таблица mix используется для определения деноминации, но значение, определенное для деноминации отсутсвует в mix таблице.</t>
  </si>
  <si>
    <t xml:space="preserve">Банкноты были оставлены в трансортном тракте или выходном слоте в результате предшествующей операции Выдачи, Предъявления или Внесения в рециркулятор.</t>
  </si>
  <si>
    <t xml:space="preserve">Ненормальный режим работы.</t>
  </si>
  <si>
    <t xml:space="preserve">1. Проверьте состояние DIP-переключателя №5 Платы контроллера RBU 2. В случае ненормальной работы потребуется проанализировать лог-журналы. Соберите лог-журнал.</t>
  </si>
  <si>
    <t xml:space="preserve">9590600</t>
  </si>
  <si>
    <t xml:space="preserve">Нештатное положение DIP-переключателей Основного контроллера Main B/D Модуля Рециркуляции Банкнот BRM</t>
  </si>
  <si>
    <t xml:space="preserve">Установите DIP-Переключатель №5 основной платы Модуля Рециркуляции банкнот BRM в положение ВЫКЛ OFF. Выполните команду Сброс.</t>
  </si>
  <si>
    <t xml:space="preserve">ID кассеты отсутствует или задвоен. Пожалуйста, проверьте ID кассеты.</t>
  </si>
  <si>
    <t xml:space="preserve">1. Запустите Сервисную утилиту производителя NHVDM. 2. Выберите кнопкуSet Casette ID.  3. Проверьте и установите значения ID кассет для всех кассет от A до E. 4. Выберите кнопку Initialize.</t>
  </si>
  <si>
    <t xml:space="preserve">Суммарное количество отличается от суммы частного кол-ва в ходе операции Транзакция (Transaction).</t>
  </si>
  <si>
    <t xml:space="preserve">Выполните команду Сброс.</t>
  </si>
  <si>
    <t xml:space="preserve">Over max accept count в ходе операции Транзакция (Transaction).</t>
  </si>
  <si>
    <t xml:space="preserve">Состояние Модуля временного хранения_TE пустое, но значение счетчика принятых банкнот не нулевое.</t>
  </si>
  <si>
    <t xml:space="preserve">95d0004</t>
  </si>
  <si>
    <t xml:space="preserve">1. Проверьте тракт или модуль на наличие сбоев. 2. В случае ненормальной работы потребуется проанализировать лог-журналы. Соберите лог-журнал.
3. если удаленная перезагрузка не помогла, то вызовите мастера для диагностики ус без выгрузки. далее действуйте в зависимости от того, как ответит мастер.</t>
  </si>
  <si>
    <t xml:space="preserve">95D0014</t>
  </si>
  <si>
    <t xml:space="preserve">95D0015</t>
  </si>
  <si>
    <t xml:space="preserve">95D0048</t>
  </si>
  <si>
    <t xml:space="preserve">95D0050</t>
  </si>
  <si>
    <t xml:space="preserve">95D0052</t>
  </si>
  <si>
    <t xml:space="preserve">95D0053</t>
  </si>
  <si>
    <t xml:space="preserve">95D0312</t>
  </si>
  <si>
    <t xml:space="preserve">95D1307</t>
  </si>
  <si>
    <t xml:space="preserve">Было внесено слишком много. Приемный Укладчик переполнен.</t>
  </si>
  <si>
    <t xml:space="preserve">1. Проверьте поток команд от ПО верхнего уровня AP. 2. Убедитесь в правильных настройках максимального колва принимаемых банкнот. 3. В случае ненормальной работы потребуется проанализировать лог-журналы. Соберите лог-журнал.</t>
  </si>
  <si>
    <t xml:space="preserve">95D1308</t>
  </si>
  <si>
    <t xml:space="preserve">Указанная позиция не поддерживается.</t>
  </si>
  <si>
    <t xml:space="preserve">95D1315</t>
  </si>
  <si>
    <t xml:space="preserve">Указанный номер денежной единицы не действителен</t>
  </si>
  <si>
    <t xml:space="preserve">95D1316</t>
  </si>
  <si>
    <t xml:space="preserve">Не было внесено банкнот</t>
  </si>
  <si>
    <t xml:space="preserve">1. Проверьте нет ли посторонних предметов в выходном тракте. 2. В случае ненормальной работы потребуется проанализировать лог-журналы. Соберите лог-журнал.</t>
  </si>
  <si>
    <t xml:space="preserve">95D1317</t>
  </si>
  <si>
    <t xml:space="preserve">Сервис Модуля Рециркуляции Банкнот BRM в состоянии обмена.</t>
  </si>
  <si>
    <t xml:space="preserve">1. Проверьте поток команд от ПО верхнего уровня AP cause service is in an exchange state. 2. В случае ненормальной работы потребуется проанализировать лог-журналы. Соберите лог-журнал.</t>
  </si>
  <si>
    <t xml:space="preserve">95D1318</t>
  </si>
  <si>
    <t xml:space="preserve">95D1319</t>
  </si>
  <si>
    <t xml:space="preserve">95D1323</t>
  </si>
  <si>
    <t xml:space="preserve">Банкноты были предоставлены в выходное положение в начале операции, но были убраны до завершения операции</t>
  </si>
  <si>
    <t xml:space="preserve">95D1325</t>
  </si>
  <si>
    <t xml:space="preserve">Активна транзакция Депозита Cash-In</t>
  </si>
  <si>
    <t xml:space="preserve">95D1326</t>
  </si>
  <si>
    <t xml:space="preserve">Нет активной транзакции внесения наличных</t>
  </si>
  <si>
    <t xml:space="preserve">95d1316</t>
  </si>
  <si>
    <t xml:space="preserve">Выходное положение не пусто, поэтому внесение наличных невозможно.</t>
  </si>
  <si>
    <t xml:space="preserve">95D1335</t>
  </si>
  <si>
    <t xml:space="preserve">95D1339</t>
  </si>
  <si>
    <t xml:space="preserve">Аппаратное обеспечение требует, чтобы перед применением изменений модуль наличных был пуст.</t>
  </si>
  <si>
    <t xml:space="preserve">1. Проверьте не остались ли банкноты внутри кассеты 2. В случае ненормальной работы потребуется проанализировать лог-журналы. Соберите лог-журнал.</t>
  </si>
  <si>
    <t xml:space="preserve">H17</t>
  </si>
  <si>
    <t xml:space="preserve">Не удалось записать данные серийного номера модуля</t>
  </si>
  <si>
    <t xml:space="preserve">Не удалось записать данные серийного номера модуля Failed to Write unit serial number data</t>
  </si>
  <si>
    <t xml:space="preserve">H18</t>
  </si>
  <si>
    <t xml:space="preserve">Не удалось получить данные по команде неопределенного серийного номера узла</t>
  </si>
  <si>
    <t xml:space="preserve">Не удалось получить неопределенные данные серийного номера модуля</t>
  </si>
  <si>
    <t xml:space="preserve">H19</t>
  </si>
  <si>
    <t xml:space="preserve">Не удалось получить неизвестную команду.</t>
  </si>
  <si>
    <t xml:space="preserve">Не удалось получить неопределенную команду</t>
  </si>
  <si>
    <t xml:space="preserve">5C02000</t>
  </si>
  <si>
    <t xml:space="preserve">Не удалось закрыть шаттер</t>
  </si>
  <si>
    <t xml:space="preserve">1. Удалите посторонние предметы из шаттера. 2. Попробуйте закрыть шторку шаттера. 3. Замените Шторку шаттера в случае повторения симптомов ошибки</t>
  </si>
  <si>
    <t xml:space="preserve">5C02100</t>
  </si>
  <si>
    <t xml:space="preserve">Не удалось зафиксировать соленоид</t>
  </si>
  <si>
    <t xml:space="preserve">5CU0100</t>
  </si>
  <si>
    <t xml:space="preserve">Недопустимый номер последовательности</t>
  </si>
  <si>
    <t xml:space="preserve">1. Выключите и затем включите питание и проверьте функционирование. 2. Замените Плату контроллера Шторки шаттера в случае повторения симптомов ошибки</t>
  </si>
  <si>
    <t xml:space="preserve">5FF01</t>
  </si>
  <si>
    <t xml:space="preserve">Ошибка открытия шаттера</t>
  </si>
  <si>
    <t xml:space="preserve">1. Удалите посторонние предметы из шаттера. 2. Попробуйте открыть шторку шаттера. 3. Замените Шторку шаттера в случае повторения симптомов ошибки</t>
  </si>
  <si>
    <t xml:space="preserve">5FF02</t>
  </si>
  <si>
    <t xml:space="preserve">Не удалось разомкнуть соленоид.</t>
  </si>
  <si>
    <t xml:space="preserve">1. Замените соленоид</t>
  </si>
  <si>
    <t xml:space="preserve">5FF11</t>
  </si>
  <si>
    <t xml:space="preserve">5FF12</t>
  </si>
  <si>
    <t xml:space="preserve">5FF21</t>
  </si>
  <si>
    <t xml:space="preserve">Установлены неверные данные</t>
  </si>
  <si>
    <t xml:space="preserve">Проверьте данные рееста на соответствие данным спецификации</t>
  </si>
  <si>
    <t xml:space="preserve">5FFFF</t>
  </si>
  <si>
    <t xml:space="preserve">Неизвестная команда.</t>
  </si>
  <si>
    <t xml:space="preserve">5O01000</t>
  </si>
  <si>
    <t xml:space="preserve">5O01100</t>
  </si>
  <si>
    <t xml:space="preserve">1. Замените соленоид внешнего шаттeра</t>
  </si>
  <si>
    <t xml:space="preserve">5OU0100</t>
  </si>
  <si>
    <t xml:space="preserve">5U00000</t>
  </si>
  <si>
    <t xml:space="preserve">Отсутствуют данные образа для обновления</t>
  </si>
  <si>
    <t xml:space="preserve">1. Повторите попытку обновления. 2. Замените Шторку шаттера в случае повторения симптомов ошибки</t>
  </si>
  <si>
    <t xml:space="preserve">5U00100</t>
  </si>
  <si>
    <t xml:space="preserve">Неправильная команда  в ходе программирования</t>
  </si>
  <si>
    <t xml:space="preserve">5U00200</t>
  </si>
  <si>
    <t xml:space="preserve">Исходный адрес не на границе слова</t>
  </si>
  <si>
    <t xml:space="preserve">5U00300</t>
  </si>
  <si>
    <t xml:space="preserve">Адрес назначения не находится в допустимых пределах.</t>
  </si>
  <si>
    <t xml:space="preserve">5U00400</t>
  </si>
  <si>
    <t xml:space="preserve">Исходный адрес не имеет сопоставления со схемой распределения памяти</t>
  </si>
  <si>
    <t xml:space="preserve">5U00500</t>
  </si>
  <si>
    <t xml:space="preserve">Адрес назначения не распределен в памяти.</t>
  </si>
  <si>
    <t xml:space="preserve">5U00600</t>
  </si>
  <si>
    <t xml:space="preserve">Количество байтов не кратно 4 или не является допустимым значением.</t>
  </si>
  <si>
    <t xml:space="preserve">5U00700</t>
  </si>
  <si>
    <t xml:space="preserve">Недопустимый номер сектора.</t>
  </si>
  <si>
    <t xml:space="preserve">5U00800</t>
  </si>
  <si>
    <t xml:space="preserve">Сектор не пустой.</t>
  </si>
  <si>
    <t xml:space="preserve">5U00900</t>
  </si>
  <si>
    <t xml:space="preserve">Не выполнена команда подготовки сектора для записи.</t>
  </si>
  <si>
    <t xml:space="preserve">5U01000</t>
  </si>
  <si>
    <t xml:space="preserve">Исходные и адресованые данные не совпадают</t>
  </si>
  <si>
    <t xml:space="preserve">5U01100</t>
  </si>
  <si>
    <t xml:space="preserve">Аппаратный интерфейс flash-программирования занят.</t>
  </si>
  <si>
    <t xml:space="preserve">5U05000</t>
  </si>
  <si>
    <t xml:space="preserve">Образ не используется в шаттере.</t>
  </si>
  <si>
    <t xml:space="preserve">5U05100</t>
  </si>
  <si>
    <t xml:space="preserve">Образ содержит неверный ID Программы.</t>
  </si>
  <si>
    <t xml:space="preserve">5U05200</t>
  </si>
  <si>
    <t xml:space="preserve">Образ содержит неверный ID блока.</t>
  </si>
  <si>
    <t xml:space="preserve">5U05300</t>
  </si>
  <si>
    <t xml:space="preserve">Произошла ошибка проверки контрольной суммы CRC заголовка образа</t>
  </si>
  <si>
    <t xml:space="preserve">5U05400</t>
  </si>
  <si>
    <t xml:space="preserve">Произошла ошибка проверки контрольной суммы CRC данных образа</t>
  </si>
  <si>
    <t xml:space="preserve">5U06000</t>
  </si>
  <si>
    <t xml:space="preserve">Полученные данные по размеру меньше образа.</t>
  </si>
  <si>
    <t xml:space="preserve">5UU0100</t>
  </si>
  <si>
    <t xml:space="preserve">5VU0100</t>
  </si>
  <si>
    <t xml:space="preserve">5Z00000</t>
  </si>
  <si>
    <t xml:space="preserve">5Z09900</t>
  </si>
  <si>
    <t xml:space="preserve">Произошла внутренняя системная ошибка.</t>
  </si>
  <si>
    <t xml:space="preserve">5b0135k</t>
  </si>
  <si>
    <t xml:space="preserve">GS003 сообщил об ошибке замятия по Темному типу в ходе операции Удержание из TE (Retract TE</t>
  </si>
  <si>
    <t xml:space="preserve">1. Откройте верхнюю часть Модуля Рециркуляции Банкнот. 2. Откройте Модуль временного хранения (12) 3. Откройте Задний Транспортный Тракт (6) 4. Удалите банкноты и посторонние предметы из Заднего Транспортного Тракта (6) 5. В случае отсутствия банкнот или посторонних предметов проверьте не загрязнен ли датчик</t>
  </si>
  <si>
    <t xml:space="preserve">5b01k61</t>
  </si>
  <si>
    <t xml:space="preserve">GS703 сообщил об ошибке замятия по Темному типу в ходе операции Удержание из TE (Retract TE)</t>
  </si>
  <si>
    <t xml:space="preserve">Откройте верхнюю часть Модуля Рециркуляции Банкнот 2. Откройте модуль Временного хранения_TE (Временный Эскроу) (12) 3. Прокрутите круглую ручку Модуля временного хранения_TE (12) 4. Удалите банкноты и посторонние предметы из Заднего Транспортного Тракта (11)</t>
  </si>
  <si>
    <t xml:space="preserve">000000</t>
  </si>
  <si>
    <t xml:space="preserve">Не является ошибкой</t>
  </si>
  <si>
    <t xml:space="preserve">Если нет транзайкий, необходим выезд СБС. Если ОД в ошибке - ПИ</t>
  </si>
  <si>
    <r>
      <rPr>
        <sz val="10"/>
        <rFont val="Arial"/>
        <family val="2"/>
        <charset val="204"/>
      </rPr>
      <t xml:space="preserve">При подстановке кода и отсутствия на него расшифровки обратить внимание на последние 2 цифры кода.
Если 6-7 знакии кода отличны от 0 необходимо их заменить.
Пример: 5B00P</t>
    </r>
    <r>
      <rPr>
        <sz val="10"/>
        <color rgb="FFFF0000"/>
        <rFont val="Arial"/>
        <family val="2"/>
        <charset val="204"/>
      </rPr>
      <t xml:space="preserve">3P</t>
    </r>
    <r>
      <rPr>
        <sz val="10"/>
        <rFont val="Arial"/>
        <family val="2"/>
        <charset val="204"/>
      </rPr>
      <t xml:space="preserve"> =======&gt;  5B00P</t>
    </r>
    <r>
      <rPr>
        <sz val="10"/>
        <color rgb="FFFF0000"/>
        <rFont val="Arial"/>
        <family val="2"/>
        <charset val="204"/>
      </rPr>
      <t xml:space="preserve">00
</t>
    </r>
    <r>
      <rPr>
        <sz val="10"/>
        <rFont val="Arial"/>
        <family val="2"/>
        <charset val="204"/>
      </rPr>
      <t xml:space="preserve">Ошибки по BRM начинаются с кода </t>
    </r>
    <r>
      <rPr>
        <sz val="10"/>
        <color rgb="FFFF0000"/>
        <rFont val="Arial"/>
        <family val="2"/>
        <charset val="204"/>
      </rPr>
      <t xml:space="preserve">5
</t>
    </r>
    <r>
      <rPr>
        <sz val="10"/>
        <rFont val="Arial"/>
        <family val="2"/>
        <charset val="204"/>
      </rPr>
      <t xml:space="preserve">Ошибки, начинающиеся другим кодом расшифровки, в данной таблице, не имеют.</t>
    </r>
  </si>
  <si>
    <t xml:space="preserve">Филиал/Дирекция</t>
  </si>
  <si>
    <t xml:space="preserve">РЦ</t>
  </si>
  <si>
    <t xml:space="preserve">Код места оформления</t>
  </si>
  <si>
    <t xml:space="preserve">ФИО УБЛ</t>
  </si>
  <si>
    <t xml:space="preserve">Код УБЛ</t>
  </si>
  <si>
    <t xml:space="preserve">ФИО Клиента</t>
  </si>
  <si>
    <t xml:space="preserve">№ КД</t>
  </si>
  <si>
    <t xml:space="preserve">Тип ошибки</t>
  </si>
  <si>
    <t xml:space="preserve">Информация об ошибке</t>
  </si>
  <si>
    <t xml:space="preserve">Отметки Банка</t>
  </si>
  <si>
    <t xml:space="preserve">Статус ошибки</t>
  </si>
  <si>
    <t xml:space="preserve">Дата обнаружения ошибки</t>
  </si>
  <si>
    <t xml:space="preserve">Дата исправления ошибки</t>
  </si>
  <si>
    <t xml:space="preserve">Состояние</t>
  </si>
</sst>
</file>

<file path=xl/styles.xml><?xml version="1.0" encoding="utf-8"?>
<styleSheet xmlns="http://schemas.openxmlformats.org/spreadsheetml/2006/main">
  <numFmts count="5">
    <numFmt numFmtId="164" formatCode="General"/>
    <numFmt numFmtId="165" formatCode="General"/>
    <numFmt numFmtId="166" formatCode="0"/>
    <numFmt numFmtId="167" formatCode="@"/>
    <numFmt numFmtId="168" formatCode="dd/mm/yyyy"/>
  </numFmts>
  <fonts count="46">
    <font>
      <sz val="10"/>
      <name val="Arial Cyr"/>
      <family val="0"/>
      <charset val="204"/>
    </font>
    <font>
      <sz val="10"/>
      <name val="Arial"/>
      <family val="0"/>
      <charset val="204"/>
    </font>
    <font>
      <sz val="10"/>
      <name val="Arial"/>
      <family val="0"/>
      <charset val="204"/>
    </font>
    <font>
      <sz val="10"/>
      <name val="Arial"/>
      <family val="0"/>
      <charset val="204"/>
    </font>
    <font>
      <sz val="11"/>
      <color rgb="FF000000"/>
      <name val="Calibri"/>
      <family val="2"/>
      <charset val="204"/>
    </font>
    <font>
      <sz val="11"/>
      <color rgb="FFFFFFFF"/>
      <name val="Calibri"/>
      <family val="2"/>
      <charset val="204"/>
    </font>
    <font>
      <sz val="10"/>
      <color rgb="FF000000"/>
      <name val="Arial"/>
      <family val="2"/>
      <charset val="204"/>
    </font>
    <font>
      <sz val="11"/>
      <color rgb="FF3F3F76"/>
      <name val="Calibri"/>
      <family val="2"/>
      <charset val="204"/>
    </font>
    <font>
      <b val="true"/>
      <sz val="11"/>
      <color rgb="FF3F3F3F"/>
      <name val="Calibri"/>
      <family val="2"/>
      <charset val="204"/>
    </font>
    <font>
      <b val="true"/>
      <sz val="11"/>
      <color rgb="FFFA7D00"/>
      <name val="Calibri"/>
      <family val="2"/>
      <charset val="204"/>
    </font>
    <font>
      <b val="true"/>
      <sz val="15"/>
      <color rgb="FF1F497D"/>
      <name val="Calibri"/>
      <family val="2"/>
      <charset val="204"/>
    </font>
    <font>
      <b val="true"/>
      <sz val="13"/>
      <color rgb="FF1F497D"/>
      <name val="Calibri"/>
      <family val="2"/>
      <charset val="204"/>
    </font>
    <font>
      <b val="true"/>
      <sz val="11"/>
      <color rgb="FF1F497D"/>
      <name val="Calibri"/>
      <family val="2"/>
      <charset val="204"/>
    </font>
    <font>
      <b val="true"/>
      <sz val="11"/>
      <color rgb="FF000000"/>
      <name val="Calibri"/>
      <family val="2"/>
      <charset val="204"/>
    </font>
    <font>
      <b val="true"/>
      <sz val="11"/>
      <color rgb="FFFFFFFF"/>
      <name val="Calibri"/>
      <family val="2"/>
      <charset val="204"/>
    </font>
    <font>
      <b val="true"/>
      <sz val="18"/>
      <color rgb="FF1F497D"/>
      <name val="Cambria"/>
      <family val="2"/>
      <charset val="204"/>
    </font>
    <font>
      <sz val="11"/>
      <color rgb="FF9C6500"/>
      <name val="Calibri"/>
      <family val="2"/>
      <charset val="204"/>
    </font>
    <font>
      <sz val="11"/>
      <color rgb="FF9C0006"/>
      <name val="Calibri"/>
      <family val="2"/>
      <charset val="204"/>
    </font>
    <font>
      <i val="true"/>
      <sz val="11"/>
      <color rgb="FF7F7F7F"/>
      <name val="Calibri"/>
      <family val="2"/>
      <charset val="204"/>
    </font>
    <font>
      <sz val="11"/>
      <color rgb="FFFA7D00"/>
      <name val="Calibri"/>
      <family val="2"/>
      <charset val="204"/>
    </font>
    <font>
      <sz val="11"/>
      <color rgb="FFFF0000"/>
      <name val="Calibri"/>
      <family val="2"/>
      <charset val="204"/>
    </font>
    <font>
      <sz val="11"/>
      <color rgb="FF006100"/>
      <name val="Calibri"/>
      <family val="2"/>
      <charset val="204"/>
    </font>
    <font>
      <sz val="10"/>
      <name val="Calibri"/>
      <family val="2"/>
      <charset val="204"/>
    </font>
    <font>
      <b val="true"/>
      <sz val="14"/>
      <color rgb="FF376092"/>
      <name val="Arial Cyr"/>
      <family val="0"/>
      <charset val="204"/>
    </font>
    <font>
      <b val="true"/>
      <sz val="14"/>
      <color rgb="FF376092"/>
      <name val="Arial Cyr"/>
      <family val="0"/>
      <charset val="1"/>
    </font>
    <font>
      <u val="single"/>
      <sz val="11"/>
      <color rgb="FF0000FF"/>
      <name val="Calibri"/>
      <family val="2"/>
      <charset val="204"/>
    </font>
    <font>
      <b val="true"/>
      <sz val="26"/>
      <color rgb="FF0000FF"/>
      <name val="Calibri"/>
      <family val="2"/>
      <charset val="204"/>
    </font>
    <font>
      <b val="true"/>
      <sz val="18"/>
      <color rgb="FFFF0000"/>
      <name val="Calibri"/>
      <family val="2"/>
      <charset val="204"/>
    </font>
    <font>
      <b val="true"/>
      <sz val="13"/>
      <color rgb="FFFF0000"/>
      <name val="Calibri"/>
      <family val="2"/>
      <charset val="204"/>
    </font>
    <font>
      <sz val="11"/>
      <name val="Calibri"/>
      <family val="2"/>
      <charset val="204"/>
    </font>
    <font>
      <b val="true"/>
      <sz val="72"/>
      <color rgb="FFFF0000"/>
      <name val="Calibri"/>
      <family val="2"/>
      <charset val="204"/>
    </font>
    <font>
      <sz val="22"/>
      <color rgb="FFFF0000"/>
      <name val="Calibri"/>
      <family val="2"/>
      <charset val="204"/>
    </font>
    <font>
      <b val="true"/>
      <sz val="22"/>
      <color rgb="FFFF0000"/>
      <name val="Calibri"/>
      <family val="2"/>
      <charset val="204"/>
    </font>
    <font>
      <b val="true"/>
      <sz val="14"/>
      <color rgb="FFFF0000"/>
      <name val="Calibri"/>
      <family val="2"/>
      <charset val="204"/>
    </font>
    <font>
      <b val="true"/>
      <sz val="12"/>
      <color rgb="FFFF0000"/>
      <name val="Calibri"/>
      <family val="2"/>
      <charset val="204"/>
    </font>
    <font>
      <b val="true"/>
      <sz val="11"/>
      <color rgb="FFFF0000"/>
      <name val="Calibri"/>
      <family val="2"/>
      <charset val="204"/>
    </font>
    <font>
      <b val="true"/>
      <sz val="16"/>
      <color rgb="FFFF0000"/>
      <name val="Calibri"/>
      <family val="2"/>
      <charset val="204"/>
    </font>
    <font>
      <b val="true"/>
      <sz val="13"/>
      <color rgb="FF000000"/>
      <name val="Calibri"/>
      <family val="2"/>
      <charset val="204"/>
    </font>
    <font>
      <b val="true"/>
      <sz val="55"/>
      <color rgb="FFFF0000"/>
      <name val="Calibri"/>
      <family val="2"/>
      <charset val="204"/>
    </font>
    <font>
      <b val="true"/>
      <sz val="10"/>
      <name val="Calibri"/>
      <family val="2"/>
      <charset val="204"/>
    </font>
    <font>
      <b val="true"/>
      <sz val="10"/>
      <name val="Arial Cyr"/>
      <family val="0"/>
      <charset val="204"/>
    </font>
    <font>
      <b val="true"/>
      <sz val="10"/>
      <name val="Arial Cyr"/>
      <family val="0"/>
      <charset val="1"/>
    </font>
    <font>
      <sz val="10"/>
      <color rgb="FF000000"/>
      <name val="Times New Roman"/>
      <family val="1"/>
      <charset val="204"/>
    </font>
    <font>
      <sz val="10"/>
      <name val="Arial Cyr"/>
      <family val="0"/>
      <charset val="1"/>
    </font>
    <font>
      <sz val="10"/>
      <name val="Arial"/>
      <family val="2"/>
      <charset val="204"/>
    </font>
    <font>
      <sz val="10"/>
      <color rgb="FFFF0000"/>
      <name val="Arial"/>
      <family val="2"/>
      <charset val="204"/>
    </font>
  </fonts>
  <fills count="38">
    <fill>
      <patternFill patternType="none"/>
    </fill>
    <fill>
      <patternFill patternType="gray125"/>
    </fill>
    <fill>
      <patternFill patternType="solid">
        <fgColor rgb="FFDCE6F2"/>
        <bgColor rgb="FFDBEEF4"/>
      </patternFill>
    </fill>
    <fill>
      <patternFill patternType="solid">
        <fgColor rgb="FFF2DCDB"/>
        <bgColor rgb="FFE6E0EC"/>
      </patternFill>
    </fill>
    <fill>
      <patternFill patternType="solid">
        <fgColor rgb="FFEBF1DE"/>
        <bgColor rgb="FFF2F2F2"/>
      </patternFill>
    </fill>
    <fill>
      <patternFill patternType="solid">
        <fgColor rgb="FFE6E0EC"/>
        <bgColor rgb="FFDCE6F2"/>
      </patternFill>
    </fill>
    <fill>
      <patternFill patternType="solid">
        <fgColor rgb="FFDBEEF4"/>
        <bgColor rgb="FFDCE6F2"/>
      </patternFill>
    </fill>
    <fill>
      <patternFill patternType="solid">
        <fgColor rgb="FFFDEADA"/>
        <bgColor rgb="FFEBF1DE"/>
      </patternFill>
    </fill>
    <fill>
      <patternFill patternType="solid">
        <fgColor rgb="FFB9CDE5"/>
        <bgColor rgb="FFC6D9F1"/>
      </patternFill>
    </fill>
    <fill>
      <patternFill patternType="solid">
        <fgColor rgb="FFE6B9B8"/>
        <bgColor rgb="FFFAC090"/>
      </patternFill>
    </fill>
    <fill>
      <patternFill patternType="solid">
        <fgColor rgb="FFD7E4BD"/>
        <bgColor rgb="FFC6EFCE"/>
      </patternFill>
    </fill>
    <fill>
      <patternFill patternType="solid">
        <fgColor rgb="FFCCC1DA"/>
        <bgColor rgb="FFC0C0C0"/>
      </patternFill>
    </fill>
    <fill>
      <patternFill patternType="solid">
        <fgColor rgb="FFB7DEE8"/>
        <bgColor rgb="FFC6D9F1"/>
      </patternFill>
    </fill>
    <fill>
      <patternFill patternType="solid">
        <fgColor rgb="FFFCD5B5"/>
        <bgColor rgb="FFFFCC99"/>
      </patternFill>
    </fill>
    <fill>
      <patternFill patternType="solid">
        <fgColor rgb="FF95B3D7"/>
        <bgColor rgb="FFA7C0DE"/>
      </patternFill>
    </fill>
    <fill>
      <patternFill patternType="solid">
        <fgColor rgb="FFD99694"/>
        <bgColor rgb="FFB3A2C7"/>
      </patternFill>
    </fill>
    <fill>
      <patternFill patternType="solid">
        <fgColor rgb="FFC3D69B"/>
        <bgColor rgb="FFD7E4BD"/>
      </patternFill>
    </fill>
    <fill>
      <patternFill patternType="solid">
        <fgColor rgb="FFB3A2C7"/>
        <bgColor rgb="FFA5A5A5"/>
      </patternFill>
    </fill>
    <fill>
      <patternFill patternType="solid">
        <fgColor rgb="FF93CDDD"/>
        <bgColor rgb="FFA7C0DE"/>
      </patternFill>
    </fill>
    <fill>
      <patternFill patternType="solid">
        <fgColor rgb="FFFAC090"/>
        <bgColor rgb="FFFFCC99"/>
      </patternFill>
    </fill>
    <fill>
      <patternFill patternType="solid">
        <fgColor rgb="FFFFFFFF"/>
        <bgColor rgb="FFF2F2F2"/>
      </patternFill>
    </fill>
    <fill>
      <patternFill patternType="solid">
        <fgColor rgb="FF4F81BD"/>
        <bgColor rgb="FF376092"/>
      </patternFill>
    </fill>
    <fill>
      <patternFill patternType="solid">
        <fgColor rgb="FFC0504D"/>
        <bgColor rgb="FF984807"/>
      </patternFill>
    </fill>
    <fill>
      <patternFill patternType="solid">
        <fgColor rgb="FF9BBB59"/>
        <bgColor rgb="FF92D050"/>
      </patternFill>
    </fill>
    <fill>
      <patternFill patternType="solid">
        <fgColor rgb="FF8064A2"/>
        <bgColor rgb="FF7F7F7F"/>
      </patternFill>
    </fill>
    <fill>
      <patternFill patternType="solid">
        <fgColor rgb="FF4BACC6"/>
        <bgColor rgb="FF4F81BD"/>
      </patternFill>
    </fill>
    <fill>
      <patternFill patternType="solid">
        <fgColor rgb="FFF79646"/>
        <bgColor rgb="FFFF8001"/>
      </patternFill>
    </fill>
    <fill>
      <patternFill patternType="solid">
        <fgColor rgb="FFFFCC99"/>
        <bgColor rgb="FFFAC090"/>
      </patternFill>
    </fill>
    <fill>
      <patternFill patternType="solid">
        <fgColor rgb="FFF2F2F2"/>
        <bgColor rgb="FFEBF1DE"/>
      </patternFill>
    </fill>
    <fill>
      <patternFill patternType="solid">
        <fgColor rgb="FFA5A5A5"/>
        <bgColor rgb="FFB2B2B2"/>
      </patternFill>
    </fill>
    <fill>
      <patternFill patternType="solid">
        <fgColor rgb="FFFFEB9C"/>
        <bgColor rgb="FFFCD5B5"/>
      </patternFill>
    </fill>
    <fill>
      <patternFill patternType="solid">
        <fgColor rgb="FFFFC7CE"/>
        <bgColor rgb="FFFCD5B5"/>
      </patternFill>
    </fill>
    <fill>
      <patternFill patternType="solid">
        <fgColor rgb="FFFFFFCC"/>
        <bgColor rgb="FFEBF1DE"/>
      </patternFill>
    </fill>
    <fill>
      <patternFill patternType="solid">
        <fgColor rgb="FFC6EFCE"/>
        <bgColor rgb="FFD7E4BD"/>
      </patternFill>
    </fill>
    <fill>
      <patternFill patternType="solid">
        <fgColor rgb="FFC6D9F1"/>
        <bgColor rgb="FFB7DEE8"/>
      </patternFill>
    </fill>
    <fill>
      <patternFill patternType="solid">
        <fgColor rgb="FF92D050"/>
        <bgColor rgb="FF9BBB59"/>
      </patternFill>
    </fill>
    <fill>
      <patternFill patternType="solid">
        <fgColor rgb="FFC0C0C0"/>
        <bgColor rgb="FFBFBFBF"/>
      </patternFill>
    </fill>
    <fill>
      <patternFill patternType="solid">
        <fgColor rgb="FFBFBFBF"/>
        <bgColor rgb="FFC0C0C0"/>
      </patternFill>
    </fill>
  </fills>
  <borders count="18">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color rgb="FF3F3F3F"/>
      </left>
      <right style="thin">
        <color rgb="FF3F3F3F"/>
      </right>
      <top style="thin">
        <color rgb="FF3F3F3F"/>
      </top>
      <bottom style="thin">
        <color rgb="FF3F3F3F"/>
      </bottom>
      <diagonal/>
    </border>
    <border diagonalUp="false" diagonalDown="false">
      <left/>
      <right/>
      <top/>
      <bottom style="thick">
        <color rgb="FF4F81BD"/>
      </bottom>
      <diagonal/>
    </border>
    <border diagonalUp="false" diagonalDown="false">
      <left/>
      <right/>
      <top/>
      <bottom style="thick">
        <color rgb="FFA7C0DE"/>
      </bottom>
      <diagonal/>
    </border>
    <border diagonalUp="false" diagonalDown="false">
      <left/>
      <right/>
      <top/>
      <bottom style="medium">
        <color rgb="FF95B3D7"/>
      </bottom>
      <diagonal/>
    </border>
    <border diagonalUp="false" diagonalDown="false">
      <left/>
      <right/>
      <top style="thin">
        <color rgb="FF4F81BD"/>
      </top>
      <bottom style="double">
        <color rgb="FF4F81BD"/>
      </bottom>
      <diagonal/>
    </border>
    <border diagonalUp="false" diagonalDown="false">
      <left style="double">
        <color rgb="FF3F3F3F"/>
      </left>
      <right style="double">
        <color rgb="FF3F3F3F"/>
      </right>
      <top style="double">
        <color rgb="FF3F3F3F"/>
      </top>
      <bottom style="double">
        <color rgb="FF3F3F3F"/>
      </bottom>
      <diagonal/>
    </border>
    <border diagonalUp="false" diagonalDown="false">
      <left style="thin">
        <color rgb="FFB2B2B2"/>
      </left>
      <right style="thin">
        <color rgb="FFB2B2B2"/>
      </right>
      <top style="thin">
        <color rgb="FFB2B2B2"/>
      </top>
      <bottom style="thin">
        <color rgb="FFB2B2B2"/>
      </bottom>
      <diagonal/>
    </border>
    <border diagonalUp="false" diagonalDown="false">
      <left/>
      <right/>
      <top/>
      <bottom style="double">
        <color rgb="FFFF8001"/>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diagonal/>
    </border>
    <border diagonalUp="false" diagonalDown="false">
      <left/>
      <right style="thin"/>
      <top/>
      <bottom style="thin"/>
      <diagonal/>
    </border>
    <border diagonalUp="false" diagonalDown="false">
      <left style="thin"/>
      <right/>
      <top/>
      <bottom style="thin"/>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style="thin"/>
      <top style="thin"/>
      <bottom/>
      <diagonal/>
    </border>
  </borders>
  <cellStyleXfs count="6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5"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5" fillId="14" borderId="0" applyFont="true" applyBorder="false" applyAlignment="true" applyProtection="false">
      <alignment horizontal="general" vertical="bottom" textRotation="0" wrapText="false" indent="0" shrinkToFit="false"/>
    </xf>
    <xf numFmtId="164" fontId="5" fillId="15" borderId="0" applyFont="true" applyBorder="false" applyAlignment="true" applyProtection="false">
      <alignment horizontal="general" vertical="bottom" textRotation="0" wrapText="false" indent="0" shrinkToFit="false"/>
    </xf>
    <xf numFmtId="164" fontId="5" fillId="16" borderId="0" applyFont="true" applyBorder="false" applyAlignment="true" applyProtection="false">
      <alignment horizontal="general" vertical="bottom" textRotation="0" wrapText="false" indent="0" shrinkToFit="false"/>
    </xf>
    <xf numFmtId="164" fontId="5" fillId="17" borderId="0" applyFont="true" applyBorder="false" applyAlignment="true" applyProtection="false">
      <alignment horizontal="general" vertical="bottom" textRotation="0" wrapText="false" indent="0" shrinkToFit="false"/>
    </xf>
    <xf numFmtId="164" fontId="5" fillId="18" borderId="0" applyFont="true" applyBorder="false" applyAlignment="true" applyProtection="false">
      <alignment horizontal="general" vertical="bottom" textRotation="0" wrapText="false" indent="0" shrinkToFit="false"/>
    </xf>
    <xf numFmtId="164" fontId="5" fillId="19" borderId="0" applyFont="true" applyBorder="false" applyAlignment="true" applyProtection="false">
      <alignment horizontal="general" vertical="bottom" textRotation="0" wrapText="false" indent="0" shrinkToFit="false"/>
    </xf>
    <xf numFmtId="164" fontId="6" fillId="20" borderId="0" applyFont="true" applyBorder="true" applyAlignment="true" applyProtection="true">
      <alignment horizontal="center" vertical="center" textRotation="0" wrapText="false" indent="0" shrinkToFit="false"/>
      <protection locked="true" hidden="false"/>
    </xf>
    <xf numFmtId="164" fontId="5" fillId="21" borderId="0" applyFont="true" applyBorder="false" applyAlignment="true" applyProtection="false">
      <alignment horizontal="general" vertical="bottom" textRotation="0" wrapText="false" indent="0" shrinkToFit="false"/>
    </xf>
    <xf numFmtId="164" fontId="5" fillId="22" borderId="0" applyFont="true" applyBorder="false" applyAlignment="true" applyProtection="false">
      <alignment horizontal="general" vertical="bottom" textRotation="0" wrapText="false" indent="0" shrinkToFit="false"/>
    </xf>
    <xf numFmtId="164" fontId="5" fillId="23" borderId="0" applyFont="true" applyBorder="false" applyAlignment="true" applyProtection="false">
      <alignment horizontal="general" vertical="bottom" textRotation="0" wrapText="false" indent="0" shrinkToFit="false"/>
    </xf>
    <xf numFmtId="164" fontId="5" fillId="24" borderId="0" applyFont="true" applyBorder="false" applyAlignment="true" applyProtection="false">
      <alignment horizontal="general" vertical="bottom" textRotation="0" wrapText="false" indent="0" shrinkToFit="false"/>
    </xf>
    <xf numFmtId="164" fontId="5" fillId="25" borderId="0" applyFont="true" applyBorder="false" applyAlignment="true" applyProtection="false">
      <alignment horizontal="general" vertical="bottom" textRotation="0" wrapText="false" indent="0" shrinkToFit="false"/>
    </xf>
    <xf numFmtId="164" fontId="5" fillId="26" borderId="0" applyFont="true" applyBorder="false" applyAlignment="true" applyProtection="false">
      <alignment horizontal="general" vertical="bottom" textRotation="0" wrapText="false" indent="0" shrinkToFit="false"/>
    </xf>
    <xf numFmtId="164" fontId="7" fillId="27" borderId="1" applyFont="true" applyBorder="true" applyAlignment="true" applyProtection="false">
      <alignment horizontal="general" vertical="bottom" textRotation="0" wrapText="false" indent="0" shrinkToFit="false"/>
    </xf>
    <xf numFmtId="164" fontId="8" fillId="28" borderId="2" applyFont="true" applyBorder="true" applyAlignment="true" applyProtection="false">
      <alignment horizontal="general" vertical="bottom" textRotation="0" wrapText="false" indent="0" shrinkToFit="false"/>
    </xf>
    <xf numFmtId="164" fontId="9" fillId="28" borderId="1" applyFont="true" applyBorder="true" applyAlignment="true" applyProtection="false">
      <alignment horizontal="general" vertical="bottom" textRotation="0" wrapText="false" indent="0" shrinkToFit="false"/>
    </xf>
    <xf numFmtId="164" fontId="10" fillId="0" borderId="3" applyFont="true" applyBorder="true" applyAlignment="true" applyProtection="false">
      <alignment horizontal="general" vertical="bottom" textRotation="0" wrapText="false" indent="0" shrinkToFit="false"/>
    </xf>
    <xf numFmtId="164" fontId="11" fillId="0" borderId="4" applyFont="true" applyBorder="true" applyAlignment="true" applyProtection="false">
      <alignment horizontal="general" vertical="bottom" textRotation="0" wrapText="false" indent="0" shrinkToFit="false"/>
    </xf>
    <xf numFmtId="164" fontId="12" fillId="0" borderId="5" applyFont="true" applyBorder="tru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3" fillId="0" borderId="6" applyFont="true" applyBorder="true" applyAlignment="true" applyProtection="false">
      <alignment horizontal="general" vertical="bottom" textRotation="0" wrapText="false" indent="0" shrinkToFit="false"/>
    </xf>
    <xf numFmtId="164" fontId="14" fillId="29" borderId="7" applyFont="true" applyBorder="true" applyAlignment="true" applyProtection="false">
      <alignment horizontal="general" vertical="bottom" textRotation="0" wrapText="false" indent="0" shrinkToFit="false"/>
    </xf>
    <xf numFmtId="164" fontId="15" fillId="0" borderId="0" applyFont="true" applyBorder="false" applyAlignment="true" applyProtection="false">
      <alignment horizontal="general" vertical="bottom" textRotation="0" wrapText="false" indent="0" shrinkToFit="false"/>
    </xf>
    <xf numFmtId="164" fontId="16" fillId="3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17" fillId="31" borderId="0" applyFont="true" applyBorder="false" applyAlignment="true" applyProtection="false">
      <alignment horizontal="general" vertical="bottom" textRotation="0" wrapText="false" indent="0" shrinkToFit="false"/>
    </xf>
    <xf numFmtId="164" fontId="18" fillId="0" borderId="0" applyFont="true" applyBorder="false" applyAlignment="true" applyProtection="false">
      <alignment horizontal="general" vertical="bottom" textRotation="0" wrapText="false" indent="0" shrinkToFit="false"/>
    </xf>
    <xf numFmtId="164" fontId="0" fillId="32" borderId="8" applyFont="true" applyBorder="true" applyAlignment="true" applyProtection="false">
      <alignment horizontal="general" vertical="bottom" textRotation="0" wrapText="false" indent="0" shrinkToFit="false"/>
    </xf>
    <xf numFmtId="164" fontId="19" fillId="0" borderId="9" applyFont="true" applyBorder="true" applyAlignment="true" applyProtection="false">
      <alignment horizontal="general" vertical="bottom" textRotation="0" wrapText="false" indent="0" shrinkToFit="false"/>
    </xf>
    <xf numFmtId="164" fontId="20" fillId="0" borderId="0" applyFont="true" applyBorder="false" applyAlignment="true" applyProtection="false">
      <alignment horizontal="general" vertical="bottom" textRotation="0" wrapText="false" indent="0" shrinkToFit="false"/>
    </xf>
    <xf numFmtId="164" fontId="21" fillId="33" borderId="0" applyFont="true" applyBorder="false" applyAlignment="true" applyProtection="false">
      <alignment horizontal="general" vertical="bottom" textRotation="0" wrapText="false" indent="0" shrinkToFit="false"/>
    </xf>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22" fillId="0" borderId="0" xfId="0" applyFont="true" applyBorder="true" applyAlignment="true" applyProtection="true">
      <alignment horizontal="general" vertical="center" textRotation="0" wrapText="false" indent="0" shrinkToFit="false"/>
      <protection locked="true" hidden="true"/>
    </xf>
    <xf numFmtId="164" fontId="22" fillId="0" borderId="0" xfId="0" applyFont="true" applyBorder="true" applyAlignment="true" applyProtection="true">
      <alignment horizontal="general" vertical="center" textRotation="0" wrapText="true" indent="0" shrinkToFit="false"/>
      <protection locked="true" hidden="true"/>
    </xf>
    <xf numFmtId="164" fontId="23" fillId="34" borderId="10" xfId="0" applyFont="true" applyBorder="true" applyAlignment="true" applyProtection="true">
      <alignment horizontal="center" vertical="center" textRotation="0" wrapText="true" indent="0" shrinkToFit="false"/>
      <protection locked="true" hidden="true"/>
    </xf>
    <xf numFmtId="164" fontId="23" fillId="34" borderId="11" xfId="0" applyFont="true" applyBorder="true" applyAlignment="true" applyProtection="true">
      <alignment horizontal="center" vertical="center" textRotation="0" wrapText="true" indent="0" shrinkToFit="false"/>
      <protection locked="true" hidden="true"/>
    </xf>
    <xf numFmtId="164" fontId="24" fillId="34" borderId="10" xfId="0" applyFont="true" applyBorder="true" applyAlignment="true" applyProtection="true">
      <alignment horizontal="center" vertical="center" textRotation="0" wrapText="true" indent="0" shrinkToFit="false"/>
      <protection locked="true" hidden="true"/>
    </xf>
    <xf numFmtId="164" fontId="26" fillId="0" borderId="0" xfId="20" applyFont="true" applyBorder="true" applyAlignment="true" applyProtection="true">
      <alignment horizontal="center" vertical="center" textRotation="0" wrapText="false" indent="0" shrinkToFit="false"/>
      <protection locked="false" hidden="false"/>
    </xf>
    <xf numFmtId="165" fontId="27" fillId="0" borderId="10" xfId="0" applyFont="true" applyBorder="true" applyAlignment="true" applyProtection="true">
      <alignment horizontal="center" vertical="center" textRotation="0" wrapText="true" indent="0" shrinkToFit="false"/>
      <protection locked="true" hidden="true"/>
    </xf>
    <xf numFmtId="165" fontId="28" fillId="0" borderId="10" xfId="0" applyFont="true" applyBorder="true" applyAlignment="true" applyProtection="true">
      <alignment horizontal="center" vertical="center" textRotation="0" wrapText="true" indent="0" shrinkToFit="false"/>
      <protection locked="true" hidden="true"/>
    </xf>
    <xf numFmtId="165" fontId="4" fillId="32" borderId="10" xfId="0" applyFont="true" applyBorder="true" applyAlignment="true" applyProtection="true">
      <alignment horizontal="general" vertical="center" textRotation="0" wrapText="true" indent="0" shrinkToFit="false"/>
      <protection locked="true" hidden="true"/>
    </xf>
    <xf numFmtId="165" fontId="29" fillId="32" borderId="10" xfId="0" applyFont="true" applyBorder="true" applyAlignment="true" applyProtection="true">
      <alignment horizontal="general" vertical="center" textRotation="0" wrapText="true" indent="0" shrinkToFit="false"/>
      <protection locked="true" hidden="true"/>
    </xf>
    <xf numFmtId="165" fontId="30" fillId="32" borderId="10" xfId="0" applyFont="true" applyBorder="true" applyAlignment="true" applyProtection="true">
      <alignment horizontal="center" vertical="center" textRotation="0" wrapText="true" indent="0" shrinkToFit="false"/>
      <protection locked="true" hidden="true"/>
    </xf>
    <xf numFmtId="164" fontId="31" fillId="0" borderId="10" xfId="0" applyFont="true" applyBorder="true" applyAlignment="true" applyProtection="true">
      <alignment horizontal="center" vertical="center" textRotation="0" wrapText="true" indent="0" shrinkToFit="false"/>
      <protection locked="true" hidden="true"/>
    </xf>
    <xf numFmtId="164" fontId="22" fillId="0" borderId="10" xfId="0" applyFont="true" applyBorder="true" applyAlignment="true" applyProtection="true">
      <alignment horizontal="general" vertical="center" textRotation="0" wrapText="false" indent="0" shrinkToFit="false"/>
      <protection locked="true" hidden="true"/>
    </xf>
    <xf numFmtId="164" fontId="33" fillId="0" borderId="10" xfId="0" applyFont="true" applyBorder="true" applyAlignment="true" applyProtection="true">
      <alignment horizontal="center" vertical="center" textRotation="0" wrapText="true" indent="0" shrinkToFit="false"/>
      <protection locked="true" hidden="true"/>
    </xf>
    <xf numFmtId="165" fontId="34" fillId="0" borderId="10" xfId="0" applyFont="true" applyBorder="true" applyAlignment="true" applyProtection="true">
      <alignment horizontal="center" vertical="center" textRotation="0" wrapText="true" indent="0" shrinkToFit="false"/>
      <protection locked="true" hidden="true"/>
    </xf>
    <xf numFmtId="165" fontId="32" fillId="0" borderId="10" xfId="0" applyFont="true" applyBorder="true" applyAlignment="true" applyProtection="true">
      <alignment horizontal="center" vertical="center" textRotation="0" wrapText="true" indent="0" shrinkToFit="false"/>
      <protection locked="true" hidden="true"/>
    </xf>
    <xf numFmtId="165" fontId="35" fillId="0" borderId="10" xfId="0" applyFont="true" applyBorder="true" applyAlignment="true" applyProtection="true">
      <alignment horizontal="center" vertical="center" textRotation="0" wrapText="true" indent="0" shrinkToFit="false"/>
      <protection locked="true" hidden="true"/>
    </xf>
    <xf numFmtId="164" fontId="36" fillId="0" borderId="0" xfId="0" applyFont="true" applyBorder="true" applyAlignment="true" applyProtection="true">
      <alignment horizontal="center" vertical="center" textRotation="0" wrapText="true" indent="0" shrinkToFit="false"/>
      <protection locked="true" hidden="true"/>
    </xf>
    <xf numFmtId="164" fontId="37" fillId="0" borderId="0" xfId="0" applyFont="true" applyBorder="true" applyAlignment="true" applyProtection="true">
      <alignment horizontal="center" vertical="center" textRotation="0" wrapText="true" indent="0" shrinkToFit="false"/>
      <protection locked="true" hidden="true"/>
    </xf>
    <xf numFmtId="164" fontId="37" fillId="0" borderId="0" xfId="0" applyFont="true" applyBorder="true" applyAlignment="true" applyProtection="true">
      <alignment horizontal="center" vertical="center" textRotation="0" wrapText="true" indent="0" shrinkToFit="false"/>
      <protection locked="true" hidden="true"/>
    </xf>
    <xf numFmtId="164" fontId="38" fillId="0" borderId="0" xfId="0" applyFont="true" applyBorder="true" applyAlignment="true" applyProtection="true">
      <alignment horizontal="general" vertical="center" textRotation="0" wrapText="false" indent="0" shrinkToFit="false"/>
      <protection locked="true" hidden="true"/>
    </xf>
    <xf numFmtId="164" fontId="22" fillId="0" borderId="12" xfId="0" applyFont="true" applyBorder="true" applyAlignment="true" applyProtection="true">
      <alignment horizontal="center" vertical="center" textRotation="0" wrapText="false" indent="0" shrinkToFit="false"/>
      <protection locked="true" hidden="true"/>
    </xf>
    <xf numFmtId="164" fontId="39" fillId="0" borderId="10" xfId="0" applyFont="true" applyBorder="true" applyAlignment="true" applyProtection="true">
      <alignment horizontal="general" vertical="center" textRotation="0" wrapText="false" indent="0" shrinkToFit="false"/>
      <protection locked="true" hidden="true"/>
    </xf>
    <xf numFmtId="164" fontId="39" fillId="0" borderId="10" xfId="0" applyFont="true" applyBorder="true" applyAlignment="true" applyProtection="true">
      <alignment horizontal="general" vertical="center" textRotation="0" wrapText="true" indent="0" shrinkToFit="false"/>
      <protection locked="true" hidden="true"/>
    </xf>
    <xf numFmtId="165" fontId="22" fillId="0" borderId="10" xfId="0" applyFont="true" applyBorder="true" applyAlignment="true" applyProtection="true">
      <alignment horizontal="general" vertical="center" textRotation="0" wrapText="false" indent="0" shrinkToFit="false"/>
      <protection locked="true" hidden="true"/>
    </xf>
    <xf numFmtId="164" fontId="0" fillId="0" borderId="0" xfId="0" applyFont="true" applyBorder="true" applyAlignment="true" applyProtection="true">
      <alignment horizontal="general" vertical="center" textRotation="0" wrapText="false" indent="0" shrinkToFit="false"/>
      <protection locked="true" hidden="true"/>
    </xf>
    <xf numFmtId="164" fontId="0" fillId="0" borderId="0" xfId="0" applyFont="false" applyBorder="false" applyAlignment="true" applyProtection="true">
      <alignment horizontal="general" vertical="bottom" textRotation="0" wrapText="false" indent="0" shrinkToFit="false"/>
      <protection locked="true" hidden="false"/>
    </xf>
    <xf numFmtId="164" fontId="40" fillId="34" borderId="13" xfId="0" applyFont="true" applyBorder="true" applyAlignment="true" applyProtection="true">
      <alignment horizontal="center" vertical="center" textRotation="0" wrapText="false" indent="0" shrinkToFit="false"/>
      <protection locked="true" hidden="false"/>
    </xf>
    <xf numFmtId="164" fontId="40" fillId="34" borderId="14" xfId="0" applyFont="true" applyBorder="true" applyAlignment="true" applyProtection="true">
      <alignment horizontal="center" vertical="center" textRotation="0" wrapText="false" indent="0" shrinkToFit="false"/>
      <protection locked="true" hidden="false"/>
    </xf>
    <xf numFmtId="164" fontId="41" fillId="34" borderId="15" xfId="0" applyFont="true" applyBorder="true" applyAlignment="true" applyProtection="true">
      <alignment horizontal="center" vertical="center" textRotation="0" wrapText="false" indent="0" shrinkToFit="false"/>
      <protection locked="true" hidden="false"/>
    </xf>
    <xf numFmtId="164" fontId="40" fillId="0" borderId="0" xfId="0" applyFont="true" applyBorder="false" applyAlignment="true" applyProtection="true">
      <alignment horizontal="center" vertical="center" textRotation="0" wrapText="false" indent="0" shrinkToFit="false"/>
      <protection locked="true" hidden="false"/>
    </xf>
    <xf numFmtId="164" fontId="25" fillId="0" borderId="0" xfId="20" applyFont="true" applyBorder="true" applyAlignment="true" applyProtection="true">
      <alignment horizontal="general" vertical="bottom" textRotation="0" wrapText="false" indent="0" shrinkToFit="false"/>
      <protection locked="true" hidden="false"/>
    </xf>
    <xf numFmtId="164" fontId="0" fillId="35" borderId="16" xfId="0" applyFont="true" applyBorder="true" applyAlignment="true" applyProtection="true">
      <alignment horizontal="left" vertical="top" textRotation="0" wrapText="true" indent="0" shrinkToFit="false"/>
      <protection locked="true" hidden="false"/>
    </xf>
    <xf numFmtId="164" fontId="0" fillId="35" borderId="10" xfId="0" applyFont="true" applyBorder="true" applyAlignment="true" applyProtection="true">
      <alignment horizontal="left" vertical="top" textRotation="0" wrapText="true" indent="0" shrinkToFit="false"/>
      <protection locked="true" hidden="false"/>
    </xf>
    <xf numFmtId="164" fontId="0" fillId="0" borderId="10" xfId="0" applyFont="true" applyBorder="true" applyAlignment="true" applyProtection="true">
      <alignment horizontal="general" vertical="top" textRotation="0" wrapText="false" indent="0" shrinkToFit="false"/>
      <protection locked="true" hidden="false"/>
    </xf>
    <xf numFmtId="164" fontId="6" fillId="35" borderId="10" xfId="0" applyFont="true" applyBorder="true" applyAlignment="true" applyProtection="true">
      <alignment horizontal="left" vertical="center" textRotation="0" wrapText="true" indent="0" shrinkToFit="false"/>
      <protection locked="true" hidden="false"/>
    </xf>
    <xf numFmtId="164" fontId="0" fillId="0" borderId="10" xfId="0" applyFont="true" applyBorder="true" applyAlignment="true" applyProtection="true">
      <alignment horizontal="left" vertical="top" textRotation="0" wrapText="true" indent="0" shrinkToFit="false"/>
      <protection locked="true" hidden="false"/>
    </xf>
    <xf numFmtId="164" fontId="25" fillId="0" borderId="10" xfId="20" applyFont="true" applyBorder="true" applyAlignment="true" applyProtection="true">
      <alignment horizontal="left" vertical="top" textRotation="0" wrapText="true" indent="0" shrinkToFit="false"/>
      <protection locked="true" hidden="false"/>
    </xf>
    <xf numFmtId="164" fontId="42" fillId="35" borderId="10" xfId="0" applyFont="true" applyBorder="true" applyAlignment="true" applyProtection="true">
      <alignment horizontal="left" vertical="top" textRotation="0" wrapText="true" indent="0" shrinkToFit="false"/>
      <protection locked="true" hidden="false"/>
    </xf>
    <xf numFmtId="164" fontId="6" fillId="35" borderId="10" xfId="39" applyFont="true" applyBorder="true" applyAlignment="true" applyProtection="true">
      <alignment horizontal="left" vertical="top" textRotation="0" wrapText="true" indent="0" shrinkToFit="false"/>
      <protection locked="true" hidden="false"/>
    </xf>
    <xf numFmtId="164" fontId="43" fillId="35" borderId="10" xfId="0" applyFont="true" applyBorder="true" applyAlignment="true" applyProtection="true">
      <alignment horizontal="left" vertical="top" textRotation="0" wrapText="true" indent="0" shrinkToFit="false"/>
      <protection locked="true" hidden="false"/>
    </xf>
    <xf numFmtId="164" fontId="0" fillId="0" borderId="17" xfId="0" applyFont="true" applyBorder="true" applyAlignment="true" applyProtection="true">
      <alignment horizontal="left" vertical="top" textRotation="0" wrapText="true" indent="0" shrinkToFit="false"/>
      <protection locked="true" hidden="false"/>
    </xf>
    <xf numFmtId="164" fontId="6" fillId="35" borderId="17" xfId="39" applyFont="true" applyBorder="true" applyAlignment="true" applyProtection="true">
      <alignment horizontal="left" vertical="top" textRotation="0" wrapText="true" indent="0" shrinkToFit="false"/>
      <protection locked="true" hidden="false"/>
    </xf>
    <xf numFmtId="164" fontId="43" fillId="35" borderId="17" xfId="0" applyFont="true" applyBorder="true" applyAlignment="true" applyProtection="true">
      <alignment horizontal="left" vertical="top" textRotation="0" wrapText="true" indent="0" shrinkToFit="false"/>
      <protection locked="true" hidden="false"/>
    </xf>
    <xf numFmtId="164" fontId="44" fillId="0" borderId="0" xfId="0" applyFont="true" applyBorder="false" applyAlignment="true" applyProtection="true">
      <alignment horizontal="general" vertical="bottom" textRotation="0" wrapText="false" indent="0" shrinkToFit="false"/>
      <protection locked="true" hidden="false"/>
    </xf>
    <xf numFmtId="164" fontId="44" fillId="0" borderId="0" xfId="0" applyFont="true" applyBorder="false" applyAlignment="true" applyProtection="true">
      <alignment horizontal="general" vertical="bottom" textRotation="0" wrapText="true" indent="0" shrinkToFit="false"/>
      <protection locked="true" hidden="false"/>
    </xf>
    <xf numFmtId="164" fontId="22" fillId="0" borderId="10" xfId="0" applyFont="true" applyBorder="true" applyAlignment="true" applyProtection="true">
      <alignment horizontal="general" vertical="center" textRotation="0" wrapText="false" indent="0" shrinkToFit="false"/>
      <protection locked="false" hidden="false"/>
    </xf>
    <xf numFmtId="166" fontId="22" fillId="0" borderId="10" xfId="0" applyFont="true" applyBorder="true" applyAlignment="true" applyProtection="true">
      <alignment horizontal="general" vertical="center" textRotation="0" wrapText="false" indent="0" shrinkToFit="false"/>
      <protection locked="false" hidden="false"/>
    </xf>
    <xf numFmtId="167" fontId="22" fillId="0" borderId="10" xfId="0" applyFont="true" applyBorder="true" applyAlignment="true" applyProtection="true">
      <alignment horizontal="general" vertical="center" textRotation="0" wrapText="false" indent="0" shrinkToFit="false"/>
      <protection locked="false" hidden="false"/>
    </xf>
    <xf numFmtId="164" fontId="22" fillId="0" borderId="10" xfId="0" applyFont="true" applyBorder="true" applyAlignment="true" applyProtection="true">
      <alignment horizontal="general" vertical="center" textRotation="0" wrapText="false" indent="0" shrinkToFit="false"/>
      <protection locked="false" hidden="false"/>
    </xf>
    <xf numFmtId="168" fontId="22" fillId="0" borderId="10" xfId="0" applyFont="true" applyBorder="true" applyAlignment="true" applyProtection="true">
      <alignment horizontal="general" vertical="center" textRotation="0" wrapText="false" indent="0" shrinkToFit="false"/>
      <protection locked="false" hidden="false"/>
    </xf>
    <xf numFmtId="164" fontId="39" fillId="36" borderId="10" xfId="0" applyFont="true" applyBorder="true" applyAlignment="true" applyProtection="true">
      <alignment horizontal="center" vertical="center" textRotation="0" wrapText="true" indent="0" shrinkToFit="false"/>
      <protection locked="true" hidden="false"/>
    </xf>
    <xf numFmtId="164" fontId="39" fillId="37" borderId="10" xfId="0" applyFont="true" applyBorder="true" applyAlignment="true" applyProtection="true">
      <alignment horizontal="center" vertical="center" textRotation="0" wrapText="true" indent="0" shrinkToFit="false"/>
      <protection locked="true" hidden="false"/>
    </xf>
    <xf numFmtId="164" fontId="39" fillId="36" borderId="10" xfId="0" applyFont="true" applyBorder="true" applyAlignment="true" applyProtection="true">
      <alignment horizontal="center" vertical="center" textRotation="0" wrapText="false" indent="0" shrinkToFit="false"/>
      <protection locked="true" hidden="false"/>
    </xf>
    <xf numFmtId="164" fontId="22" fillId="0" borderId="10" xfId="0" applyFont="true" applyBorder="true" applyAlignment="true" applyProtection="true">
      <alignment horizontal="general" vertical="center" textRotation="0" wrapText="false" indent="0" shrinkToFit="false"/>
      <protection locked="false" hidden="false"/>
    </xf>
    <xf numFmtId="167" fontId="22" fillId="0" borderId="10" xfId="0" applyFont="true" applyBorder="true" applyAlignment="true" applyProtection="true">
      <alignment horizontal="general" vertical="center" textRotation="0" wrapText="false" indent="0" shrinkToFit="false"/>
      <protection locked="false" hidden="false"/>
    </xf>
    <xf numFmtId="166" fontId="22" fillId="0" borderId="10" xfId="0" applyFont="true" applyBorder="true" applyAlignment="true" applyProtection="true">
      <alignment horizontal="general" vertical="center" textRotation="0" wrapText="false" indent="0" shrinkToFit="false"/>
      <protection locked="true" hidden="false"/>
    </xf>
    <xf numFmtId="166" fontId="22" fillId="0" borderId="10" xfId="0" applyFont="true" applyBorder="true" applyAlignment="true" applyProtection="true">
      <alignment horizontal="general" vertical="center" textRotation="0" wrapText="false" indent="0" shrinkToFit="false"/>
      <protection locked="false" hidden="false"/>
    </xf>
    <xf numFmtId="164" fontId="22" fillId="0" borderId="10" xfId="0" applyFont="true" applyBorder="true" applyAlignment="true" applyProtection="true">
      <alignment horizontal="general" vertical="center" textRotation="0" wrapText="false" indent="0" shrinkToFit="false"/>
      <protection locked="true" hidden="false"/>
    </xf>
    <xf numFmtId="168" fontId="22" fillId="0" borderId="10" xfId="0" applyFont="true" applyBorder="true" applyAlignment="true" applyProtection="true">
      <alignment horizontal="general" vertical="center" textRotation="0" wrapText="false" indent="0" shrinkToFit="false"/>
      <protection locked="false" hidden="false"/>
    </xf>
    <xf numFmtId="164" fontId="22" fillId="0" borderId="10" xfId="0" applyFont="true" applyBorder="true" applyAlignment="true" applyProtection="true">
      <alignment horizontal="general" vertical="center" textRotation="0" wrapText="false" indent="0" shrinkToFit="false"/>
      <protection locked="true" hidden="false"/>
    </xf>
  </cellXfs>
  <cellStyles count="50">
    <cellStyle name="Normal" xfId="0" builtinId="0"/>
    <cellStyle name="Comma" xfId="15" builtinId="3"/>
    <cellStyle name="Comma [0]" xfId="16" builtinId="6"/>
    <cellStyle name="Currency" xfId="17" builtinId="4"/>
    <cellStyle name="Currency [0]" xfId="18" builtinId="7"/>
    <cellStyle name="Percent" xfId="19" builtinId="5"/>
    <cellStyle name="20% - Акцент1 2" xfId="21"/>
    <cellStyle name="20% - Акцент2 2" xfId="22"/>
    <cellStyle name="20% - Акцент3 2" xfId="23"/>
    <cellStyle name="20% - Акцент4 2" xfId="24"/>
    <cellStyle name="20% - Акцент5 2" xfId="25"/>
    <cellStyle name="20% - Акцент6 2" xfId="26"/>
    <cellStyle name="40% - Акцент1 2" xfId="27"/>
    <cellStyle name="40% - Акцент2 2" xfId="28"/>
    <cellStyle name="40% - Акцент3 2" xfId="29"/>
    <cellStyle name="40% - Акцент4 2" xfId="30"/>
    <cellStyle name="40% - Акцент5 2" xfId="31"/>
    <cellStyle name="40% - Акцент6 2" xfId="32"/>
    <cellStyle name="60% - Акцент1 2" xfId="33"/>
    <cellStyle name="60% - Акцент2 2" xfId="34"/>
    <cellStyle name="60% - Акцент3 2" xfId="35"/>
    <cellStyle name="60% - Акцент4 2" xfId="36"/>
    <cellStyle name="60% - Акцент5 2" xfId="37"/>
    <cellStyle name="60% - Акцент6 2" xfId="38"/>
    <cellStyle name="S2" xfId="39"/>
    <cellStyle name="Акцент1 2" xfId="40"/>
    <cellStyle name="Акцент2 2" xfId="41"/>
    <cellStyle name="Акцент3 2" xfId="42"/>
    <cellStyle name="Акцент4 2" xfId="43"/>
    <cellStyle name="Акцент5 2" xfId="44"/>
    <cellStyle name="Акцент6 2" xfId="45"/>
    <cellStyle name="Ввод  2" xfId="46"/>
    <cellStyle name="Вывод 2" xfId="47"/>
    <cellStyle name="Вычисление 2" xfId="48"/>
    <cellStyle name="Заголовок 1 2" xfId="49"/>
    <cellStyle name="Заголовок 2 2" xfId="50"/>
    <cellStyle name="Заголовок 3 2" xfId="51"/>
    <cellStyle name="Заголовок 4 2" xfId="52"/>
    <cellStyle name="Итог 2" xfId="53"/>
    <cellStyle name="Контрольная ячейка 2" xfId="54"/>
    <cellStyle name="Название 2" xfId="55"/>
    <cellStyle name="Нейтральный 2" xfId="56"/>
    <cellStyle name="Обычный 2" xfId="57"/>
    <cellStyle name="Плохой 2" xfId="58"/>
    <cellStyle name="Пояснение 2" xfId="59"/>
    <cellStyle name="Примечание 2" xfId="60"/>
    <cellStyle name="Связанная ячейка 2" xfId="61"/>
    <cellStyle name="Текст предупреждения 2" xfId="62"/>
    <cellStyle name="Хороший 2" xfId="63"/>
    <cellStyle name="*unknown*" xfId="20" builtinId="8"/>
  </cellStyles>
  <dxfs count="9">
    <dxf>
      <fill>
        <patternFill patternType="solid">
          <fgColor rgb="00FFFFFF"/>
        </patternFill>
      </fill>
    </dxf>
    <dxf>
      <fill>
        <patternFill patternType="solid">
          <fgColor rgb="FF0000FF"/>
        </patternFill>
      </fill>
    </dxf>
    <dxf>
      <fill>
        <patternFill patternType="solid">
          <fgColor rgb="FFFF0000"/>
        </patternFill>
      </fill>
    </dxf>
    <dxf>
      <fill>
        <patternFill patternType="solid">
          <fgColor rgb="FFFFFFCC"/>
        </patternFill>
      </fill>
    </dxf>
    <dxf>
      <fill>
        <patternFill patternType="solid">
          <fgColor rgb="FF000000"/>
          <bgColor rgb="FFFFFFFF"/>
        </patternFill>
      </fill>
    </dxf>
    <dxf>
      <fill>
        <patternFill>
          <bgColor rgb="FFFF0000"/>
        </patternFill>
      </fill>
    </dxf>
    <dxf>
      <fill>
        <patternFill>
          <bgColor rgb="FFFF0000"/>
        </patternFill>
      </fill>
    </dxf>
    <dxf>
      <fill>
        <patternFill patternType="solid">
          <fgColor rgb="FFC6D9F1"/>
        </patternFill>
      </fill>
    </dxf>
    <dxf>
      <fill>
        <patternFill patternType="solid">
          <fgColor rgb="FF92D050"/>
        </patternFill>
      </fill>
    </dxf>
  </dxfs>
  <colors>
    <indexedColors>
      <rgbColor rgb="FF000000"/>
      <rgbColor rgb="FFFFFFFF"/>
      <rgbColor rgb="FFFF0000"/>
      <rgbColor rgb="FFD7E4BD"/>
      <rgbColor rgb="FF0000FF"/>
      <rgbColor rgb="FFFCD5B5"/>
      <rgbColor rgb="FFE6B9B8"/>
      <rgbColor rgb="FFB7DEE8"/>
      <rgbColor rgb="FF9C0006"/>
      <rgbColor rgb="FF006100"/>
      <rgbColor rgb="FF000080"/>
      <rgbColor rgb="FF9C6500"/>
      <rgbColor rgb="FFFFC7CE"/>
      <rgbColor rgb="FF376092"/>
      <rgbColor rgb="FFC0C0C0"/>
      <rgbColor rgb="FF7F7F7F"/>
      <rgbColor rgb="FF95B3D7"/>
      <rgbColor rgb="FFC0504D"/>
      <rgbColor rgb="FFFFFFCC"/>
      <rgbColor rgb="FFDBEEF4"/>
      <rgbColor rgb="FFFDEADA"/>
      <rgbColor rgb="FFF79646"/>
      <rgbColor rgb="FF0070C0"/>
      <rgbColor rgb="FFC6D9F1"/>
      <rgbColor rgb="FF000080"/>
      <rgbColor rgb="FFCCC1DA"/>
      <rgbColor rgb="FFC3D69B"/>
      <rgbColor rgb="FFB9CDE5"/>
      <rgbColor rgb="FFE6E0EC"/>
      <rgbColor rgb="FFEBF1DE"/>
      <rgbColor rgb="FFBFBFBF"/>
      <rgbColor rgb="FF0000FF"/>
      <rgbColor rgb="FFA7C0DE"/>
      <rgbColor rgb="FFDCE6F2"/>
      <rgbColor rgb="FFC6EFCE"/>
      <rgbColor rgb="FFFFEB9C"/>
      <rgbColor rgb="FF93CDDD"/>
      <rgbColor rgb="FFD99694"/>
      <rgbColor rgb="FFB3A2C7"/>
      <rgbColor rgb="FFFFCC99"/>
      <rgbColor rgb="FF4F81BD"/>
      <rgbColor rgb="FF4BACC6"/>
      <rgbColor rgb="FF92D050"/>
      <rgbColor rgb="FFFAC090"/>
      <rgbColor rgb="FFFF8001"/>
      <rgbColor rgb="FFFA7D00"/>
      <rgbColor rgb="FF8064A2"/>
      <rgbColor rgb="FFA5A5A5"/>
      <rgbColor rgb="FF1F497D"/>
      <rgbColor rgb="FF9BBB59"/>
      <rgbColor rgb="FFF2F2F2"/>
      <rgbColor rgb="FFF2DCDB"/>
      <rgbColor rgb="FF984807"/>
      <rgbColor rgb="FFB2B2B2"/>
      <rgbColor rgb="FF3F3F76"/>
      <rgbColor rgb="FF3F3F3F"/>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tables/table1.xml><?xml version="1.0" encoding="utf-8"?>
<table xmlns="http://schemas.openxmlformats.org/spreadsheetml/2006/main" id="1" name="ФиКод" displayName="ФиКод" ref="A1:C7023" headerRowCount="1" totalsRowCount="0" totalsRowShown="0">
  <autoFilter ref="A1:C7023"/>
  <tableColumns count="3">
    <tableColumn id="1" name="Код ошибки"/>
    <tableColumn id="2" name="Описание ошибки"/>
    <tableColumn id="3" name="Устранение неисправностей"/>
  </tableColumns>
</table>
</file>

<file path=xl/worksheets/_rels/sheet1.xml.rels><?xml version="1.0" encoding="UTF-8"?>
<Relationships xmlns="http://schemas.openxmlformats.org/package/2006/relationships"><Relationship Id="rId1" Type="http://schemas.openxmlformats.org/officeDocument/2006/relationships/hyperlink" Target="mailto:5@USQ00" TargetMode="External"/>
</Relationships>
</file>

<file path=xl/worksheets/_rels/sheet2.xml.rels><?xml version="1.0" encoding="UTF-8"?>
<Relationships xmlns="http://schemas.openxmlformats.org/package/2006/relationships"><Relationship Id="rId1" Type="http://schemas.openxmlformats.org/officeDocument/2006/relationships/hyperlink" Target="mailto:5@AE600" TargetMode="External"/><Relationship Id="rId2" Type="http://schemas.openxmlformats.org/officeDocument/2006/relationships/hyperlink" Target="mailto:5@USQ00" TargetMode="External"/><Relationship Id="rId3" Type="http://schemas.openxmlformats.org/officeDocument/2006/relationships/hyperlink" Target="mailto:5@USR00" TargetMode="External"/><Relationship Id="rId4"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357"/>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D35" activeCellId="0" sqref="D35"/>
    </sheetView>
  </sheetViews>
  <sheetFormatPr defaultColWidth="9.1484375" defaultRowHeight="12.75" zeroHeight="false" outlineLevelRow="0" outlineLevelCol="0"/>
  <cols>
    <col collapsed="false" customWidth="true" hidden="false" outlineLevel="0" max="1" min="1" style="1" width="21.85"/>
    <col collapsed="false" customWidth="true" hidden="false" outlineLevel="0" max="2" min="2" style="2" width="12.15"/>
    <col collapsed="false" customWidth="true" hidden="false" outlineLevel="0" max="3" min="3" style="1" width="21.71"/>
    <col collapsed="false" customWidth="true" hidden="false" outlineLevel="0" max="4" min="4" style="1" width="36.57"/>
    <col collapsed="false" customWidth="true" hidden="false" outlineLevel="0" max="5" min="5" style="1" width="26.42"/>
    <col collapsed="false" customWidth="true" hidden="false" outlineLevel="0" max="6" min="6" style="1" width="34.14"/>
    <col collapsed="false" customWidth="true" hidden="false" outlineLevel="0" max="7" min="7" style="1" width="5"/>
    <col collapsed="false" customWidth="true" hidden="false" outlineLevel="0" max="8" min="8" style="1" width="22.71"/>
    <col collapsed="false" customWidth="true" hidden="false" outlineLevel="0" max="9" min="9" style="1" width="25.14"/>
    <col collapsed="false" customWidth="true" hidden="false" outlineLevel="0" max="10" min="10" style="1" width="21.43"/>
    <col collapsed="false" customWidth="true" hidden="true" outlineLevel="0" max="11" min="11" style="1" width="22"/>
    <col collapsed="false" customWidth="true" hidden="false" outlineLevel="0" max="13" min="12" style="1" width="21"/>
    <col collapsed="false" customWidth="true" hidden="false" outlineLevel="0" max="14" min="14" style="1" width="20.57"/>
    <col collapsed="false" customWidth="false" hidden="false" outlineLevel="0" max="16384" min="15" style="1" width="9.14"/>
  </cols>
  <sheetData>
    <row r="1" customFormat="false" ht="42.75" hidden="false" customHeight="true" outlineLevel="0" collapsed="false">
      <c r="A1" s="3" t="s">
        <v>0</v>
      </c>
      <c r="B1" s="4" t="s">
        <v>1</v>
      </c>
      <c r="C1" s="4" t="s">
        <v>2</v>
      </c>
      <c r="D1" s="4" t="s">
        <v>2</v>
      </c>
      <c r="E1" s="4" t="s">
        <v>3</v>
      </c>
      <c r="F1" s="5" t="s">
        <v>4</v>
      </c>
      <c r="G1" s="5" t="s">
        <v>5</v>
      </c>
      <c r="H1" s="5" t="s">
        <v>6</v>
      </c>
      <c r="I1" s="5" t="s">
        <v>7</v>
      </c>
      <c r="J1" s="5" t="s">
        <v>8</v>
      </c>
      <c r="K1" s="5" t="s">
        <v>9</v>
      </c>
      <c r="L1" s="5" t="s">
        <v>10</v>
      </c>
      <c r="M1" s="5" t="s">
        <v>11</v>
      </c>
      <c r="N1" s="5" t="s">
        <v>12</v>
      </c>
    </row>
    <row r="2" customFormat="false" ht="183.75" hidden="false" customHeight="true" outlineLevel="0" collapsed="false">
      <c r="A2" s="6" t="n">
        <v>5350500</v>
      </c>
      <c r="B2" s="7" t="e">
        <f aca="false">LEFT(F5,(LEN(F5)-1))</f>
        <v>#VALUE!</v>
      </c>
      <c r="C2" s="8" t="str">
        <f aca="false">IF(COUNTIF(A2,"5D0LA00"),"Необходимо устранить замятие на 21 датчике",IF(COUNTIF(A2,"5DAAA00"),"Необходимо закрыть валидатор и защёлкнуть зелёный флажок",IF(COUNTIF(A2,"5311500")+COUNTIF(A2,"5321500")+COUNTIF(A2,"5331500")+COUNTIF(A2,"5341500")+COUNTIF(A2,"5351500"),"Если заявка на перезагрузку, то необходимо выполнить перезагрузку УС. Если ремонт, выгрузка для проверки соленоида (указать номер кассеты) и контроллера RBU",IF(COUNTIF(A2,"5was100")+COUNTIF(A2,"5was200")+COUNTIF(A2,"5was300")+COUNTIF(A2,"5was400")+COUNTIF(A2,"5was500"),"Необходима выгрузка для проверки слота и шлейфа (указать номер кассеты)",IF(COUNTIF(A2,"5@USB00")+COUNTIF(A2,"5@USA00"),"СВ СБС и ПИ, для активации BRM",IF(COUNTIF(E2,"*GS105*")+COUNTIF(E2,"*GS205*")+COUNTIF(E2,"*GS305*")+COUNTIF(E2,"*GS405*")+COUNTIF(E2,"*GS505*"),"Если заявка на перезагрузку, то необходимо выполнить перезагрузку УС. Если ремонт, то выгрузка для проверки/замены соленоида (указать номер кассеты)",IF(COUNTIF(A2,"5O01100")+COUNTIF(A2,"5C02100")+COUNTIF(A2,"5C02000"),"Необходим ремонт/ замена внешнего шаттрета",IF(COUNTIF(E2,"*GS022*"),"Выгрузка (С ПРЕДОСТАВЛЕНИЕМ ВСЕХ КАССЕТ) для проверки проводки и датчиков реджект кассеты на задней стенке BMD модуля, проверить плотность прилегания муфты привода реджект кассеты на мидл транспорте",IF(COUNTIF(A2,"570D100"),"При повторах ошибки создать заявку на SLM для чистки валидатора",IF(COUNTIF(A2,"5@AE600")+COUNTIF(A2,"5@AEE00")+COUNTIF(A2,"5@AEF00")+COUNTIF(A2,"5@AH500")+COUNTIF(A2,"5@AHA00")+COUNTIF(A2,"5@AHB00")+COUNTIF(A2,"5@BHA00")+COUNTIF(A2,"5@BHB00")+COUNTIF(A2,"5@US100")+COUNTIF(A2,"5@US300")+COUNTIF(A2,"5@USA00")+COUNTIF(A2,"5@USB00")+COUNTIF(A2,"5@USC00")+COUNTIF(A2,"5@USD00")+COUNTIF(A2,"5@USE00")+COUNTIF(A2,"5@USF00")+COUNTIF(A2,"5@USG00")+COUNTIF(A2,"5@USH00")+COUNTIF(A2,"5@USJ00")+COUNTIF(A2,"5@USK00")+COUNTIF(A2,"5@USL00")+COUNTIF(A2,"5@USM00")+COUNTIF(A2,"5@USP00")+COUNTIF(A2,"5@USQ00")+COUNTIF(A2,"5@USR00")+COUNTIF(A2,"5@USS00")+COUNTIF(A2,"5@UST00")+COUNTIF(A2,"5@USU00")+COUNTIF(A2,"5@USV00"),"Необходим СВ ПИ и СБС для активации БРМ и загрузки УС "," "))))))))))</f>
        <v> </v>
      </c>
      <c r="D2" s="8" t="e">
        <f aca="false">C2&amp;"; Код ошибки: "&amp;A2&amp;"; Модуль: "&amp;B2</f>
        <v>#VALUE!</v>
      </c>
      <c r="E2" s="9" t="e">
        <f aca="false">IF(A2="","",VLOOKUP(A2,ФиКод[],2,0))</f>
        <v>#N/A</v>
      </c>
      <c r="F2" s="10" t="e">
        <f aca="false">IF(A2="","",VLOOKUP(A2,ФиКод[],3,0))</f>
        <v>#N/A</v>
      </c>
      <c r="G2" s="11" t="str">
        <f aca="false">IF(COUNTIF(F2,"*удаленная*")+COUNTIF(F2,"*поток команд*"),"V"," ")</f>
        <v> </v>
      </c>
      <c r="H2" s="11" t="str">
        <f aca="false">IF(COUNTIF(F2,"*верхнюю*")+COUNTIF(F2,"*USB*")+COUNTIF(F2,"*DIP*")+COUNTIF(F2,"*верхняя*")+COUNTIF(F2,"*шаттер*")+COUNTIF(A2,"*570D100*"),"V"," ")</f>
        <v> </v>
      </c>
      <c r="I2" s="11" t="str">
        <f aca="false">IF(COUNTIF(F2,"*нижнюю*")+COUNTIF(F2,"*нижняя*")+COUNTIF(F2,"*кассет*")+COUNTIF(F2,"*интерлок*")+COUNTIF(A2,"95d0014")+COUNTIF(A2,"5d0n800")+COUNTIF(E2,"*GS105*")+COUNTIF(E2,"*GS205*")+COUNTIF(E2,"*GS305*")+COUNTIF(E2,"*GS405*")+COUNTIF(E2,"GS505")+COUNTIF(A2,"5was100")+COUNTIF(A2,"5was200")+COUNTIF(A2,"5was300")+COUNTIF(A2,"5was400")+COUNTIF(A2,"5was500")+COUNTIF(A2,"5311500")+COUNTIF(A2,"5321500")+COUNTIF(A2,"5331500")+COUNTIF(A2,"5341500")+COUNTIF(A2,"5351500"),"V"," ")</f>
        <v> </v>
      </c>
      <c r="J2" s="11" t="str">
        <f aca="false">IF(COUNTIF(A2,"5@AE600")+COUNTIF(A2,"5@AEE00")+COUNTIF(A2,"5@AEF00")+COUNTIF(A2,"5@AH500")+COUNTIF(A2,"5@AHA00")+COUNTIF(A2,"5@AHB00")+COUNTIF(A2,"5@BHA00")+COUNTIF(A2,"5@BHB00")+COUNTIF(A2,"5@US100")+COUNTIF(A2,"5@US300")+COUNTIF(A2,"5@USA00")+COUNTIF(A2,"5@USB00")+COUNTIF(A2,"5@USC00")+COUNTIF(A2,"5@USD00")+COUNTIF(A2,"5@USE00")+COUNTIF(A2,"5@USF00")+COUNTIF(A2,"5@USG00")+COUNTIF(A2,"5@USH00")+COUNTIF(A2,"5@USJ00")+COUNTIF(A2,"5@USK00")+COUNTIF(A2,"5@USL00")+COUNTIF(A2,"5@USM00")+COUNTIF(A2,"5@USP00")+COUNTIF(A2,"5@USQ00")+COUNTIF(A2,"5@USR00")+COUNTIF(A2,"5@USS00")+COUNTIF(A2,"5@UST00")+COUNTIF(A2,"5@USU00")+COUNTIF(A2,"5@USV00"),"V"," ")</f>
        <v> </v>
      </c>
      <c r="K2" s="11" t="str">
        <f aca="false">IF(COUNTIF(A2,"5was100")+COUNTIF(A2,"5was200")+COUNTIF(A2,"5was300")+COUNTIF(A2,"5was400")+COUNTIF(A2,"5was500")+COUNTIF(A2,"5311500")+COUNTIF(A2,"5321500")+COUNTIF(A2,"5331500")+COUNTIF(A2,"5341500")+COUNTIF(A2,"5351500"),"V"," ")</f>
        <v> </v>
      </c>
      <c r="L2" s="11" t="str">
        <f aca="false">IF(COUNTIF(A2,"5D0LA00")+COUNTIF(A2,"5O01100"),"V"," ")</f>
        <v> </v>
      </c>
      <c r="M2" s="11" t="str">
        <f aca="false">IF(COUNTIF(H2,"V")+COUNTIF(L2,"V"),"V"," ")</f>
        <v> </v>
      </c>
      <c r="N2" s="11" t="str">
        <f aca="false">IF(COUNTIF(I2,"V"),"V"," ")</f>
        <v> </v>
      </c>
    </row>
    <row r="3" customFormat="false" ht="114" hidden="false" customHeight="false" outlineLevel="0" collapsed="false">
      <c r="A3" s="12" t="s">
        <v>13</v>
      </c>
      <c r="B3" s="12"/>
      <c r="C3" s="13"/>
      <c r="D3" s="12" t="s">
        <v>14</v>
      </c>
      <c r="G3" s="14"/>
      <c r="H3" s="15" t="str">
        <f aca="false">IF(COUNTIF(A2,"*5d0lz00*"),"Сначала FLM, если не поможет, то SLM",IF(COUNTIF(A2,"*95d1316*")+COUNTIF(A2,"*000000*"),"Если нет транзакций, то требуется выезд СБС",IF(COUNTIF(A2,"5C02100"),"При повторе ошибки, необходим ремонт/ замена внешнего шаттера",IF(COUNTIF(A2,"5C02000"),"При повторе ошибки, необходим ремонт/ замена внешнего шаттера",IF(COUNTIF(A2,"576m400"),"При повторе ошибки, необходим ремонт/ замена CSM"," ")))))</f>
        <v> </v>
      </c>
      <c r="I3" s="14" t="str">
        <f aca="false">IF(COUNTIF(A2,"*95d0014*"),"Если в депозите,больше 1600 купюр, то ПИ, если меньше - FLM",IF(COUNTIF(E2,"*GS105*")+COUNTIF(E2,"*GS205*")+COUNTIF(E2,"*GS305*")+COUNTIF(E2,"*GS405*")+COUNTIF(E2,"GS505")+COUNTIF(A2,"5was100")+COUNTIF(A2,"5was200")+COUNTIF(A2,"5was300")+COUNTIF(A2,"5was400")+COUNTIF(A2,"5was500")+COUNTIF(A2,"5311500")+COUNTIF(A2,"5321500")+COUNTIF(A2,"5331500")+COUNTIF(A2,"5341500")+COUNTIF(A2,"5351500")+COUNTIF(A2,"5d0lb00"),"Если ошибка остаётся после двух переинкасаций, то выгрузка на ремонт"," "))</f>
        <v> </v>
      </c>
      <c r="J3" s="16" t="str">
        <f aca="false">IF(COUNTIF(A2,"5@USB00")+COUNTIF(A2,"5@USA00"),"Активация BRM"," ")</f>
        <v> </v>
      </c>
      <c r="K3" s="7" t="str">
        <f aca="false">IF(COUNTIF(A2,"5was100")+COUNTIF(A2,"5was200")+COUNTIF(A2,"5was300")+COUNTIF(A2,"5was400")+COUNTIF(A2,"5was500"),"Для проверки слота и шлейфа",IF(COUNTIF(A2,"5311500")+COUNTIF(A2,"5321500")+COUNTIF(A2,"5331500")+COUNTIF(A2,"5341500")+COUNTIF(A2,"5351500"),"Для проверки соленоида и контроллера RBU"," "))</f>
        <v> </v>
      </c>
      <c r="L3" s="17" t="str">
        <f aca="false">IF(COUNTIF(A2,"5D0LA00"),"При повторе ошибки два раза за 7 дней, необходима выгрузка для регулировки соосности интерфейса",IF(COUNTIF(A2,"5O01100"),"Необходим ремонт/замена  внешнего шаттрета"," "))</f>
        <v> </v>
      </c>
    </row>
    <row r="4" customFormat="false" ht="91.5" hidden="true" customHeight="true" outlineLevel="0" collapsed="false">
      <c r="A4" s="18"/>
      <c r="C4" s="19"/>
      <c r="D4" s="20"/>
      <c r="E4" s="21"/>
      <c r="G4" s="22"/>
      <c r="H4" s="22"/>
      <c r="I4" s="22"/>
      <c r="J4" s="22"/>
      <c r="K4" s="18"/>
    </row>
    <row r="5" customFormat="false" ht="12.75" hidden="true" customHeight="false" outlineLevel="0" collapsed="false">
      <c r="A5" s="23" t="s">
        <v>15</v>
      </c>
      <c r="B5" s="24"/>
      <c r="C5" s="23"/>
      <c r="D5" s="23"/>
      <c r="E5" s="25" t="str">
        <f aca="false">IF(COUNTIF(E2,"*GS601*")+COUNTIF(E2,"*GS602*")+COUNTIF(E2,"*GS603*")+COUNTIF(E2,"*GS604*")+COUNTIF(E2,"*GS605*")+COUNTIF(E2,"*GS606*")+COUNTIF(E2,"*GS607*")+COUNTIF(E2,"*GS608*")+COUNTIF(E2,"*GS609*")+COUNTIF(E2,"*GS610*")+COUNTIF(E2,"*GS611*")+COUNTIF(E2,"*GS612*")+COUNTIF(E2,"*GS612*")+COUNTIF(E2,"*GS613*")+COUNTIF(E2,"*GS614*")+COUNTIF(E2,"*GS615*")+COUNTIF(E2,"*GS616*")+COUNTIF(E2,"*GS617*")+COUNTIF(E2,"*GS618*")+COUNTIF(E2,"*GS619*")+COUNTIF(E2,"*GS620*")+COUNTIF(E2,"*GS621*")+COUNTIF(E2,"*GS622*")+COUNTIF(E2,"*GS650*")+COUNTIF(E2,"*GS651*")+COUNTIF(E2,"*GS652*")+COUNTIF(E2,"*GS655*")+COUNTIF(E2,"*GS660*")+COUNTIF(E2,"*GS661*")+COUNTIF(E2,"*GS662*")+COUNTIF(F2,"*CSM*"),"V"," ")</f>
        <v> </v>
      </c>
      <c r="F5" s="1" t="str">
        <f aca="false">IF(E5="V",A5&amp;"+","")&amp;IF(E6="V",A6&amp;"+","")&amp;IF(E7="V",A7&amp;"+","")&amp;IF(E8="V",A8&amp;"+","")&amp;IF(E9="V",A9&amp;"+","")&amp;IF(E10="V",A10&amp;"+","")&amp;IF(E11="V",A11&amp;"+","")&amp;IF(E12="V",A12&amp;"+","")&amp;IF(E13="V",A13&amp;"+","")&amp;IF(E14="V",A14&amp;"+","")&amp;IF(E15="V",A15&amp;"+","")&amp;IF(E16="V",A16&amp;"+","")&amp;IF(E17="V",A17&amp;"+","")&amp;IF(E18="V",A18&amp;"+","")</f>
        <v/>
      </c>
    </row>
    <row r="6" customFormat="false" ht="12.75" hidden="true" customHeight="false" outlineLevel="0" collapsed="false">
      <c r="A6" s="23" t="s">
        <v>16</v>
      </c>
      <c r="B6" s="24"/>
      <c r="C6" s="23"/>
      <c r="D6" s="23"/>
      <c r="E6" s="25" t="str">
        <f aca="false">IF(COUNTIF(E2,"*GS653*")+COUNTIF(E2,"*GS654*")+COUNTIF(E2,"*GS655*")+COUNTIF(E2,"*GS656*")+COUNTIF(E2,"*GS658*")+COUNTIF(E2,"*GS659*")+COUNTIF(A2,"*5O01100*")+COUNTIF(A2,"*5C02100*")+COUNTIF(A2,"*5C02000*"),"V"," ")</f>
        <v> </v>
      </c>
    </row>
    <row r="7" customFormat="false" ht="12.75" hidden="true" customHeight="false" outlineLevel="0" collapsed="false">
      <c r="A7" s="23" t="s">
        <v>17</v>
      </c>
      <c r="B7" s="24"/>
      <c r="C7" s="23"/>
      <c r="D7" s="23"/>
      <c r="E7" s="25" t="str">
        <f aca="false">IF(COUNTIF(E2,"*GS801A*")+COUNTIF(E2,"*GS801B*")+COUNTIF(E2,"*GS802A*")+COUNTIF(E2,"*GS802B*")+COUNTIF(E2,"GS803")+COUNTIF(A2,"5qaaa00")+COUNTIF(E2,"5D0lz00")+COUNTIF(E2,"*Валидатор*")+COUNTIF(A2,"*570D100*"),"V"," ")</f>
        <v> </v>
      </c>
      <c r="M7" s="26"/>
    </row>
    <row r="8" customFormat="false" ht="12.75" hidden="true" customHeight="false" outlineLevel="0" collapsed="false">
      <c r="A8" s="23" t="s">
        <v>18</v>
      </c>
      <c r="B8" s="24"/>
      <c r="C8" s="23"/>
      <c r="D8" s="23"/>
      <c r="E8" s="25" t="str">
        <f aca="false">IF(COUNTIF(E2,"*GS701*")+COUNTIF(E2,"*GS702*")+COUNTIF(E2,"*GS703*")+COUNTIF(E2,"*GS704*")+COUNTIF(E2,"*GS705*")+COUNTIF(E2,"*GS706*")+COUNTIF(E2,"*GS707*")+COUNTIF(E2,"*GS708*")+COUNTIF(E2,"*GS709*")++COUNTIF(F2,"*хранения_TE*"),"V"," ")</f>
        <v> </v>
      </c>
      <c r="L8" s="26"/>
    </row>
    <row r="9" customFormat="false" ht="12.75" hidden="true" customHeight="false" outlineLevel="0" collapsed="false">
      <c r="A9" s="23" t="s">
        <v>19</v>
      </c>
      <c r="B9" s="24"/>
      <c r="C9" s="23"/>
      <c r="D9" s="23"/>
      <c r="E9" s="25" t="str">
        <f aca="false">IF(COUNTIF(E2,"*GS101*")+COUNTIF(E2,"*GS102*")+COUNTIF(E2,"*GS103*")+COUNTIF(E2,"*GS104*")+COUNTIF(E2,"*GS105*")+COUNTIF(E2,"*GS106*")+COUNTIF(E2,"*GS107*")+COUNTIF(E2,"*GS108*")+COUNTIF(E2,"*GS109*")+COUNTIF(E2,"*GS110*")+COUNTIF(E2,"*GS111*")+COUNTIF(E2,"*GS112*")+COUNTIF(E2,"*GS113*")+COUNTIF(E2,"*GS114*")+COUNTIF(E2,"*GS115*")++COUNTIF(E2,"*RC1*"),"V"," ")</f>
        <v> </v>
      </c>
    </row>
    <row r="10" customFormat="false" ht="12.75" hidden="true" customHeight="false" outlineLevel="0" collapsed="false">
      <c r="A10" s="23" t="s">
        <v>20</v>
      </c>
      <c r="B10" s="24"/>
      <c r="C10" s="23"/>
      <c r="D10" s="23"/>
      <c r="E10" s="25" t="str">
        <f aca="false">IF(COUNTIF(E2,"*GS201*")+COUNTIF(E2,"*GS202*")+COUNTIF(E2,"*GS203*")+COUNTIF(E2,"*GS204*")+COUNTIF(E2,"*GS205*")+COUNTIF(E2,"*GS206*")+COUNTIF(E2,"*GS207*")+COUNTIF(E2,"*GS208*")+COUNTIF(E2,"*GS209*")+COUNTIF(E2,"*GS210*")+COUNTIF(E2,"*GS211*")+COUNTIF(E2,"*GS212*")+COUNTIF(E2,"*GS213*")+COUNTIF(E2,"*GS214*")+COUNTIF(E2,"*GS215*")++COUNTIF(E2,"*RC2*"),"V"," ")</f>
        <v> </v>
      </c>
    </row>
    <row r="11" customFormat="false" ht="12.75" hidden="true" customHeight="false" outlineLevel="0" collapsed="false">
      <c r="A11" s="23" t="s">
        <v>21</v>
      </c>
      <c r="B11" s="24"/>
      <c r="C11" s="23"/>
      <c r="D11" s="23"/>
      <c r="E11" s="25" t="str">
        <f aca="false">IF(COUNTIF(E2,"*GS301*")+COUNTIF(E2,"*GS302*")+COUNTIF(E2,"*GS303*")+COUNTIF(E2,"*GS304*")+COUNTIF(E2,"*GS305*")+COUNTIF(E2,"*GS306*")+COUNTIF(E2,"*GS307*")+COUNTIF(E2,"*GS308*")+COUNTIF(E2,"*GS309*")+COUNTIF(E2,"*GS310*")+COUNTIF(E2,"*GS311*")+COUNTIF(E2,"*GS312*")+COUNTIF(E2,"*GS313*")+COUNTIF(E2,"*GS314*")+COUNTIF(E2,"*GS315*")++COUNTIF(E2,"*RC3*"),"V"," ")</f>
        <v> </v>
      </c>
    </row>
    <row r="12" customFormat="false" ht="12.75" hidden="true" customHeight="false" outlineLevel="0" collapsed="false">
      <c r="A12" s="23" t="s">
        <v>22</v>
      </c>
      <c r="B12" s="24"/>
      <c r="C12" s="23"/>
      <c r="D12" s="23"/>
      <c r="E12" s="25" t="str">
        <f aca="false">IF(COUNTIF(E2,"*GS401*")+COUNTIF(E2,"*GS402*")+COUNTIF(E2,"*GS403*")+COUNTIF(E2,"*GS404*")+COUNTIF(E2,"*GS405*")+COUNTIF(E2,"*GS406*")+COUNTIF(E2,"*GS407*")+COUNTIF(E2,"*GS408*")+COUNTIF(E2,"*GS409*")+COUNTIF(E2,"*GS410*")+COUNTIF(E2,"*GS411*")+COUNTIF(E2,"*GS412*")+COUNTIF(E2,"*GS413*")+COUNTIF(E2,"*GS414*")+COUNTIF(E2,"*GS415*")++COUNTIF(E2,"*RC4*"),"V"," ")</f>
        <v> </v>
      </c>
    </row>
    <row r="13" customFormat="false" ht="12.75" hidden="true" customHeight="false" outlineLevel="0" collapsed="false">
      <c r="A13" s="23" t="s">
        <v>23</v>
      </c>
      <c r="B13" s="24"/>
      <c r="C13" s="23"/>
      <c r="D13" s="23"/>
      <c r="E13" s="25" t="str">
        <f aca="false">IF(COUNTIF(E2,"*GS501*")+COUNTIF(E2,"*GS502*")+COUNTIF(E2,"*GS503*")+COUNTIF(E2,"*GS504*")+COUNTIF(E2,"*GS505*")+COUNTIF(E2,"GS506")+COUNTIF(E2,"GS507")+COUNTIF(E2,"*GS508*")+COUNTIF(E2,"*GS509*")+COUNTIF(E2,"*GS510*")+COUNTIF(E2,"GS511")+COUNTIF(E2,"GS512")+COUNTIF(E2,"*GS513*")+COUNTIF(E2,"*GS514*")+COUNTIF(E2,"*GS515*")++COUNTIF(E2,"*RC5*"),"V"," ")</f>
        <v> </v>
      </c>
    </row>
    <row r="14" customFormat="false" ht="12.75" hidden="true" customHeight="false" outlineLevel="0" collapsed="false">
      <c r="A14" s="23" t="s">
        <v>24</v>
      </c>
      <c r="B14" s="24"/>
      <c r="C14" s="23"/>
      <c r="D14" s="23"/>
      <c r="E14" s="25" t="str">
        <f aca="false">IF(COUNTIF(E2,"*GSA01*")+COUNTIF(E2,"*GSA02*")+COUNTIF(E2,"*GSA03*")+COUNTIF(E2,"*GSA04*")+COUNTIF(E2,"*GSA05*")+COUNTIF(E2,"*GSA06*")+COUNTIF(E2,"*RJC*"),"V"," ")</f>
        <v> </v>
      </c>
    </row>
    <row r="15" customFormat="false" ht="12.75" hidden="true" customHeight="false" outlineLevel="0" collapsed="false">
      <c r="A15" s="23" t="s">
        <v>25</v>
      </c>
      <c r="B15" s="24"/>
      <c r="C15" s="23"/>
      <c r="D15" s="23"/>
      <c r="E15" s="25" t="str">
        <f aca="false">IF(COUNTIF(E2,"*GS105*")+COUNTIF(E2,"*GS205*")+COUNTIF(E2,"*GS305*")+COUNTIF(E2,"*GS405*")+COUNTIF(E2,"*GS505*"),"V"," ")</f>
        <v> </v>
      </c>
    </row>
    <row r="16" customFormat="false" ht="12.75" hidden="true" customHeight="false" outlineLevel="0" collapsed="false">
      <c r="A16" s="23" t="s">
        <v>26</v>
      </c>
      <c r="B16" s="24"/>
      <c r="C16" s="23"/>
      <c r="D16" s="23"/>
      <c r="E16" s="25" t="str">
        <f aca="false">IF(COUNTIF(A2,"5@AE600")+COUNTIF(A2,"5@AEE00")+COUNTIF(A2,"5@AEF00")+COUNTIF(A2,"5@AH500")+COUNTIF(A2,"5@AHA00")+COUNTIF(A2,"5@AHB00")+COUNTIF(A2,"5@BHA00")+COUNTIF(A2,"5@BHB00")+COUNTIF(A2,"5@US100")+COUNTIF(A2,"5@US300")+COUNTIF(A2,"5@USA00")+COUNTIF(A2,"5@USB00")+COUNTIF(A2,"5@USC00")+COUNTIF(A2,"5@USD00")+COUNTIF(A2,"5@USE00")+COUNTIF(A2,"5@USF00")+COUNTIF(A2,"5@USG00")+COUNTIF(A2,"5@USH00")+COUNTIF(A2,"5@USJ00")+COUNTIF(A2,"5@USK00")+COUNTIF(A2,"5@USL00")+COUNTIF(A2,"5@USM00")+COUNTIF(A2,"5@USP00")+COUNTIF(A2,"5@USQ00")+COUNTIF(A2,"5@USR00")+COUNTIF(A2,"5@USS00")+COUNTIF(A2,"5@UST00")+COUNTIF(A2,"5@USU00")+COUNTIF(A2,"5@USV00"),"V"," ")</f>
        <v> </v>
      </c>
    </row>
    <row r="17" customFormat="false" ht="12.75" hidden="true" customHeight="false" outlineLevel="0" collapsed="false">
      <c r="A17" s="23" t="s">
        <v>27</v>
      </c>
      <c r="B17" s="24"/>
      <c r="C17" s="23"/>
      <c r="D17" s="23"/>
      <c r="E17" s="25" t="str">
        <f aca="false">IF(COUNTIF(E2,"*GS021*"),"V"," ")</f>
        <v> </v>
      </c>
    </row>
    <row r="18" customFormat="false" ht="12.75" hidden="true" customHeight="false" outlineLevel="0" collapsed="false">
      <c r="A18" s="23" t="s">
        <v>28</v>
      </c>
      <c r="B18" s="24"/>
      <c r="C18" s="23"/>
      <c r="D18" s="23"/>
      <c r="E18" s="25" t="str">
        <f aca="false">IF(COUNTIF(E2,"*GS031*")+COUNTIF(E2,"*GS032*")+COUNTIF(E2,"*GS033*")+COUNTIF(E2,"*GS034*")+COUNTIF(E2,"*GS022*"),"V"," ")</f>
        <v> </v>
      </c>
    </row>
    <row r="563" customFormat="false" ht="12.75" hidden="false" customHeight="false" outlineLevel="0" collapsed="false">
      <c r="A563" s="1" t="e">
        <f aca="false">IF(#REF!="","",VLOOKUP(#REF!,ФиКод[],8,0))</f>
        <v>#REF!</v>
      </c>
    </row>
    <row r="564" customFormat="false" ht="12.75" hidden="false" customHeight="false" outlineLevel="0" collapsed="false">
      <c r="A564" s="1" t="e">
        <f aca="false">IF(#REF!="","",VLOOKUP(#REF!,ФиКод[],8,0))</f>
        <v>#REF!</v>
      </c>
      <c r="E564" s="1" t="e">
        <f aca="false">IF(#REF!="","",VLOOKUP(#REF!,ФиКод[],9,0))</f>
        <v>#REF!</v>
      </c>
    </row>
    <row r="565" customFormat="false" ht="12.75" hidden="false" customHeight="false" outlineLevel="0" collapsed="false">
      <c r="A565" s="1" t="e">
        <f aca="false">IF(#REF!="","",VLOOKUP(#REF!,ФиКод[],8,0))</f>
        <v>#REF!</v>
      </c>
      <c r="E565" s="1" t="e">
        <f aca="false">IF(#REF!="","",VLOOKUP(#REF!,ФиКод[],9,0))</f>
        <v>#REF!</v>
      </c>
      <c r="F565" s="1" t="e">
        <f aca="false">IF(#REF!="","",VLOOKUP(#REF!,ФиКод[],10,0))</f>
        <v>#REF!</v>
      </c>
    </row>
    <row r="566" customFormat="false" ht="12.75" hidden="false" customHeight="false" outlineLevel="0" collapsed="false">
      <c r="A566" s="1" t="e">
        <f aca="false">IF(#REF!="","",VLOOKUP(#REF!,ФиКод[],8,0))</f>
        <v>#REF!</v>
      </c>
      <c r="E566" s="1" t="e">
        <f aca="false">IF(#REF!="","",VLOOKUP(#REF!,ФиКод[],9,0))</f>
        <v>#REF!</v>
      </c>
      <c r="F566" s="1" t="e">
        <f aca="false">IF(#REF!="","",VLOOKUP(#REF!,ФиКод[],10,0))</f>
        <v>#REF!</v>
      </c>
    </row>
    <row r="567" customFormat="false" ht="12.75" hidden="false" customHeight="false" outlineLevel="0" collapsed="false">
      <c r="A567" s="1" t="e">
        <f aca="false">IF(#REF!="","",VLOOKUP(#REF!,ФиКод[],8,0))</f>
        <v>#REF!</v>
      </c>
      <c r="E567" s="1" t="e">
        <f aca="false">IF(#REF!="","",VLOOKUP(#REF!,ФиКод[],9,0))</f>
        <v>#REF!</v>
      </c>
      <c r="F567" s="1" t="e">
        <f aca="false">IF(#REF!="","",VLOOKUP(#REF!,ФиКод[],10,0))</f>
        <v>#REF!</v>
      </c>
    </row>
    <row r="568" customFormat="false" ht="12.75" hidden="false" customHeight="false" outlineLevel="0" collapsed="false">
      <c r="A568" s="1" t="e">
        <f aca="false">IF(#REF!="","",VLOOKUP(#REF!,ФиКод[],8,0))</f>
        <v>#REF!</v>
      </c>
      <c r="E568" s="1" t="e">
        <f aca="false">IF(#REF!="","",VLOOKUP(#REF!,ФиКод[],9,0))</f>
        <v>#REF!</v>
      </c>
      <c r="F568" s="1" t="e">
        <f aca="false">IF(#REF!="","",VLOOKUP(#REF!,ФиКод[],10,0))</f>
        <v>#REF!</v>
      </c>
    </row>
    <row r="569" customFormat="false" ht="12.75" hidden="false" customHeight="false" outlineLevel="0" collapsed="false">
      <c r="A569" s="1" t="e">
        <f aca="false">IF(#REF!="","",VLOOKUP(#REF!,ФиКод[],8,0))</f>
        <v>#REF!</v>
      </c>
      <c r="E569" s="1" t="e">
        <f aca="false">IF(#REF!="","",VLOOKUP(#REF!,ФиКод[],9,0))</f>
        <v>#REF!</v>
      </c>
      <c r="F569" s="1" t="e">
        <f aca="false">IF(#REF!="","",VLOOKUP(#REF!,ФиКод[],10,0))</f>
        <v>#REF!</v>
      </c>
    </row>
    <row r="570" customFormat="false" ht="12.75" hidden="false" customHeight="false" outlineLevel="0" collapsed="false">
      <c r="A570" s="1" t="e">
        <f aca="false">IF(#REF!="","",VLOOKUP(#REF!,ФиКод[],8,0))</f>
        <v>#REF!</v>
      </c>
      <c r="E570" s="1" t="e">
        <f aca="false">IF(#REF!="","",VLOOKUP(#REF!,ФиКод[],9,0))</f>
        <v>#REF!</v>
      </c>
      <c r="F570" s="1" t="e">
        <f aca="false">IF(#REF!="","",VLOOKUP(#REF!,ФиКод[],10,0))</f>
        <v>#REF!</v>
      </c>
    </row>
    <row r="571" customFormat="false" ht="12.75" hidden="false" customHeight="false" outlineLevel="0" collapsed="false">
      <c r="A571" s="1" t="e">
        <f aca="false">IF(#REF!="","",VLOOKUP(#REF!,ФиКод[],8,0))</f>
        <v>#REF!</v>
      </c>
      <c r="E571" s="1" t="e">
        <f aca="false">IF(#REF!="","",VLOOKUP(#REF!,ФиКод[],9,0))</f>
        <v>#REF!</v>
      </c>
      <c r="F571" s="1" t="e">
        <f aca="false">IF(#REF!="","",VLOOKUP(#REF!,ФиКод[],10,0))</f>
        <v>#REF!</v>
      </c>
    </row>
    <row r="572" customFormat="false" ht="12.75" hidden="false" customHeight="false" outlineLevel="0" collapsed="false">
      <c r="A572" s="1" t="e">
        <f aca="false">IF(#REF!="","",VLOOKUP(#REF!,ФиКод[],8,0))</f>
        <v>#REF!</v>
      </c>
      <c r="E572" s="1" t="e">
        <f aca="false">IF(#REF!="","",VLOOKUP(#REF!,ФиКод[],9,0))</f>
        <v>#REF!</v>
      </c>
      <c r="F572" s="1" t="e">
        <f aca="false">IF(#REF!="","",VLOOKUP(#REF!,ФиКод[],10,0))</f>
        <v>#REF!</v>
      </c>
    </row>
    <row r="573" customFormat="false" ht="12.75" hidden="false" customHeight="false" outlineLevel="0" collapsed="false">
      <c r="A573" s="1" t="e">
        <f aca="false">IF(#REF!="","",VLOOKUP(#REF!,ФиКод[],8,0))</f>
        <v>#REF!</v>
      </c>
      <c r="E573" s="1" t="e">
        <f aca="false">IF(#REF!="","",VLOOKUP(#REF!,ФиКод[],9,0))</f>
        <v>#REF!</v>
      </c>
      <c r="F573" s="1" t="e">
        <f aca="false">IF(#REF!="","",VLOOKUP(#REF!,ФиКод[],10,0))</f>
        <v>#REF!</v>
      </c>
    </row>
    <row r="574" customFormat="false" ht="12.75" hidden="false" customHeight="false" outlineLevel="0" collapsed="false">
      <c r="A574" s="1" t="e">
        <f aca="false">IF(#REF!="","",VLOOKUP(#REF!,ФиКод[],8,0))</f>
        <v>#REF!</v>
      </c>
      <c r="E574" s="1" t="e">
        <f aca="false">IF(#REF!="","",VLOOKUP(#REF!,ФиКод[],9,0))</f>
        <v>#REF!</v>
      </c>
      <c r="F574" s="1" t="e">
        <f aca="false">IF(#REF!="","",VLOOKUP(#REF!,ФиКод[],10,0))</f>
        <v>#REF!</v>
      </c>
    </row>
    <row r="575" customFormat="false" ht="12.75" hidden="false" customHeight="false" outlineLevel="0" collapsed="false">
      <c r="A575" s="1" t="e">
        <f aca="false">IF(#REF!="","",VLOOKUP(#REF!,ФиКод[],8,0))</f>
        <v>#REF!</v>
      </c>
      <c r="E575" s="1" t="e">
        <f aca="false">IF(#REF!="","",VLOOKUP(#REF!,ФиКод[],9,0))</f>
        <v>#REF!</v>
      </c>
      <c r="F575" s="1" t="e">
        <f aca="false">IF(#REF!="","",VLOOKUP(#REF!,ФиКод[],10,0))</f>
        <v>#REF!</v>
      </c>
    </row>
    <row r="576" customFormat="false" ht="12.75" hidden="false" customHeight="false" outlineLevel="0" collapsed="false">
      <c r="A576" s="1" t="e">
        <f aca="false">IF(#REF!="","",VLOOKUP(#REF!,ФиКод[],8,0))</f>
        <v>#REF!</v>
      </c>
      <c r="E576" s="1" t="e">
        <f aca="false">IF(#REF!="","",VLOOKUP(#REF!,ФиКод[],9,0))</f>
        <v>#REF!</v>
      </c>
      <c r="F576" s="1" t="e">
        <f aca="false">IF(#REF!="","",VLOOKUP(#REF!,ФиКод[],10,0))</f>
        <v>#REF!</v>
      </c>
    </row>
    <row r="577" customFormat="false" ht="12.75" hidden="false" customHeight="false" outlineLevel="0" collapsed="false">
      <c r="A577" s="1" t="e">
        <f aca="false">IF(#REF!="","",VLOOKUP(#REF!,ФиКод[],8,0))</f>
        <v>#REF!</v>
      </c>
      <c r="E577" s="1" t="e">
        <f aca="false">IF(#REF!="","",VLOOKUP(#REF!,ФиКод[],9,0))</f>
        <v>#REF!</v>
      </c>
      <c r="F577" s="1" t="e">
        <f aca="false">IF(#REF!="","",VLOOKUP(#REF!,ФиКод[],10,0))</f>
        <v>#REF!</v>
      </c>
    </row>
    <row r="578" customFormat="false" ht="12.75" hidden="false" customHeight="false" outlineLevel="0" collapsed="false">
      <c r="A578" s="1" t="e">
        <f aca="false">IF(#REF!="","",VLOOKUP(#REF!,ФиКод[],8,0))</f>
        <v>#REF!</v>
      </c>
      <c r="E578" s="1" t="e">
        <f aca="false">IF(#REF!="","",VLOOKUP(#REF!,ФиКод[],9,0))</f>
        <v>#REF!</v>
      </c>
      <c r="F578" s="1" t="e">
        <f aca="false">IF(#REF!="","",VLOOKUP(#REF!,ФиКод[],10,0))</f>
        <v>#REF!</v>
      </c>
    </row>
    <row r="579" customFormat="false" ht="12.75" hidden="false" customHeight="false" outlineLevel="0" collapsed="false">
      <c r="A579" s="1" t="e">
        <f aca="false">IF(#REF!="","",VLOOKUP(#REF!,ФиКод[],8,0))</f>
        <v>#REF!</v>
      </c>
      <c r="E579" s="1" t="e">
        <f aca="false">IF(#REF!="","",VLOOKUP(#REF!,ФиКод[],9,0))</f>
        <v>#REF!</v>
      </c>
      <c r="F579" s="1" t="e">
        <f aca="false">IF(#REF!="","",VLOOKUP(#REF!,ФиКод[],10,0))</f>
        <v>#REF!</v>
      </c>
    </row>
    <row r="580" customFormat="false" ht="12.75" hidden="false" customHeight="false" outlineLevel="0" collapsed="false">
      <c r="A580" s="1" t="e">
        <f aca="false">IF(#REF!="","",VLOOKUP(#REF!,ФиКод[],8,0))</f>
        <v>#REF!</v>
      </c>
      <c r="E580" s="1" t="e">
        <f aca="false">IF(#REF!="","",VLOOKUP(#REF!,ФиКод[],9,0))</f>
        <v>#REF!</v>
      </c>
      <c r="F580" s="1" t="e">
        <f aca="false">IF(#REF!="","",VLOOKUP(#REF!,ФиКод[],10,0))</f>
        <v>#REF!</v>
      </c>
    </row>
    <row r="581" customFormat="false" ht="12.75" hidden="false" customHeight="false" outlineLevel="0" collapsed="false">
      <c r="A581" s="1" t="e">
        <f aca="false">IF(#REF!="","",VLOOKUP(#REF!,ФиКод[],8,0))</f>
        <v>#REF!</v>
      </c>
      <c r="E581" s="1" t="e">
        <f aca="false">IF(#REF!="","",VLOOKUP(#REF!,ФиКод[],9,0))</f>
        <v>#REF!</v>
      </c>
      <c r="F581" s="1" t="e">
        <f aca="false">IF(#REF!="","",VLOOKUP(#REF!,ФиКод[],10,0))</f>
        <v>#REF!</v>
      </c>
    </row>
    <row r="582" customFormat="false" ht="12.75" hidden="false" customHeight="false" outlineLevel="0" collapsed="false">
      <c r="A582" s="1" t="e">
        <f aca="false">IF(#REF!="","",VLOOKUP(#REF!,ФиКод[],8,0))</f>
        <v>#REF!</v>
      </c>
      <c r="E582" s="1" t="e">
        <f aca="false">IF(#REF!="","",VLOOKUP(#REF!,ФиКод[],9,0))</f>
        <v>#REF!</v>
      </c>
      <c r="F582" s="1" t="e">
        <f aca="false">IF(#REF!="","",VLOOKUP(#REF!,ФиКод[],10,0))</f>
        <v>#REF!</v>
      </c>
    </row>
    <row r="583" customFormat="false" ht="12.75" hidden="false" customHeight="false" outlineLevel="0" collapsed="false">
      <c r="A583" s="1" t="e">
        <f aca="false">IF(#REF!="","",VLOOKUP(#REF!,ФиКод[],8,0))</f>
        <v>#REF!</v>
      </c>
      <c r="E583" s="1" t="e">
        <f aca="false">IF(#REF!="","",VLOOKUP(#REF!,ФиКод[],9,0))</f>
        <v>#REF!</v>
      </c>
      <c r="F583" s="1" t="e">
        <f aca="false">IF(#REF!="","",VLOOKUP(#REF!,ФиКод[],10,0))</f>
        <v>#REF!</v>
      </c>
    </row>
    <row r="584" customFormat="false" ht="12.75" hidden="false" customHeight="false" outlineLevel="0" collapsed="false">
      <c r="A584" s="1" t="e">
        <f aca="false">IF(#REF!="","",VLOOKUP(#REF!,ФиКод[],8,0))</f>
        <v>#REF!</v>
      </c>
      <c r="E584" s="1" t="e">
        <f aca="false">IF(#REF!="","",VLOOKUP(#REF!,ФиКод[],9,0))</f>
        <v>#REF!</v>
      </c>
      <c r="F584" s="1" t="e">
        <f aca="false">IF(#REF!="","",VLOOKUP(#REF!,ФиКод[],10,0))</f>
        <v>#REF!</v>
      </c>
    </row>
    <row r="585" customFormat="false" ht="12.75" hidden="false" customHeight="false" outlineLevel="0" collapsed="false">
      <c r="A585" s="1" t="e">
        <f aca="false">IF(#REF!="","",VLOOKUP(#REF!,ФиКод[],8,0))</f>
        <v>#REF!</v>
      </c>
      <c r="E585" s="1" t="e">
        <f aca="false">IF(#REF!="","",VLOOKUP(#REF!,ФиКод[],9,0))</f>
        <v>#REF!</v>
      </c>
      <c r="F585" s="1" t="e">
        <f aca="false">IF(#REF!="","",VLOOKUP(#REF!,ФиКод[],10,0))</f>
        <v>#REF!</v>
      </c>
    </row>
    <row r="586" customFormat="false" ht="12.75" hidden="false" customHeight="false" outlineLevel="0" collapsed="false">
      <c r="A586" s="1" t="e">
        <f aca="false">IF(#REF!="","",VLOOKUP(#REF!,ФиКод[],8,0))</f>
        <v>#REF!</v>
      </c>
      <c r="E586" s="1" t="e">
        <f aca="false">IF(#REF!="","",VLOOKUP(#REF!,ФиКод[],9,0))</f>
        <v>#REF!</v>
      </c>
      <c r="F586" s="1" t="e">
        <f aca="false">IF(#REF!="","",VLOOKUP(#REF!,ФиКод[],10,0))</f>
        <v>#REF!</v>
      </c>
    </row>
    <row r="587" customFormat="false" ht="12.75" hidden="false" customHeight="false" outlineLevel="0" collapsed="false">
      <c r="A587" s="1" t="e">
        <f aca="false">IF(#REF!="","",VLOOKUP(#REF!,ФиКод[],8,0))</f>
        <v>#REF!</v>
      </c>
      <c r="E587" s="1" t="e">
        <f aca="false">IF(#REF!="","",VLOOKUP(#REF!,ФиКод[],9,0))</f>
        <v>#REF!</v>
      </c>
      <c r="F587" s="1" t="e">
        <f aca="false">IF(#REF!="","",VLOOKUP(#REF!,ФиКод[],10,0))</f>
        <v>#REF!</v>
      </c>
    </row>
    <row r="588" customFormat="false" ht="12.75" hidden="false" customHeight="false" outlineLevel="0" collapsed="false">
      <c r="A588" s="1" t="e">
        <f aca="false">IF(#REF!="","",VLOOKUP(#REF!,ФиКод[],8,0))</f>
        <v>#REF!</v>
      </c>
      <c r="E588" s="1" t="e">
        <f aca="false">IF(#REF!="","",VLOOKUP(#REF!,ФиКод[],9,0))</f>
        <v>#REF!</v>
      </c>
      <c r="F588" s="1" t="e">
        <f aca="false">IF(#REF!="","",VLOOKUP(#REF!,ФиКод[],10,0))</f>
        <v>#REF!</v>
      </c>
    </row>
    <row r="589" customFormat="false" ht="12.75" hidden="false" customHeight="false" outlineLevel="0" collapsed="false">
      <c r="A589" s="1" t="e">
        <f aca="false">IF(#REF!="","",VLOOKUP(#REF!,ФиКод[],8,0))</f>
        <v>#REF!</v>
      </c>
      <c r="E589" s="1" t="e">
        <f aca="false">IF(#REF!="","",VLOOKUP(#REF!,ФиКод[],9,0))</f>
        <v>#REF!</v>
      </c>
      <c r="F589" s="1" t="e">
        <f aca="false">IF(#REF!="","",VLOOKUP(#REF!,ФиКод[],10,0))</f>
        <v>#REF!</v>
      </c>
    </row>
    <row r="590" customFormat="false" ht="12.75" hidden="false" customHeight="false" outlineLevel="0" collapsed="false">
      <c r="A590" s="1" t="e">
        <f aca="false">IF(#REF!="","",VLOOKUP(#REF!,ФиКод[],8,0))</f>
        <v>#REF!</v>
      </c>
      <c r="E590" s="1" t="e">
        <f aca="false">IF(#REF!="","",VLOOKUP(#REF!,ФиКод[],9,0))</f>
        <v>#REF!</v>
      </c>
      <c r="F590" s="1" t="e">
        <f aca="false">IF(#REF!="","",VLOOKUP(#REF!,ФиКод[],10,0))</f>
        <v>#REF!</v>
      </c>
    </row>
    <row r="591" customFormat="false" ht="12.75" hidden="false" customHeight="false" outlineLevel="0" collapsed="false">
      <c r="A591" s="1" t="e">
        <f aca="false">IF(#REF!="","",VLOOKUP(#REF!,ФиКод[],8,0))</f>
        <v>#REF!</v>
      </c>
      <c r="E591" s="1" t="e">
        <f aca="false">IF(#REF!="","",VLOOKUP(#REF!,ФиКод[],9,0))</f>
        <v>#REF!</v>
      </c>
      <c r="F591" s="1" t="e">
        <f aca="false">IF(#REF!="","",VLOOKUP(#REF!,ФиКод[],10,0))</f>
        <v>#REF!</v>
      </c>
    </row>
    <row r="592" customFormat="false" ht="12.75" hidden="false" customHeight="false" outlineLevel="0" collapsed="false">
      <c r="A592" s="1" t="e">
        <f aca="false">IF(#REF!="","",VLOOKUP(#REF!,ФиКод[],8,0))</f>
        <v>#REF!</v>
      </c>
      <c r="E592" s="1" t="e">
        <f aca="false">IF(#REF!="","",VLOOKUP(#REF!,ФиКод[],9,0))</f>
        <v>#REF!</v>
      </c>
      <c r="F592" s="1" t="e">
        <f aca="false">IF(#REF!="","",VLOOKUP(#REF!,ФиКод[],10,0))</f>
        <v>#REF!</v>
      </c>
    </row>
    <row r="593" customFormat="false" ht="12.75" hidden="false" customHeight="false" outlineLevel="0" collapsed="false">
      <c r="A593" s="1" t="e">
        <f aca="false">IF(#REF!="","",VLOOKUP(#REF!,ФиКод[],8,0))</f>
        <v>#REF!</v>
      </c>
      <c r="E593" s="1" t="e">
        <f aca="false">IF(#REF!="","",VLOOKUP(#REF!,ФиКод[],9,0))</f>
        <v>#REF!</v>
      </c>
      <c r="F593" s="1" t="e">
        <f aca="false">IF(#REF!="","",VLOOKUP(#REF!,ФиКод[],10,0))</f>
        <v>#REF!</v>
      </c>
    </row>
    <row r="594" customFormat="false" ht="12.75" hidden="false" customHeight="false" outlineLevel="0" collapsed="false">
      <c r="A594" s="1" t="e">
        <f aca="false">IF(#REF!="","",VLOOKUP(#REF!,ФиКод[],8,0))</f>
        <v>#REF!</v>
      </c>
      <c r="E594" s="1" t="e">
        <f aca="false">IF(#REF!="","",VLOOKUP(#REF!,ФиКод[],9,0))</f>
        <v>#REF!</v>
      </c>
      <c r="F594" s="1" t="e">
        <f aca="false">IF(#REF!="","",VLOOKUP(#REF!,ФиКод[],10,0))</f>
        <v>#REF!</v>
      </c>
    </row>
    <row r="595" customFormat="false" ht="12.75" hidden="false" customHeight="false" outlineLevel="0" collapsed="false">
      <c r="A595" s="1" t="e">
        <f aca="false">IF(#REF!="","",VLOOKUP(#REF!,ФиКод[],8,0))</f>
        <v>#REF!</v>
      </c>
      <c r="E595" s="1" t="e">
        <f aca="false">IF(#REF!="","",VLOOKUP(#REF!,ФиКод[],9,0))</f>
        <v>#REF!</v>
      </c>
      <c r="F595" s="1" t="e">
        <f aca="false">IF(#REF!="","",VLOOKUP(#REF!,ФиКод[],10,0))</f>
        <v>#REF!</v>
      </c>
    </row>
    <row r="596" customFormat="false" ht="12.75" hidden="false" customHeight="false" outlineLevel="0" collapsed="false">
      <c r="A596" s="1" t="e">
        <f aca="false">IF(#REF!="","",VLOOKUP(#REF!,ФиКод[],8,0))</f>
        <v>#REF!</v>
      </c>
      <c r="E596" s="1" t="e">
        <f aca="false">IF(#REF!="","",VLOOKUP(#REF!,ФиКод[],9,0))</f>
        <v>#REF!</v>
      </c>
      <c r="F596" s="1" t="e">
        <f aca="false">IF(#REF!="","",VLOOKUP(#REF!,ФиКод[],10,0))</f>
        <v>#REF!</v>
      </c>
    </row>
    <row r="597" customFormat="false" ht="12.75" hidden="false" customHeight="false" outlineLevel="0" collapsed="false">
      <c r="A597" s="1" t="e">
        <f aca="false">IF(#REF!="","",VLOOKUP(#REF!,ФиКод[],8,0))</f>
        <v>#REF!</v>
      </c>
      <c r="E597" s="1" t="e">
        <f aca="false">IF(#REF!="","",VLOOKUP(#REF!,ФиКод[],9,0))</f>
        <v>#REF!</v>
      </c>
      <c r="F597" s="1" t="e">
        <f aca="false">IF(#REF!="","",VLOOKUP(#REF!,ФиКод[],10,0))</f>
        <v>#REF!</v>
      </c>
    </row>
    <row r="598" customFormat="false" ht="12.75" hidden="false" customHeight="false" outlineLevel="0" collapsed="false">
      <c r="A598" s="1" t="e">
        <f aca="false">IF(#REF!="","",VLOOKUP(#REF!,ФиКод[],8,0))</f>
        <v>#REF!</v>
      </c>
      <c r="E598" s="1" t="e">
        <f aca="false">IF(#REF!="","",VLOOKUP(#REF!,ФиКод[],9,0))</f>
        <v>#REF!</v>
      </c>
      <c r="F598" s="1" t="e">
        <f aca="false">IF(#REF!="","",VLOOKUP(#REF!,ФиКод[],10,0))</f>
        <v>#REF!</v>
      </c>
    </row>
    <row r="599" customFormat="false" ht="12.75" hidden="false" customHeight="false" outlineLevel="0" collapsed="false">
      <c r="A599" s="1" t="e">
        <f aca="false">IF(#REF!="","",VLOOKUP(#REF!,ФиКод[],8,0))</f>
        <v>#REF!</v>
      </c>
      <c r="E599" s="1" t="e">
        <f aca="false">IF(#REF!="","",VLOOKUP(#REF!,ФиКод[],9,0))</f>
        <v>#REF!</v>
      </c>
      <c r="F599" s="1" t="e">
        <f aca="false">IF(#REF!="","",VLOOKUP(#REF!,ФиКод[],10,0))</f>
        <v>#REF!</v>
      </c>
    </row>
    <row r="600" customFormat="false" ht="12.75" hidden="false" customHeight="false" outlineLevel="0" collapsed="false">
      <c r="A600" s="1" t="e">
        <f aca="false">IF(#REF!="","",VLOOKUP(#REF!,ФиКод[],8,0))</f>
        <v>#REF!</v>
      </c>
      <c r="E600" s="1" t="e">
        <f aca="false">IF(#REF!="","",VLOOKUP(#REF!,ФиКод[],9,0))</f>
        <v>#REF!</v>
      </c>
      <c r="F600" s="1" t="e">
        <f aca="false">IF(#REF!="","",VLOOKUP(#REF!,ФиКод[],10,0))</f>
        <v>#REF!</v>
      </c>
    </row>
    <row r="601" customFormat="false" ht="12.75" hidden="false" customHeight="false" outlineLevel="0" collapsed="false">
      <c r="A601" s="1" t="e">
        <f aca="false">IF(#REF!="","",VLOOKUP(#REF!,ФиКод[],8,0))</f>
        <v>#REF!</v>
      </c>
      <c r="E601" s="1" t="e">
        <f aca="false">IF(#REF!="","",VLOOKUP(#REF!,ФиКод[],9,0))</f>
        <v>#REF!</v>
      </c>
      <c r="F601" s="1" t="e">
        <f aca="false">IF(#REF!="","",VLOOKUP(#REF!,ФиКод[],10,0))</f>
        <v>#REF!</v>
      </c>
    </row>
    <row r="602" customFormat="false" ht="12.75" hidden="false" customHeight="false" outlineLevel="0" collapsed="false">
      <c r="A602" s="1" t="e">
        <f aca="false">IF(#REF!="","",VLOOKUP(#REF!,ФиКод[],8,0))</f>
        <v>#REF!</v>
      </c>
      <c r="E602" s="1" t="e">
        <f aca="false">IF(#REF!="","",VLOOKUP(#REF!,ФиКод[],9,0))</f>
        <v>#REF!</v>
      </c>
      <c r="F602" s="1" t="e">
        <f aca="false">IF(#REF!="","",VLOOKUP(#REF!,ФиКод[],10,0))</f>
        <v>#REF!</v>
      </c>
    </row>
    <row r="603" customFormat="false" ht="12.75" hidden="false" customHeight="false" outlineLevel="0" collapsed="false">
      <c r="A603" s="1" t="e">
        <f aca="false">IF(#REF!="","",VLOOKUP(#REF!,ФиКод[],8,0))</f>
        <v>#REF!</v>
      </c>
      <c r="E603" s="1" t="e">
        <f aca="false">IF(#REF!="","",VLOOKUP(#REF!,ФиКод[],9,0))</f>
        <v>#REF!</v>
      </c>
      <c r="F603" s="1" t="e">
        <f aca="false">IF(#REF!="","",VLOOKUP(#REF!,ФиКод[],10,0))</f>
        <v>#REF!</v>
      </c>
    </row>
    <row r="604" customFormat="false" ht="12.75" hidden="false" customHeight="false" outlineLevel="0" collapsed="false">
      <c r="A604" s="1" t="e">
        <f aca="false">IF(#REF!="","",VLOOKUP(#REF!,ФиКод[],8,0))</f>
        <v>#REF!</v>
      </c>
      <c r="E604" s="1" t="e">
        <f aca="false">IF(#REF!="","",VLOOKUP(#REF!,ФиКод[],9,0))</f>
        <v>#REF!</v>
      </c>
      <c r="F604" s="1" t="e">
        <f aca="false">IF(#REF!="","",VLOOKUP(#REF!,ФиКод[],10,0))</f>
        <v>#REF!</v>
      </c>
    </row>
    <row r="605" customFormat="false" ht="12.75" hidden="false" customHeight="false" outlineLevel="0" collapsed="false">
      <c r="A605" s="1" t="e">
        <f aca="false">IF(#REF!="","",VLOOKUP(#REF!,ФиКод[],8,0))</f>
        <v>#REF!</v>
      </c>
      <c r="E605" s="1" t="e">
        <f aca="false">IF(#REF!="","",VLOOKUP(#REF!,ФиКод[],9,0))</f>
        <v>#REF!</v>
      </c>
      <c r="F605" s="1" t="e">
        <f aca="false">IF(#REF!="","",VLOOKUP(#REF!,ФиКод[],10,0))</f>
        <v>#REF!</v>
      </c>
    </row>
    <row r="606" customFormat="false" ht="12.75" hidden="false" customHeight="false" outlineLevel="0" collapsed="false">
      <c r="A606" s="1" t="e">
        <f aca="false">IF(#REF!="","",VLOOKUP(#REF!,ФиКод[],8,0))</f>
        <v>#REF!</v>
      </c>
      <c r="E606" s="1" t="e">
        <f aca="false">IF(#REF!="","",VLOOKUP(#REF!,ФиКод[],9,0))</f>
        <v>#REF!</v>
      </c>
      <c r="F606" s="1" t="e">
        <f aca="false">IF(#REF!="","",VLOOKUP(#REF!,ФиКод[],10,0))</f>
        <v>#REF!</v>
      </c>
    </row>
    <row r="607" customFormat="false" ht="12.75" hidden="false" customHeight="false" outlineLevel="0" collapsed="false">
      <c r="A607" s="1" t="e">
        <f aca="false">IF(#REF!="","",VLOOKUP(#REF!,ФиКод[],8,0))</f>
        <v>#REF!</v>
      </c>
      <c r="E607" s="1" t="e">
        <f aca="false">IF(#REF!="","",VLOOKUP(#REF!,ФиКод[],9,0))</f>
        <v>#REF!</v>
      </c>
      <c r="F607" s="1" t="e">
        <f aca="false">IF(#REF!="","",VLOOKUP(#REF!,ФиКод[],10,0))</f>
        <v>#REF!</v>
      </c>
    </row>
    <row r="608" customFormat="false" ht="12.75" hidden="false" customHeight="false" outlineLevel="0" collapsed="false">
      <c r="A608" s="1" t="e">
        <f aca="false">IF(#REF!="","",VLOOKUP(#REF!,ФиКод[],8,0))</f>
        <v>#REF!</v>
      </c>
      <c r="E608" s="1" t="e">
        <f aca="false">IF(#REF!="","",VLOOKUP(#REF!,ФиКод[],9,0))</f>
        <v>#REF!</v>
      </c>
      <c r="F608" s="1" t="e">
        <f aca="false">IF(#REF!="","",VLOOKUP(#REF!,ФиКод[],10,0))</f>
        <v>#REF!</v>
      </c>
    </row>
    <row r="609" customFormat="false" ht="12.75" hidden="false" customHeight="false" outlineLevel="0" collapsed="false">
      <c r="A609" s="1" t="e">
        <f aca="false">IF(#REF!="","",VLOOKUP(#REF!,ФиКод[],8,0))</f>
        <v>#REF!</v>
      </c>
      <c r="E609" s="1" t="e">
        <f aca="false">IF(#REF!="","",VLOOKUP(#REF!,ФиКод[],9,0))</f>
        <v>#REF!</v>
      </c>
      <c r="F609" s="1" t="e">
        <f aca="false">IF(#REF!="","",VLOOKUP(#REF!,ФиКод[],10,0))</f>
        <v>#REF!</v>
      </c>
    </row>
    <row r="610" customFormat="false" ht="12.75" hidden="false" customHeight="false" outlineLevel="0" collapsed="false">
      <c r="A610" s="1" t="e">
        <f aca="false">IF(#REF!="","",VLOOKUP(#REF!,ФиКод[],8,0))</f>
        <v>#REF!</v>
      </c>
      <c r="E610" s="1" t="e">
        <f aca="false">IF(#REF!="","",VLOOKUP(#REF!,ФиКод[],9,0))</f>
        <v>#REF!</v>
      </c>
      <c r="F610" s="1" t="e">
        <f aca="false">IF(#REF!="","",VLOOKUP(#REF!,ФиКод[],10,0))</f>
        <v>#REF!</v>
      </c>
    </row>
    <row r="611" customFormat="false" ht="12.75" hidden="false" customHeight="false" outlineLevel="0" collapsed="false">
      <c r="A611" s="1" t="e">
        <f aca="false">IF(#REF!="","",VLOOKUP(#REF!,ФиКод[],8,0))</f>
        <v>#REF!</v>
      </c>
      <c r="E611" s="1" t="e">
        <f aca="false">IF(#REF!="","",VLOOKUP(#REF!,ФиКод[],9,0))</f>
        <v>#REF!</v>
      </c>
      <c r="F611" s="1" t="e">
        <f aca="false">IF(#REF!="","",VLOOKUP(#REF!,ФиКод[],10,0))</f>
        <v>#REF!</v>
      </c>
    </row>
    <row r="612" customFormat="false" ht="12.75" hidden="false" customHeight="false" outlineLevel="0" collapsed="false">
      <c r="A612" s="1" t="e">
        <f aca="false">IF(#REF!="","",VLOOKUP(#REF!,ФиКод[],8,0))</f>
        <v>#REF!</v>
      </c>
      <c r="E612" s="1" t="e">
        <f aca="false">IF(#REF!="","",VLOOKUP(#REF!,ФиКод[],9,0))</f>
        <v>#REF!</v>
      </c>
      <c r="F612" s="1" t="e">
        <f aca="false">IF(#REF!="","",VLOOKUP(#REF!,ФиКод[],10,0))</f>
        <v>#REF!</v>
      </c>
    </row>
    <row r="613" customFormat="false" ht="12.75" hidden="false" customHeight="false" outlineLevel="0" collapsed="false">
      <c r="A613" s="1" t="e">
        <f aca="false">IF(#REF!="","",VLOOKUP(#REF!,ФиКод[],8,0))</f>
        <v>#REF!</v>
      </c>
      <c r="E613" s="1" t="e">
        <f aca="false">IF(#REF!="","",VLOOKUP(#REF!,ФиКод[],9,0))</f>
        <v>#REF!</v>
      </c>
      <c r="F613" s="1" t="e">
        <f aca="false">IF(#REF!="","",VLOOKUP(#REF!,ФиКод[],10,0))</f>
        <v>#REF!</v>
      </c>
    </row>
    <row r="614" customFormat="false" ht="12.75" hidden="false" customHeight="false" outlineLevel="0" collapsed="false">
      <c r="A614" s="1" t="e">
        <f aca="false">IF(#REF!="","",VLOOKUP(#REF!,ФиКод[],8,0))</f>
        <v>#REF!</v>
      </c>
      <c r="E614" s="1" t="e">
        <f aca="false">IF(#REF!="","",VLOOKUP(#REF!,ФиКод[],9,0))</f>
        <v>#REF!</v>
      </c>
      <c r="F614" s="1" t="e">
        <f aca="false">IF(#REF!="","",VLOOKUP(#REF!,ФиКод[],10,0))</f>
        <v>#REF!</v>
      </c>
    </row>
    <row r="615" customFormat="false" ht="12.75" hidden="false" customHeight="false" outlineLevel="0" collapsed="false">
      <c r="A615" s="1" t="e">
        <f aca="false">IF(#REF!="","",VLOOKUP(#REF!,ФиКод[],8,0))</f>
        <v>#REF!</v>
      </c>
      <c r="E615" s="1" t="e">
        <f aca="false">IF(#REF!="","",VLOOKUP(#REF!,ФиКод[],9,0))</f>
        <v>#REF!</v>
      </c>
      <c r="F615" s="1" t="e">
        <f aca="false">IF(#REF!="","",VLOOKUP(#REF!,ФиКод[],10,0))</f>
        <v>#REF!</v>
      </c>
    </row>
    <row r="616" customFormat="false" ht="12.75" hidden="false" customHeight="false" outlineLevel="0" collapsed="false">
      <c r="A616" s="1" t="e">
        <f aca="false">IF(#REF!="","",VLOOKUP(#REF!,ФиКод[],8,0))</f>
        <v>#REF!</v>
      </c>
      <c r="E616" s="1" t="e">
        <f aca="false">IF(#REF!="","",VLOOKUP(#REF!,ФиКод[],9,0))</f>
        <v>#REF!</v>
      </c>
      <c r="F616" s="1" t="e">
        <f aca="false">IF(#REF!="","",VLOOKUP(#REF!,ФиКод[],10,0))</f>
        <v>#REF!</v>
      </c>
    </row>
    <row r="617" customFormat="false" ht="12.75" hidden="false" customHeight="false" outlineLevel="0" collapsed="false">
      <c r="A617" s="1" t="e">
        <f aca="false">IF(#REF!="","",VLOOKUP(#REF!,ФиКод[],8,0))</f>
        <v>#REF!</v>
      </c>
      <c r="E617" s="1" t="e">
        <f aca="false">IF(#REF!="","",VLOOKUP(#REF!,ФиКод[],9,0))</f>
        <v>#REF!</v>
      </c>
      <c r="F617" s="1" t="e">
        <f aca="false">IF(#REF!="","",VLOOKUP(#REF!,ФиКод[],10,0))</f>
        <v>#REF!</v>
      </c>
    </row>
    <row r="618" customFormat="false" ht="12.75" hidden="false" customHeight="false" outlineLevel="0" collapsed="false">
      <c r="A618" s="1" t="e">
        <f aca="false">IF(#REF!="","",VLOOKUP(#REF!,ФиКод[],8,0))</f>
        <v>#REF!</v>
      </c>
      <c r="E618" s="1" t="e">
        <f aca="false">IF(#REF!="","",VLOOKUP(#REF!,ФиКод[],9,0))</f>
        <v>#REF!</v>
      </c>
      <c r="F618" s="1" t="e">
        <f aca="false">IF(#REF!="","",VLOOKUP(#REF!,ФиКод[],10,0))</f>
        <v>#REF!</v>
      </c>
    </row>
    <row r="619" customFormat="false" ht="12.75" hidden="false" customHeight="false" outlineLevel="0" collapsed="false">
      <c r="A619" s="1" t="e">
        <f aca="false">IF(#REF!="","",VLOOKUP(#REF!,ФиКод[],8,0))</f>
        <v>#REF!</v>
      </c>
      <c r="E619" s="1" t="e">
        <f aca="false">IF(#REF!="","",VLOOKUP(#REF!,ФиКод[],9,0))</f>
        <v>#REF!</v>
      </c>
      <c r="F619" s="1" t="e">
        <f aca="false">IF(#REF!="","",VLOOKUP(#REF!,ФиКод[],10,0))</f>
        <v>#REF!</v>
      </c>
    </row>
    <row r="620" customFormat="false" ht="12.75" hidden="false" customHeight="false" outlineLevel="0" collapsed="false">
      <c r="A620" s="1" t="e">
        <f aca="false">IF(#REF!="","",VLOOKUP(#REF!,ФиКод[],8,0))</f>
        <v>#REF!</v>
      </c>
      <c r="E620" s="1" t="e">
        <f aca="false">IF(#REF!="","",VLOOKUP(#REF!,ФиКод[],9,0))</f>
        <v>#REF!</v>
      </c>
      <c r="F620" s="1" t="e">
        <f aca="false">IF(#REF!="","",VLOOKUP(#REF!,ФиКод[],10,0))</f>
        <v>#REF!</v>
      </c>
    </row>
    <row r="621" customFormat="false" ht="12.75" hidden="false" customHeight="false" outlineLevel="0" collapsed="false">
      <c r="A621" s="1" t="e">
        <f aca="false">IF(#REF!="","",VLOOKUP(#REF!,ФиКод[],8,0))</f>
        <v>#REF!</v>
      </c>
      <c r="E621" s="1" t="e">
        <f aca="false">IF(#REF!="","",VLOOKUP(#REF!,ФиКод[],9,0))</f>
        <v>#REF!</v>
      </c>
      <c r="F621" s="1" t="e">
        <f aca="false">IF(#REF!="","",VLOOKUP(#REF!,ФиКод[],10,0))</f>
        <v>#REF!</v>
      </c>
    </row>
    <row r="622" customFormat="false" ht="12.75" hidden="false" customHeight="false" outlineLevel="0" collapsed="false">
      <c r="A622" s="1" t="e">
        <f aca="false">IF(#REF!="","",VLOOKUP(#REF!,ФиКод[],8,0))</f>
        <v>#REF!</v>
      </c>
      <c r="E622" s="1" t="e">
        <f aca="false">IF(#REF!="","",VLOOKUP(#REF!,ФиКод[],9,0))</f>
        <v>#REF!</v>
      </c>
      <c r="F622" s="1" t="e">
        <f aca="false">IF(#REF!="","",VLOOKUP(#REF!,ФиКод[],10,0))</f>
        <v>#REF!</v>
      </c>
    </row>
    <row r="623" customFormat="false" ht="12.75" hidden="false" customHeight="false" outlineLevel="0" collapsed="false">
      <c r="A623" s="1" t="e">
        <f aca="false">IF(#REF!="","",VLOOKUP(#REF!,ФиКод[],8,0))</f>
        <v>#REF!</v>
      </c>
      <c r="E623" s="1" t="e">
        <f aca="false">IF(#REF!="","",VLOOKUP(#REF!,ФиКод[],9,0))</f>
        <v>#REF!</v>
      </c>
      <c r="F623" s="1" t="e">
        <f aca="false">IF(#REF!="","",VLOOKUP(#REF!,ФиКод[],10,0))</f>
        <v>#REF!</v>
      </c>
    </row>
    <row r="624" customFormat="false" ht="12.75" hidden="false" customHeight="false" outlineLevel="0" collapsed="false">
      <c r="A624" s="1" t="e">
        <f aca="false">IF(#REF!="","",VLOOKUP(#REF!,ФиКод[],8,0))</f>
        <v>#REF!</v>
      </c>
      <c r="E624" s="1" t="e">
        <f aca="false">IF(#REF!="","",VLOOKUP(#REF!,ФиКод[],9,0))</f>
        <v>#REF!</v>
      </c>
      <c r="F624" s="1" t="e">
        <f aca="false">IF(#REF!="","",VLOOKUP(#REF!,ФиКод[],10,0))</f>
        <v>#REF!</v>
      </c>
    </row>
    <row r="625" customFormat="false" ht="12.75" hidden="false" customHeight="false" outlineLevel="0" collapsed="false">
      <c r="A625" s="1" t="e">
        <f aca="false">IF(#REF!="","",VLOOKUP(#REF!,ФиКод[],8,0))</f>
        <v>#REF!</v>
      </c>
      <c r="E625" s="1" t="e">
        <f aca="false">IF(#REF!="","",VLOOKUP(#REF!,ФиКод[],9,0))</f>
        <v>#REF!</v>
      </c>
      <c r="F625" s="1" t="e">
        <f aca="false">IF(#REF!="","",VLOOKUP(#REF!,ФиКод[],10,0))</f>
        <v>#REF!</v>
      </c>
    </row>
    <row r="626" customFormat="false" ht="12.75" hidden="false" customHeight="false" outlineLevel="0" collapsed="false">
      <c r="A626" s="1" t="e">
        <f aca="false">IF(#REF!="","",VLOOKUP(#REF!,ФиКод[],8,0))</f>
        <v>#REF!</v>
      </c>
      <c r="E626" s="1" t="e">
        <f aca="false">IF(#REF!="","",VLOOKUP(#REF!,ФиКод[],9,0))</f>
        <v>#REF!</v>
      </c>
      <c r="F626" s="1" t="e">
        <f aca="false">IF(#REF!="","",VLOOKUP(#REF!,ФиКод[],10,0))</f>
        <v>#REF!</v>
      </c>
    </row>
    <row r="627" customFormat="false" ht="12.75" hidden="false" customHeight="false" outlineLevel="0" collapsed="false">
      <c r="A627" s="1" t="e">
        <f aca="false">IF(#REF!="","",VLOOKUP(#REF!,ФиКод[],8,0))</f>
        <v>#REF!</v>
      </c>
      <c r="E627" s="1" t="e">
        <f aca="false">IF(#REF!="","",VLOOKUP(#REF!,ФиКод[],9,0))</f>
        <v>#REF!</v>
      </c>
      <c r="F627" s="1" t="e">
        <f aca="false">IF(#REF!="","",VLOOKUP(#REF!,ФиКод[],10,0))</f>
        <v>#REF!</v>
      </c>
    </row>
    <row r="628" customFormat="false" ht="12.75" hidden="false" customHeight="false" outlineLevel="0" collapsed="false">
      <c r="A628" s="1" t="e">
        <f aca="false">IF(#REF!="","",VLOOKUP(#REF!,ФиКод[],8,0))</f>
        <v>#REF!</v>
      </c>
      <c r="E628" s="1" t="e">
        <f aca="false">IF(#REF!="","",VLOOKUP(#REF!,ФиКод[],9,0))</f>
        <v>#REF!</v>
      </c>
      <c r="F628" s="1" t="e">
        <f aca="false">IF(#REF!="","",VLOOKUP(#REF!,ФиКод[],10,0))</f>
        <v>#REF!</v>
      </c>
    </row>
    <row r="629" customFormat="false" ht="12.75" hidden="false" customHeight="false" outlineLevel="0" collapsed="false">
      <c r="A629" s="1" t="e">
        <f aca="false">IF(#REF!="","",VLOOKUP(#REF!,ФиКод[],8,0))</f>
        <v>#REF!</v>
      </c>
      <c r="E629" s="1" t="e">
        <f aca="false">IF(#REF!="","",VLOOKUP(#REF!,ФиКод[],9,0))</f>
        <v>#REF!</v>
      </c>
      <c r="F629" s="1" t="e">
        <f aca="false">IF(#REF!="","",VLOOKUP(#REF!,ФиКод[],10,0))</f>
        <v>#REF!</v>
      </c>
    </row>
    <row r="630" customFormat="false" ht="12.75" hidden="false" customHeight="false" outlineLevel="0" collapsed="false">
      <c r="A630" s="1" t="e">
        <f aca="false">IF(#REF!="","",VLOOKUP(#REF!,ФиКод[],8,0))</f>
        <v>#REF!</v>
      </c>
      <c r="E630" s="1" t="e">
        <f aca="false">IF(#REF!="","",VLOOKUP(#REF!,ФиКод[],9,0))</f>
        <v>#REF!</v>
      </c>
      <c r="F630" s="1" t="e">
        <f aca="false">IF(#REF!="","",VLOOKUP(#REF!,ФиКод[],10,0))</f>
        <v>#REF!</v>
      </c>
    </row>
    <row r="631" customFormat="false" ht="12.75" hidden="false" customHeight="false" outlineLevel="0" collapsed="false">
      <c r="A631" s="1" t="e">
        <f aca="false">IF(#REF!="","",VLOOKUP(#REF!,ФиКод[],8,0))</f>
        <v>#REF!</v>
      </c>
      <c r="E631" s="1" t="e">
        <f aca="false">IF(#REF!="","",VLOOKUP(#REF!,ФиКод[],9,0))</f>
        <v>#REF!</v>
      </c>
      <c r="F631" s="1" t="e">
        <f aca="false">IF(#REF!="","",VLOOKUP(#REF!,ФиКод[],10,0))</f>
        <v>#REF!</v>
      </c>
    </row>
    <row r="632" customFormat="false" ht="12.75" hidden="false" customHeight="false" outlineLevel="0" collapsed="false">
      <c r="A632" s="1" t="e">
        <f aca="false">IF(#REF!="","",VLOOKUP(#REF!,ФиКод[],8,0))</f>
        <v>#REF!</v>
      </c>
      <c r="E632" s="1" t="e">
        <f aca="false">IF(#REF!="","",VLOOKUP(#REF!,ФиКод[],9,0))</f>
        <v>#REF!</v>
      </c>
      <c r="F632" s="1" t="e">
        <f aca="false">IF(#REF!="","",VLOOKUP(#REF!,ФиКод[],10,0))</f>
        <v>#REF!</v>
      </c>
    </row>
    <row r="633" customFormat="false" ht="12.75" hidden="false" customHeight="false" outlineLevel="0" collapsed="false">
      <c r="A633" s="1" t="e">
        <f aca="false">IF(#REF!="","",VLOOKUP(#REF!,ФиКод[],8,0))</f>
        <v>#REF!</v>
      </c>
      <c r="E633" s="1" t="e">
        <f aca="false">IF(#REF!="","",VLOOKUP(#REF!,ФиКод[],9,0))</f>
        <v>#REF!</v>
      </c>
      <c r="F633" s="1" t="e">
        <f aca="false">IF(#REF!="","",VLOOKUP(#REF!,ФиКод[],10,0))</f>
        <v>#REF!</v>
      </c>
    </row>
    <row r="634" customFormat="false" ht="12.75" hidden="false" customHeight="false" outlineLevel="0" collapsed="false">
      <c r="A634" s="1" t="e">
        <f aca="false">IF(#REF!="","",VLOOKUP(#REF!,ФиКод[],8,0))</f>
        <v>#REF!</v>
      </c>
      <c r="E634" s="1" t="e">
        <f aca="false">IF(#REF!="","",VLOOKUP(#REF!,ФиКод[],9,0))</f>
        <v>#REF!</v>
      </c>
      <c r="F634" s="1" t="e">
        <f aca="false">IF(#REF!="","",VLOOKUP(#REF!,ФиКод[],10,0))</f>
        <v>#REF!</v>
      </c>
    </row>
    <row r="635" customFormat="false" ht="12.75" hidden="false" customHeight="false" outlineLevel="0" collapsed="false">
      <c r="A635" s="1" t="e">
        <f aca="false">IF(#REF!="","",VLOOKUP(#REF!,ФиКод[],8,0))</f>
        <v>#REF!</v>
      </c>
      <c r="E635" s="1" t="e">
        <f aca="false">IF(#REF!="","",VLOOKUP(#REF!,ФиКод[],9,0))</f>
        <v>#REF!</v>
      </c>
      <c r="F635" s="1" t="e">
        <f aca="false">IF(#REF!="","",VLOOKUP(#REF!,ФиКод[],10,0))</f>
        <v>#REF!</v>
      </c>
    </row>
    <row r="636" customFormat="false" ht="12.75" hidden="false" customHeight="false" outlineLevel="0" collapsed="false">
      <c r="A636" s="1" t="e">
        <f aca="false">IF(#REF!="","",VLOOKUP(#REF!,ФиКод[],8,0))</f>
        <v>#REF!</v>
      </c>
      <c r="E636" s="1" t="e">
        <f aca="false">IF(#REF!="","",VLOOKUP(#REF!,ФиКод[],9,0))</f>
        <v>#REF!</v>
      </c>
      <c r="F636" s="1" t="e">
        <f aca="false">IF(#REF!="","",VLOOKUP(#REF!,ФиКод[],10,0))</f>
        <v>#REF!</v>
      </c>
    </row>
    <row r="637" customFormat="false" ht="12.75" hidden="false" customHeight="false" outlineLevel="0" collapsed="false">
      <c r="A637" s="1" t="e">
        <f aca="false">IF(#REF!="","",VLOOKUP(#REF!,ФиКод[],8,0))</f>
        <v>#REF!</v>
      </c>
      <c r="E637" s="1" t="e">
        <f aca="false">IF(#REF!="","",VLOOKUP(#REF!,ФиКод[],9,0))</f>
        <v>#REF!</v>
      </c>
      <c r="F637" s="1" t="e">
        <f aca="false">IF(#REF!="","",VLOOKUP(#REF!,ФиКод[],10,0))</f>
        <v>#REF!</v>
      </c>
    </row>
    <row r="638" customFormat="false" ht="12.75" hidden="false" customHeight="false" outlineLevel="0" collapsed="false">
      <c r="A638" s="1" t="e">
        <f aca="false">IF(#REF!="","",VLOOKUP(#REF!,ФиКод[],8,0))</f>
        <v>#REF!</v>
      </c>
      <c r="E638" s="1" t="e">
        <f aca="false">IF(#REF!="","",VLOOKUP(#REF!,ФиКод[],9,0))</f>
        <v>#REF!</v>
      </c>
      <c r="F638" s="1" t="e">
        <f aca="false">IF(#REF!="","",VLOOKUP(#REF!,ФиКод[],10,0))</f>
        <v>#REF!</v>
      </c>
    </row>
    <row r="639" customFormat="false" ht="12.75" hidden="false" customHeight="false" outlineLevel="0" collapsed="false">
      <c r="A639" s="1" t="e">
        <f aca="false">IF(#REF!="","",VLOOKUP(#REF!,ФиКод[],8,0))</f>
        <v>#REF!</v>
      </c>
      <c r="E639" s="1" t="e">
        <f aca="false">IF(#REF!="","",VLOOKUP(#REF!,ФиКод[],9,0))</f>
        <v>#REF!</v>
      </c>
      <c r="F639" s="1" t="e">
        <f aca="false">IF(#REF!="","",VLOOKUP(#REF!,ФиКод[],10,0))</f>
        <v>#REF!</v>
      </c>
    </row>
    <row r="640" customFormat="false" ht="12.75" hidden="false" customHeight="false" outlineLevel="0" collapsed="false">
      <c r="A640" s="1" t="e">
        <f aca="false">IF(#REF!="","",VLOOKUP(#REF!,ФиКод[],8,0))</f>
        <v>#REF!</v>
      </c>
      <c r="E640" s="1" t="e">
        <f aca="false">IF(#REF!="","",VLOOKUP(#REF!,ФиКод[],9,0))</f>
        <v>#REF!</v>
      </c>
      <c r="F640" s="1" t="e">
        <f aca="false">IF(#REF!="","",VLOOKUP(#REF!,ФиКод[],10,0))</f>
        <v>#REF!</v>
      </c>
    </row>
    <row r="641" customFormat="false" ht="12.75" hidden="false" customHeight="false" outlineLevel="0" collapsed="false">
      <c r="A641" s="1" t="e">
        <f aca="false">IF(#REF!="","",VLOOKUP(#REF!,ФиКод[],8,0))</f>
        <v>#REF!</v>
      </c>
      <c r="E641" s="1" t="e">
        <f aca="false">IF(#REF!="","",VLOOKUP(#REF!,ФиКод[],9,0))</f>
        <v>#REF!</v>
      </c>
      <c r="F641" s="1" t="e">
        <f aca="false">IF(#REF!="","",VLOOKUP(#REF!,ФиКод[],10,0))</f>
        <v>#REF!</v>
      </c>
    </row>
    <row r="642" customFormat="false" ht="12.75" hidden="false" customHeight="false" outlineLevel="0" collapsed="false">
      <c r="A642" s="1" t="e">
        <f aca="false">IF(#REF!="","",VLOOKUP(#REF!,ФиКод[],8,0))</f>
        <v>#REF!</v>
      </c>
      <c r="E642" s="1" t="e">
        <f aca="false">IF(#REF!="","",VLOOKUP(#REF!,ФиКод[],9,0))</f>
        <v>#REF!</v>
      </c>
      <c r="F642" s="1" t="e">
        <f aca="false">IF(#REF!="","",VLOOKUP(#REF!,ФиКод[],10,0))</f>
        <v>#REF!</v>
      </c>
    </row>
    <row r="643" customFormat="false" ht="12.75" hidden="false" customHeight="false" outlineLevel="0" collapsed="false">
      <c r="A643" s="1" t="e">
        <f aca="false">IF(#REF!="","",VLOOKUP(#REF!,ФиКод[],8,0))</f>
        <v>#REF!</v>
      </c>
      <c r="E643" s="1" t="e">
        <f aca="false">IF(#REF!="","",VLOOKUP(#REF!,ФиКод[],9,0))</f>
        <v>#REF!</v>
      </c>
      <c r="F643" s="1" t="e">
        <f aca="false">IF(#REF!="","",VLOOKUP(#REF!,ФиКод[],10,0))</f>
        <v>#REF!</v>
      </c>
    </row>
    <row r="644" customFormat="false" ht="12.75" hidden="false" customHeight="false" outlineLevel="0" collapsed="false">
      <c r="A644" s="1" t="e">
        <f aca="false">IF(#REF!="","",VLOOKUP(#REF!,ФиКод[],8,0))</f>
        <v>#REF!</v>
      </c>
      <c r="E644" s="1" t="e">
        <f aca="false">IF(#REF!="","",VLOOKUP(#REF!,ФиКод[],9,0))</f>
        <v>#REF!</v>
      </c>
      <c r="F644" s="1" t="e">
        <f aca="false">IF(#REF!="","",VLOOKUP(#REF!,ФиКод[],10,0))</f>
        <v>#REF!</v>
      </c>
    </row>
    <row r="645" customFormat="false" ht="12.75" hidden="false" customHeight="false" outlineLevel="0" collapsed="false">
      <c r="A645" s="1" t="e">
        <f aca="false">IF(#REF!="","",VLOOKUP(#REF!,ФиКод[],8,0))</f>
        <v>#REF!</v>
      </c>
      <c r="E645" s="1" t="e">
        <f aca="false">IF(#REF!="","",VLOOKUP(#REF!,ФиКод[],9,0))</f>
        <v>#REF!</v>
      </c>
      <c r="F645" s="1" t="e">
        <f aca="false">IF(#REF!="","",VLOOKUP(#REF!,ФиКод[],10,0))</f>
        <v>#REF!</v>
      </c>
    </row>
    <row r="646" customFormat="false" ht="12.75" hidden="false" customHeight="false" outlineLevel="0" collapsed="false">
      <c r="A646" s="1" t="e">
        <f aca="false">IF(#REF!="","",VLOOKUP(#REF!,ФиКод[],8,0))</f>
        <v>#REF!</v>
      </c>
      <c r="E646" s="1" t="e">
        <f aca="false">IF(#REF!="","",VLOOKUP(#REF!,ФиКод[],9,0))</f>
        <v>#REF!</v>
      </c>
      <c r="F646" s="1" t="e">
        <f aca="false">IF(#REF!="","",VLOOKUP(#REF!,ФиКод[],10,0))</f>
        <v>#REF!</v>
      </c>
    </row>
    <row r="647" customFormat="false" ht="12.75" hidden="false" customHeight="false" outlineLevel="0" collapsed="false">
      <c r="A647" s="1" t="e">
        <f aca="false">IF(#REF!="","",VLOOKUP(#REF!,ФиКод[],8,0))</f>
        <v>#REF!</v>
      </c>
      <c r="E647" s="1" t="e">
        <f aca="false">IF(#REF!="","",VLOOKUP(#REF!,ФиКод[],9,0))</f>
        <v>#REF!</v>
      </c>
      <c r="F647" s="1" t="e">
        <f aca="false">IF(#REF!="","",VLOOKUP(#REF!,ФиКод[],10,0))</f>
        <v>#REF!</v>
      </c>
    </row>
    <row r="648" customFormat="false" ht="12.75" hidden="false" customHeight="false" outlineLevel="0" collapsed="false">
      <c r="A648" s="1" t="e">
        <f aca="false">IF(#REF!="","",VLOOKUP(#REF!,ФиКод[],8,0))</f>
        <v>#REF!</v>
      </c>
      <c r="E648" s="1" t="e">
        <f aca="false">IF(#REF!="","",VLOOKUP(#REF!,ФиКод[],9,0))</f>
        <v>#REF!</v>
      </c>
      <c r="F648" s="1" t="e">
        <f aca="false">IF(#REF!="","",VLOOKUP(#REF!,ФиКод[],10,0))</f>
        <v>#REF!</v>
      </c>
    </row>
    <row r="649" customFormat="false" ht="12.75" hidden="false" customHeight="false" outlineLevel="0" collapsed="false">
      <c r="A649" s="1" t="e">
        <f aca="false">IF(#REF!="","",VLOOKUP(#REF!,ФиКод[],8,0))</f>
        <v>#REF!</v>
      </c>
      <c r="E649" s="1" t="e">
        <f aca="false">IF(#REF!="","",VLOOKUP(#REF!,ФиКод[],9,0))</f>
        <v>#REF!</v>
      </c>
      <c r="F649" s="1" t="e">
        <f aca="false">IF(#REF!="","",VLOOKUP(#REF!,ФиКод[],10,0))</f>
        <v>#REF!</v>
      </c>
    </row>
    <row r="650" customFormat="false" ht="12.75" hidden="false" customHeight="false" outlineLevel="0" collapsed="false">
      <c r="A650" s="1" t="e">
        <f aca="false">IF(#REF!="","",VLOOKUP(#REF!,ФиКод[],8,0))</f>
        <v>#REF!</v>
      </c>
      <c r="E650" s="1" t="e">
        <f aca="false">IF(#REF!="","",VLOOKUP(#REF!,ФиКод[],9,0))</f>
        <v>#REF!</v>
      </c>
      <c r="F650" s="1" t="e">
        <f aca="false">IF(#REF!="","",VLOOKUP(#REF!,ФиКод[],10,0))</f>
        <v>#REF!</v>
      </c>
    </row>
    <row r="651" customFormat="false" ht="12.75" hidden="false" customHeight="false" outlineLevel="0" collapsed="false">
      <c r="A651" s="1" t="e">
        <f aca="false">IF(#REF!="","",VLOOKUP(#REF!,ФиКод[],8,0))</f>
        <v>#REF!</v>
      </c>
      <c r="E651" s="1" t="e">
        <f aca="false">IF(#REF!="","",VLOOKUP(#REF!,ФиКод[],9,0))</f>
        <v>#REF!</v>
      </c>
      <c r="F651" s="1" t="e">
        <f aca="false">IF(#REF!="","",VLOOKUP(#REF!,ФиКод[],10,0))</f>
        <v>#REF!</v>
      </c>
    </row>
    <row r="652" customFormat="false" ht="12.75" hidden="false" customHeight="false" outlineLevel="0" collapsed="false">
      <c r="A652" s="1" t="e">
        <f aca="false">IF(#REF!="","",VLOOKUP(#REF!,ФиКод[],8,0))</f>
        <v>#REF!</v>
      </c>
      <c r="E652" s="1" t="e">
        <f aca="false">IF(#REF!="","",VLOOKUP(#REF!,ФиКод[],9,0))</f>
        <v>#REF!</v>
      </c>
      <c r="F652" s="1" t="e">
        <f aca="false">IF(#REF!="","",VLOOKUP(#REF!,ФиКод[],10,0))</f>
        <v>#REF!</v>
      </c>
    </row>
    <row r="653" customFormat="false" ht="12.75" hidden="false" customHeight="false" outlineLevel="0" collapsed="false">
      <c r="A653" s="1" t="e">
        <f aca="false">IF(#REF!="","",VLOOKUP(#REF!,ФиКод[],8,0))</f>
        <v>#REF!</v>
      </c>
      <c r="E653" s="1" t="e">
        <f aca="false">IF(#REF!="","",VLOOKUP(#REF!,ФиКод[],9,0))</f>
        <v>#REF!</v>
      </c>
      <c r="F653" s="1" t="e">
        <f aca="false">IF(#REF!="","",VLOOKUP(#REF!,ФиКод[],10,0))</f>
        <v>#REF!</v>
      </c>
    </row>
    <row r="654" customFormat="false" ht="12.75" hidden="false" customHeight="false" outlineLevel="0" collapsed="false">
      <c r="A654" s="1" t="e">
        <f aca="false">IF(#REF!="","",VLOOKUP(#REF!,ФиКод[],8,0))</f>
        <v>#REF!</v>
      </c>
      <c r="E654" s="1" t="e">
        <f aca="false">IF(#REF!="","",VLOOKUP(#REF!,ФиКод[],9,0))</f>
        <v>#REF!</v>
      </c>
      <c r="F654" s="1" t="e">
        <f aca="false">IF(#REF!="","",VLOOKUP(#REF!,ФиКод[],10,0))</f>
        <v>#REF!</v>
      </c>
    </row>
    <row r="655" customFormat="false" ht="12.75" hidden="false" customHeight="false" outlineLevel="0" collapsed="false">
      <c r="A655" s="1" t="e">
        <f aca="false">IF(#REF!="","",VLOOKUP(#REF!,ФиКод[],8,0))</f>
        <v>#REF!</v>
      </c>
      <c r="E655" s="1" t="e">
        <f aca="false">IF(#REF!="","",VLOOKUP(#REF!,ФиКод[],9,0))</f>
        <v>#REF!</v>
      </c>
      <c r="F655" s="1" t="e">
        <f aca="false">IF(#REF!="","",VLOOKUP(#REF!,ФиКод[],10,0))</f>
        <v>#REF!</v>
      </c>
    </row>
    <row r="656" customFormat="false" ht="12.75" hidden="false" customHeight="false" outlineLevel="0" collapsed="false">
      <c r="A656" s="1" t="e">
        <f aca="false">IF(#REF!="","",VLOOKUP(#REF!,ФиКод[],8,0))</f>
        <v>#REF!</v>
      </c>
      <c r="E656" s="1" t="e">
        <f aca="false">IF(#REF!="","",VLOOKUP(#REF!,ФиКод[],9,0))</f>
        <v>#REF!</v>
      </c>
      <c r="F656" s="1" t="e">
        <f aca="false">IF(#REF!="","",VLOOKUP(#REF!,ФиКод[],10,0))</f>
        <v>#REF!</v>
      </c>
    </row>
    <row r="657" customFormat="false" ht="12.75" hidden="false" customHeight="false" outlineLevel="0" collapsed="false">
      <c r="A657" s="1" t="e">
        <f aca="false">IF(#REF!="","",VLOOKUP(#REF!,ФиКод[],8,0))</f>
        <v>#REF!</v>
      </c>
      <c r="E657" s="1" t="e">
        <f aca="false">IF(#REF!="","",VLOOKUP(#REF!,ФиКод[],9,0))</f>
        <v>#REF!</v>
      </c>
      <c r="F657" s="1" t="e">
        <f aca="false">IF(#REF!="","",VLOOKUP(#REF!,ФиКод[],10,0))</f>
        <v>#REF!</v>
      </c>
    </row>
    <row r="658" customFormat="false" ht="12.75" hidden="false" customHeight="false" outlineLevel="0" collapsed="false">
      <c r="A658" s="1" t="e">
        <f aca="false">IF(#REF!="","",VLOOKUP(#REF!,ФиКод[],8,0))</f>
        <v>#REF!</v>
      </c>
      <c r="E658" s="1" t="e">
        <f aca="false">IF(#REF!="","",VLOOKUP(#REF!,ФиКод[],9,0))</f>
        <v>#REF!</v>
      </c>
      <c r="F658" s="1" t="e">
        <f aca="false">IF(#REF!="","",VLOOKUP(#REF!,ФиКод[],10,0))</f>
        <v>#REF!</v>
      </c>
    </row>
    <row r="659" customFormat="false" ht="12.75" hidden="false" customHeight="false" outlineLevel="0" collapsed="false">
      <c r="A659" s="1" t="e">
        <f aca="false">IF(#REF!="","",VLOOKUP(#REF!,ФиКод[],8,0))</f>
        <v>#REF!</v>
      </c>
      <c r="E659" s="1" t="e">
        <f aca="false">IF(#REF!="","",VLOOKUP(#REF!,ФиКод[],9,0))</f>
        <v>#REF!</v>
      </c>
      <c r="F659" s="1" t="e">
        <f aca="false">IF(#REF!="","",VLOOKUP(#REF!,ФиКод[],10,0))</f>
        <v>#REF!</v>
      </c>
    </row>
    <row r="660" customFormat="false" ht="12.75" hidden="false" customHeight="false" outlineLevel="0" collapsed="false">
      <c r="A660" s="1" t="e">
        <f aca="false">IF(#REF!="","",VLOOKUP(#REF!,ФиКод[],8,0))</f>
        <v>#REF!</v>
      </c>
      <c r="E660" s="1" t="e">
        <f aca="false">IF(#REF!="","",VLOOKUP(#REF!,ФиКод[],9,0))</f>
        <v>#REF!</v>
      </c>
      <c r="F660" s="1" t="e">
        <f aca="false">IF(#REF!="","",VLOOKUP(#REF!,ФиКод[],10,0))</f>
        <v>#REF!</v>
      </c>
    </row>
    <row r="661" customFormat="false" ht="12.75" hidden="false" customHeight="false" outlineLevel="0" collapsed="false">
      <c r="A661" s="1" t="e">
        <f aca="false">IF(#REF!="","",VLOOKUP(#REF!,ФиКод[],8,0))</f>
        <v>#REF!</v>
      </c>
      <c r="E661" s="1" t="e">
        <f aca="false">IF(#REF!="","",VLOOKUP(#REF!,ФиКод[],9,0))</f>
        <v>#REF!</v>
      </c>
      <c r="F661" s="1" t="e">
        <f aca="false">IF(#REF!="","",VLOOKUP(#REF!,ФиКод[],10,0))</f>
        <v>#REF!</v>
      </c>
    </row>
    <row r="662" customFormat="false" ht="12.75" hidden="false" customHeight="false" outlineLevel="0" collapsed="false">
      <c r="A662" s="1" t="e">
        <f aca="false">IF(#REF!="","",VLOOKUP(#REF!,ФиКод[],8,0))</f>
        <v>#REF!</v>
      </c>
      <c r="E662" s="1" t="e">
        <f aca="false">IF(#REF!="","",VLOOKUP(#REF!,ФиКод[],9,0))</f>
        <v>#REF!</v>
      </c>
      <c r="F662" s="1" t="e">
        <f aca="false">IF(#REF!="","",VLOOKUP(#REF!,ФиКод[],10,0))</f>
        <v>#REF!</v>
      </c>
    </row>
    <row r="663" customFormat="false" ht="12.75" hidden="false" customHeight="false" outlineLevel="0" collapsed="false">
      <c r="A663" s="1" t="e">
        <f aca="false">IF(#REF!="","",VLOOKUP(#REF!,ФиКод[],8,0))</f>
        <v>#REF!</v>
      </c>
      <c r="E663" s="1" t="e">
        <f aca="false">IF(#REF!="","",VLOOKUP(#REF!,ФиКод[],9,0))</f>
        <v>#REF!</v>
      </c>
      <c r="F663" s="1" t="e">
        <f aca="false">IF(#REF!="","",VLOOKUP(#REF!,ФиКод[],10,0))</f>
        <v>#REF!</v>
      </c>
    </row>
    <row r="664" customFormat="false" ht="12.75" hidden="false" customHeight="false" outlineLevel="0" collapsed="false">
      <c r="A664" s="1" t="e">
        <f aca="false">IF(#REF!="","",VLOOKUP(#REF!,ФиКод[],8,0))</f>
        <v>#REF!</v>
      </c>
      <c r="E664" s="1" t="e">
        <f aca="false">IF(#REF!="","",VLOOKUP(#REF!,ФиКод[],9,0))</f>
        <v>#REF!</v>
      </c>
      <c r="F664" s="1" t="e">
        <f aca="false">IF(#REF!="","",VLOOKUP(#REF!,ФиКод[],10,0))</f>
        <v>#REF!</v>
      </c>
    </row>
    <row r="665" customFormat="false" ht="12.75" hidden="false" customHeight="false" outlineLevel="0" collapsed="false">
      <c r="A665" s="1" t="e">
        <f aca="false">IF(#REF!="","",VLOOKUP(#REF!,ФиКод[],8,0))</f>
        <v>#REF!</v>
      </c>
      <c r="E665" s="1" t="e">
        <f aca="false">IF(#REF!="","",VLOOKUP(#REF!,ФиКод[],9,0))</f>
        <v>#REF!</v>
      </c>
      <c r="F665" s="1" t="e">
        <f aca="false">IF(#REF!="","",VLOOKUP(#REF!,ФиКод[],10,0))</f>
        <v>#REF!</v>
      </c>
    </row>
    <row r="666" customFormat="false" ht="12.75" hidden="false" customHeight="false" outlineLevel="0" collapsed="false">
      <c r="A666" s="1" t="e">
        <f aca="false">IF(#REF!="","",VLOOKUP(#REF!,ФиКод[],8,0))</f>
        <v>#REF!</v>
      </c>
      <c r="E666" s="1" t="e">
        <f aca="false">IF(#REF!="","",VLOOKUP(#REF!,ФиКод[],9,0))</f>
        <v>#REF!</v>
      </c>
      <c r="F666" s="1" t="e">
        <f aca="false">IF(#REF!="","",VLOOKUP(#REF!,ФиКод[],10,0))</f>
        <v>#REF!</v>
      </c>
    </row>
    <row r="667" customFormat="false" ht="12.75" hidden="false" customHeight="false" outlineLevel="0" collapsed="false">
      <c r="A667" s="1" t="e">
        <f aca="false">IF(#REF!="","",VLOOKUP(#REF!,ФиКод[],8,0))</f>
        <v>#REF!</v>
      </c>
      <c r="E667" s="1" t="e">
        <f aca="false">IF(#REF!="","",VLOOKUP(#REF!,ФиКод[],9,0))</f>
        <v>#REF!</v>
      </c>
      <c r="F667" s="1" t="e">
        <f aca="false">IF(#REF!="","",VLOOKUP(#REF!,ФиКод[],10,0))</f>
        <v>#REF!</v>
      </c>
    </row>
    <row r="668" customFormat="false" ht="12.75" hidden="false" customHeight="false" outlineLevel="0" collapsed="false">
      <c r="A668" s="1" t="e">
        <f aca="false">IF(#REF!="","",VLOOKUP(#REF!,ФиКод[],8,0))</f>
        <v>#REF!</v>
      </c>
      <c r="E668" s="1" t="e">
        <f aca="false">IF(#REF!="","",VLOOKUP(#REF!,ФиКод[],9,0))</f>
        <v>#REF!</v>
      </c>
      <c r="F668" s="1" t="e">
        <f aca="false">IF(#REF!="","",VLOOKUP(#REF!,ФиКод[],10,0))</f>
        <v>#REF!</v>
      </c>
    </row>
    <row r="669" customFormat="false" ht="12.75" hidden="false" customHeight="false" outlineLevel="0" collapsed="false">
      <c r="A669" s="1" t="e">
        <f aca="false">IF(#REF!="","",VLOOKUP(#REF!,ФиКод[],8,0))</f>
        <v>#REF!</v>
      </c>
      <c r="E669" s="1" t="e">
        <f aca="false">IF(#REF!="","",VLOOKUP(#REF!,ФиКод[],9,0))</f>
        <v>#REF!</v>
      </c>
      <c r="F669" s="1" t="e">
        <f aca="false">IF(#REF!="","",VLOOKUP(#REF!,ФиКод[],10,0))</f>
        <v>#REF!</v>
      </c>
    </row>
    <row r="670" customFormat="false" ht="12.75" hidden="false" customHeight="false" outlineLevel="0" collapsed="false">
      <c r="A670" s="1" t="e">
        <f aca="false">IF(#REF!="","",VLOOKUP(#REF!,ФиКод[],8,0))</f>
        <v>#REF!</v>
      </c>
      <c r="E670" s="1" t="e">
        <f aca="false">IF(#REF!="","",VLOOKUP(#REF!,ФиКод[],9,0))</f>
        <v>#REF!</v>
      </c>
      <c r="F670" s="1" t="e">
        <f aca="false">IF(#REF!="","",VLOOKUP(#REF!,ФиКод[],10,0))</f>
        <v>#REF!</v>
      </c>
    </row>
    <row r="671" customFormat="false" ht="12.75" hidden="false" customHeight="false" outlineLevel="0" collapsed="false">
      <c r="A671" s="1" t="e">
        <f aca="false">IF(#REF!="","",VLOOKUP(#REF!,ФиКод[],8,0))</f>
        <v>#REF!</v>
      </c>
      <c r="E671" s="1" t="e">
        <f aca="false">IF(#REF!="","",VLOOKUP(#REF!,ФиКод[],9,0))</f>
        <v>#REF!</v>
      </c>
      <c r="F671" s="1" t="e">
        <f aca="false">IF(#REF!="","",VLOOKUP(#REF!,ФиКод[],10,0))</f>
        <v>#REF!</v>
      </c>
    </row>
    <row r="672" customFormat="false" ht="12.75" hidden="false" customHeight="false" outlineLevel="0" collapsed="false">
      <c r="A672" s="1" t="e">
        <f aca="false">IF(#REF!="","",VLOOKUP(#REF!,ФиКод[],8,0))</f>
        <v>#REF!</v>
      </c>
      <c r="E672" s="1" t="e">
        <f aca="false">IF(#REF!="","",VLOOKUP(#REF!,ФиКод[],9,0))</f>
        <v>#REF!</v>
      </c>
      <c r="F672" s="1" t="e">
        <f aca="false">IF(#REF!="","",VLOOKUP(#REF!,ФиКод[],10,0))</f>
        <v>#REF!</v>
      </c>
    </row>
    <row r="673" customFormat="false" ht="12.75" hidden="false" customHeight="false" outlineLevel="0" collapsed="false">
      <c r="A673" s="1" t="e">
        <f aca="false">IF(#REF!="","",VLOOKUP(#REF!,ФиКод[],8,0))</f>
        <v>#REF!</v>
      </c>
      <c r="E673" s="1" t="e">
        <f aca="false">IF(#REF!="","",VLOOKUP(#REF!,ФиКод[],9,0))</f>
        <v>#REF!</v>
      </c>
      <c r="F673" s="1" t="e">
        <f aca="false">IF(#REF!="","",VLOOKUP(#REF!,ФиКод[],10,0))</f>
        <v>#REF!</v>
      </c>
    </row>
    <row r="674" customFormat="false" ht="12.75" hidden="false" customHeight="false" outlineLevel="0" collapsed="false">
      <c r="A674" s="1" t="e">
        <f aca="false">IF(#REF!="","",VLOOKUP(#REF!,ФиКод[],8,0))</f>
        <v>#REF!</v>
      </c>
      <c r="E674" s="1" t="e">
        <f aca="false">IF(#REF!="","",VLOOKUP(#REF!,ФиКод[],9,0))</f>
        <v>#REF!</v>
      </c>
      <c r="F674" s="1" t="e">
        <f aca="false">IF(#REF!="","",VLOOKUP(#REF!,ФиКод[],10,0))</f>
        <v>#REF!</v>
      </c>
    </row>
    <row r="675" customFormat="false" ht="12.75" hidden="false" customHeight="false" outlineLevel="0" collapsed="false">
      <c r="A675" s="1" t="e">
        <f aca="false">IF(#REF!="","",VLOOKUP(#REF!,ФиКод[],8,0))</f>
        <v>#REF!</v>
      </c>
      <c r="E675" s="1" t="e">
        <f aca="false">IF(#REF!="","",VLOOKUP(#REF!,ФиКод[],9,0))</f>
        <v>#REF!</v>
      </c>
      <c r="F675" s="1" t="e">
        <f aca="false">IF(#REF!="","",VLOOKUP(#REF!,ФиКод[],10,0))</f>
        <v>#REF!</v>
      </c>
    </row>
    <row r="676" customFormat="false" ht="12.75" hidden="false" customHeight="false" outlineLevel="0" collapsed="false">
      <c r="A676" s="1" t="e">
        <f aca="false">IF(#REF!="","",VLOOKUP(#REF!,ФиКод[],8,0))</f>
        <v>#REF!</v>
      </c>
      <c r="E676" s="1" t="e">
        <f aca="false">IF(#REF!="","",VLOOKUP(#REF!,ФиКод[],9,0))</f>
        <v>#REF!</v>
      </c>
      <c r="F676" s="1" t="e">
        <f aca="false">IF(#REF!="","",VLOOKUP(#REF!,ФиКод[],10,0))</f>
        <v>#REF!</v>
      </c>
    </row>
    <row r="677" customFormat="false" ht="12.75" hidden="false" customHeight="false" outlineLevel="0" collapsed="false">
      <c r="A677" s="1" t="e">
        <f aca="false">IF(#REF!="","",VLOOKUP(#REF!,ФиКод[],8,0))</f>
        <v>#REF!</v>
      </c>
      <c r="E677" s="1" t="e">
        <f aca="false">IF(#REF!="","",VLOOKUP(#REF!,ФиКод[],9,0))</f>
        <v>#REF!</v>
      </c>
      <c r="F677" s="1" t="e">
        <f aca="false">IF(#REF!="","",VLOOKUP(#REF!,ФиКод[],10,0))</f>
        <v>#REF!</v>
      </c>
    </row>
    <row r="678" customFormat="false" ht="12.75" hidden="false" customHeight="false" outlineLevel="0" collapsed="false">
      <c r="A678" s="1" t="e">
        <f aca="false">IF(#REF!="","",VLOOKUP(#REF!,ФиКод[],8,0))</f>
        <v>#REF!</v>
      </c>
      <c r="E678" s="1" t="e">
        <f aca="false">IF(#REF!="","",VLOOKUP(#REF!,ФиКод[],9,0))</f>
        <v>#REF!</v>
      </c>
      <c r="F678" s="1" t="e">
        <f aca="false">IF(#REF!="","",VLOOKUP(#REF!,ФиКод[],10,0))</f>
        <v>#REF!</v>
      </c>
    </row>
    <row r="679" customFormat="false" ht="12.75" hidden="false" customHeight="false" outlineLevel="0" collapsed="false">
      <c r="A679" s="1" t="e">
        <f aca="false">IF(#REF!="","",VLOOKUP(#REF!,ФиКод[],8,0))</f>
        <v>#REF!</v>
      </c>
      <c r="E679" s="1" t="e">
        <f aca="false">IF(#REF!="","",VLOOKUP(#REF!,ФиКод[],9,0))</f>
        <v>#REF!</v>
      </c>
      <c r="F679" s="1" t="e">
        <f aca="false">IF(#REF!="","",VLOOKUP(#REF!,ФиКод[],10,0))</f>
        <v>#REF!</v>
      </c>
    </row>
    <row r="680" customFormat="false" ht="12.75" hidden="false" customHeight="false" outlineLevel="0" collapsed="false">
      <c r="A680" s="1" t="e">
        <f aca="false">IF(#REF!="","",VLOOKUP(#REF!,ФиКод[],8,0))</f>
        <v>#REF!</v>
      </c>
      <c r="E680" s="1" t="e">
        <f aca="false">IF(#REF!="","",VLOOKUP(#REF!,ФиКод[],9,0))</f>
        <v>#REF!</v>
      </c>
      <c r="F680" s="1" t="e">
        <f aca="false">IF(#REF!="","",VLOOKUP(#REF!,ФиКод[],10,0))</f>
        <v>#REF!</v>
      </c>
    </row>
    <row r="681" customFormat="false" ht="12.75" hidden="false" customHeight="false" outlineLevel="0" collapsed="false">
      <c r="A681" s="1" t="e">
        <f aca="false">IF(#REF!="","",VLOOKUP(#REF!,ФиКод[],8,0))</f>
        <v>#REF!</v>
      </c>
      <c r="E681" s="1" t="e">
        <f aca="false">IF(#REF!="","",VLOOKUP(#REF!,ФиКод[],9,0))</f>
        <v>#REF!</v>
      </c>
      <c r="F681" s="1" t="e">
        <f aca="false">IF(#REF!="","",VLOOKUP(#REF!,ФиКод[],10,0))</f>
        <v>#REF!</v>
      </c>
    </row>
    <row r="682" customFormat="false" ht="12.75" hidden="false" customHeight="false" outlineLevel="0" collapsed="false">
      <c r="A682" s="1" t="e">
        <f aca="false">IF(#REF!="","",VLOOKUP(#REF!,ФиКод[],8,0))</f>
        <v>#REF!</v>
      </c>
      <c r="E682" s="1" t="e">
        <f aca="false">IF(#REF!="","",VLOOKUP(#REF!,ФиКод[],9,0))</f>
        <v>#REF!</v>
      </c>
      <c r="F682" s="1" t="e">
        <f aca="false">IF(#REF!="","",VLOOKUP(#REF!,ФиКод[],10,0))</f>
        <v>#REF!</v>
      </c>
    </row>
    <row r="683" customFormat="false" ht="12.75" hidden="false" customHeight="false" outlineLevel="0" collapsed="false">
      <c r="A683" s="1" t="e">
        <f aca="false">IF(#REF!="","",VLOOKUP(#REF!,ФиКод[],8,0))</f>
        <v>#REF!</v>
      </c>
      <c r="E683" s="1" t="e">
        <f aca="false">IF(#REF!="","",VLOOKUP(#REF!,ФиКод[],9,0))</f>
        <v>#REF!</v>
      </c>
      <c r="F683" s="1" t="e">
        <f aca="false">IF(#REF!="","",VLOOKUP(#REF!,ФиКод[],10,0))</f>
        <v>#REF!</v>
      </c>
    </row>
    <row r="684" customFormat="false" ht="12.75" hidden="false" customHeight="false" outlineLevel="0" collapsed="false">
      <c r="A684" s="1" t="e">
        <f aca="false">IF(#REF!="","",VLOOKUP(#REF!,ФиКод[],8,0))</f>
        <v>#REF!</v>
      </c>
      <c r="E684" s="1" t="e">
        <f aca="false">IF(#REF!="","",VLOOKUP(#REF!,ФиКод[],9,0))</f>
        <v>#REF!</v>
      </c>
      <c r="F684" s="1" t="e">
        <f aca="false">IF(#REF!="","",VLOOKUP(#REF!,ФиКод[],10,0))</f>
        <v>#REF!</v>
      </c>
    </row>
    <row r="685" customFormat="false" ht="12.75" hidden="false" customHeight="false" outlineLevel="0" collapsed="false">
      <c r="A685" s="1" t="e">
        <f aca="false">IF(#REF!="","",VLOOKUP(#REF!,ФиКод[],8,0))</f>
        <v>#REF!</v>
      </c>
      <c r="E685" s="1" t="e">
        <f aca="false">IF(#REF!="","",VLOOKUP(#REF!,ФиКод[],9,0))</f>
        <v>#REF!</v>
      </c>
      <c r="F685" s="1" t="e">
        <f aca="false">IF(#REF!="","",VLOOKUP(#REF!,ФиКод[],10,0))</f>
        <v>#REF!</v>
      </c>
    </row>
    <row r="686" customFormat="false" ht="12.75" hidden="false" customHeight="false" outlineLevel="0" collapsed="false">
      <c r="A686" s="1" t="e">
        <f aca="false">IF(#REF!="","",VLOOKUP(#REF!,ФиКод[],8,0))</f>
        <v>#REF!</v>
      </c>
      <c r="E686" s="1" t="e">
        <f aca="false">IF(#REF!="","",VLOOKUP(#REF!,ФиКод[],9,0))</f>
        <v>#REF!</v>
      </c>
      <c r="F686" s="1" t="e">
        <f aca="false">IF(#REF!="","",VLOOKUP(#REF!,ФиКод[],10,0))</f>
        <v>#REF!</v>
      </c>
    </row>
    <row r="687" customFormat="false" ht="12.75" hidden="false" customHeight="false" outlineLevel="0" collapsed="false">
      <c r="A687" s="1" t="e">
        <f aca="false">IF(#REF!="","",VLOOKUP(#REF!,ФиКод[],8,0))</f>
        <v>#REF!</v>
      </c>
      <c r="E687" s="1" t="e">
        <f aca="false">IF(#REF!="","",VLOOKUP(#REF!,ФиКод[],9,0))</f>
        <v>#REF!</v>
      </c>
      <c r="F687" s="1" t="e">
        <f aca="false">IF(#REF!="","",VLOOKUP(#REF!,ФиКод[],10,0))</f>
        <v>#REF!</v>
      </c>
    </row>
    <row r="688" customFormat="false" ht="12.75" hidden="false" customHeight="false" outlineLevel="0" collapsed="false">
      <c r="A688" s="1" t="e">
        <f aca="false">IF(#REF!="","",VLOOKUP(#REF!,ФиКод[],8,0))</f>
        <v>#REF!</v>
      </c>
      <c r="E688" s="1" t="e">
        <f aca="false">IF(#REF!="","",VLOOKUP(#REF!,ФиКод[],9,0))</f>
        <v>#REF!</v>
      </c>
      <c r="F688" s="1" t="e">
        <f aca="false">IF(#REF!="","",VLOOKUP(#REF!,ФиКод[],10,0))</f>
        <v>#REF!</v>
      </c>
    </row>
    <row r="689" customFormat="false" ht="12.75" hidden="false" customHeight="false" outlineLevel="0" collapsed="false">
      <c r="A689" s="1" t="e">
        <f aca="false">IF(#REF!="","",VLOOKUP(#REF!,ФиКод[],8,0))</f>
        <v>#REF!</v>
      </c>
      <c r="E689" s="1" t="e">
        <f aca="false">IF(#REF!="","",VLOOKUP(#REF!,ФиКод[],9,0))</f>
        <v>#REF!</v>
      </c>
      <c r="F689" s="1" t="e">
        <f aca="false">IF(#REF!="","",VLOOKUP(#REF!,ФиКод[],10,0))</f>
        <v>#REF!</v>
      </c>
    </row>
    <row r="690" customFormat="false" ht="12.75" hidden="false" customHeight="false" outlineLevel="0" collapsed="false">
      <c r="A690" s="1" t="e">
        <f aca="false">IF(#REF!="","",VLOOKUP(#REF!,ФиКод[],8,0))</f>
        <v>#REF!</v>
      </c>
      <c r="E690" s="1" t="e">
        <f aca="false">IF(#REF!="","",VLOOKUP(#REF!,ФиКод[],9,0))</f>
        <v>#REF!</v>
      </c>
      <c r="F690" s="1" t="e">
        <f aca="false">IF(#REF!="","",VLOOKUP(#REF!,ФиКод[],10,0))</f>
        <v>#REF!</v>
      </c>
    </row>
    <row r="691" customFormat="false" ht="12.75" hidden="false" customHeight="false" outlineLevel="0" collapsed="false">
      <c r="A691" s="1" t="e">
        <f aca="false">IF(#REF!="","",VLOOKUP(#REF!,ФиКод[],8,0))</f>
        <v>#REF!</v>
      </c>
      <c r="E691" s="1" t="e">
        <f aca="false">IF(#REF!="","",VLOOKUP(#REF!,ФиКод[],9,0))</f>
        <v>#REF!</v>
      </c>
      <c r="F691" s="1" t="e">
        <f aca="false">IF(#REF!="","",VLOOKUP(#REF!,ФиКод[],10,0))</f>
        <v>#REF!</v>
      </c>
    </row>
    <row r="692" customFormat="false" ht="12.75" hidden="false" customHeight="false" outlineLevel="0" collapsed="false">
      <c r="A692" s="1" t="e">
        <f aca="false">IF(#REF!="","",VLOOKUP(#REF!,ФиКод[],8,0))</f>
        <v>#REF!</v>
      </c>
      <c r="E692" s="1" t="e">
        <f aca="false">IF(#REF!="","",VLOOKUP(#REF!,ФиКод[],9,0))</f>
        <v>#REF!</v>
      </c>
      <c r="F692" s="1" t="e">
        <f aca="false">IF(#REF!="","",VLOOKUP(#REF!,ФиКод[],10,0))</f>
        <v>#REF!</v>
      </c>
    </row>
    <row r="693" customFormat="false" ht="12.75" hidden="false" customHeight="false" outlineLevel="0" collapsed="false">
      <c r="A693" s="1" t="e">
        <f aca="false">IF(#REF!="","",VLOOKUP(#REF!,ФиКод[],8,0))</f>
        <v>#REF!</v>
      </c>
      <c r="E693" s="1" t="e">
        <f aca="false">IF(#REF!="","",VLOOKUP(#REF!,ФиКод[],9,0))</f>
        <v>#REF!</v>
      </c>
      <c r="F693" s="1" t="e">
        <f aca="false">IF(#REF!="","",VLOOKUP(#REF!,ФиКод[],10,0))</f>
        <v>#REF!</v>
      </c>
    </row>
    <row r="694" customFormat="false" ht="12.75" hidden="false" customHeight="false" outlineLevel="0" collapsed="false">
      <c r="A694" s="1" t="e">
        <f aca="false">IF(#REF!="","",VLOOKUP(#REF!,ФиКод[],8,0))</f>
        <v>#REF!</v>
      </c>
      <c r="E694" s="1" t="e">
        <f aca="false">IF(#REF!="","",VLOOKUP(#REF!,ФиКод[],9,0))</f>
        <v>#REF!</v>
      </c>
      <c r="F694" s="1" t="e">
        <f aca="false">IF(#REF!="","",VLOOKUP(#REF!,ФиКод[],10,0))</f>
        <v>#REF!</v>
      </c>
    </row>
    <row r="695" customFormat="false" ht="12.75" hidden="false" customHeight="false" outlineLevel="0" collapsed="false">
      <c r="A695" s="1" t="e">
        <f aca="false">IF(#REF!="","",VLOOKUP(#REF!,ФиКод[],8,0))</f>
        <v>#REF!</v>
      </c>
      <c r="E695" s="1" t="e">
        <f aca="false">IF(#REF!="","",VLOOKUP(#REF!,ФиКод[],9,0))</f>
        <v>#REF!</v>
      </c>
      <c r="F695" s="1" t="e">
        <f aca="false">IF(#REF!="","",VLOOKUP(#REF!,ФиКод[],10,0))</f>
        <v>#REF!</v>
      </c>
    </row>
    <row r="696" customFormat="false" ht="12.75" hidden="false" customHeight="false" outlineLevel="0" collapsed="false">
      <c r="A696" s="1" t="e">
        <f aca="false">IF(#REF!="","",VLOOKUP(#REF!,ФиКод[],8,0))</f>
        <v>#REF!</v>
      </c>
      <c r="E696" s="1" t="e">
        <f aca="false">IF(#REF!="","",VLOOKUP(#REF!,ФиКод[],9,0))</f>
        <v>#REF!</v>
      </c>
      <c r="F696" s="1" t="e">
        <f aca="false">IF(#REF!="","",VLOOKUP(#REF!,ФиКод[],10,0))</f>
        <v>#REF!</v>
      </c>
    </row>
    <row r="697" customFormat="false" ht="12.75" hidden="false" customHeight="false" outlineLevel="0" collapsed="false">
      <c r="A697" s="1" t="e">
        <f aca="false">IF(#REF!="","",VLOOKUP(#REF!,ФиКод[],8,0))</f>
        <v>#REF!</v>
      </c>
      <c r="E697" s="1" t="e">
        <f aca="false">IF(#REF!="","",VLOOKUP(#REF!,ФиКод[],9,0))</f>
        <v>#REF!</v>
      </c>
      <c r="F697" s="1" t="e">
        <f aca="false">IF(#REF!="","",VLOOKUP(#REF!,ФиКод[],10,0))</f>
        <v>#REF!</v>
      </c>
    </row>
    <row r="698" customFormat="false" ht="12.75" hidden="false" customHeight="false" outlineLevel="0" collapsed="false">
      <c r="A698" s="1" t="e">
        <f aca="false">IF(#REF!="","",VLOOKUP(#REF!,ФиКод[],8,0))</f>
        <v>#REF!</v>
      </c>
      <c r="E698" s="1" t="e">
        <f aca="false">IF(#REF!="","",VLOOKUP(#REF!,ФиКод[],9,0))</f>
        <v>#REF!</v>
      </c>
      <c r="F698" s="1" t="e">
        <f aca="false">IF(#REF!="","",VLOOKUP(#REF!,ФиКод[],10,0))</f>
        <v>#REF!</v>
      </c>
    </row>
    <row r="699" customFormat="false" ht="12.75" hidden="false" customHeight="false" outlineLevel="0" collapsed="false">
      <c r="A699" s="1" t="e">
        <f aca="false">IF(#REF!="","",VLOOKUP(#REF!,ФиКод[],8,0))</f>
        <v>#REF!</v>
      </c>
      <c r="E699" s="1" t="e">
        <f aca="false">IF(#REF!="","",VLOOKUP(#REF!,ФиКод[],9,0))</f>
        <v>#REF!</v>
      </c>
      <c r="F699" s="1" t="e">
        <f aca="false">IF(#REF!="","",VLOOKUP(#REF!,ФиКод[],10,0))</f>
        <v>#REF!</v>
      </c>
    </row>
    <row r="700" customFormat="false" ht="12.75" hidden="false" customHeight="false" outlineLevel="0" collapsed="false">
      <c r="A700" s="1" t="e">
        <f aca="false">IF(#REF!="","",VLOOKUP(#REF!,ФиКод[],8,0))</f>
        <v>#REF!</v>
      </c>
      <c r="E700" s="1" t="e">
        <f aca="false">IF(#REF!="","",VLOOKUP(#REF!,ФиКод[],9,0))</f>
        <v>#REF!</v>
      </c>
      <c r="F700" s="1" t="e">
        <f aca="false">IF(#REF!="","",VLOOKUP(#REF!,ФиКод[],10,0))</f>
        <v>#REF!</v>
      </c>
    </row>
    <row r="701" customFormat="false" ht="12.75" hidden="false" customHeight="false" outlineLevel="0" collapsed="false">
      <c r="A701" s="1" t="e">
        <f aca="false">IF(#REF!="","",VLOOKUP(#REF!,ФиКод[],8,0))</f>
        <v>#REF!</v>
      </c>
      <c r="E701" s="1" t="e">
        <f aca="false">IF(#REF!="","",VLOOKUP(#REF!,ФиКод[],9,0))</f>
        <v>#REF!</v>
      </c>
      <c r="F701" s="1" t="e">
        <f aca="false">IF(#REF!="","",VLOOKUP(#REF!,ФиКод[],10,0))</f>
        <v>#REF!</v>
      </c>
    </row>
    <row r="702" customFormat="false" ht="12.75" hidden="false" customHeight="false" outlineLevel="0" collapsed="false">
      <c r="A702" s="1" t="e">
        <f aca="false">IF(#REF!="","",VLOOKUP(#REF!,ФиКод[],8,0))</f>
        <v>#REF!</v>
      </c>
      <c r="E702" s="1" t="e">
        <f aca="false">IF(#REF!="","",VLOOKUP(#REF!,ФиКод[],9,0))</f>
        <v>#REF!</v>
      </c>
      <c r="F702" s="1" t="e">
        <f aca="false">IF(#REF!="","",VLOOKUP(#REF!,ФиКод[],10,0))</f>
        <v>#REF!</v>
      </c>
    </row>
    <row r="703" customFormat="false" ht="12.75" hidden="false" customHeight="false" outlineLevel="0" collapsed="false">
      <c r="A703" s="1" t="e">
        <f aca="false">IF(#REF!="","",VLOOKUP(#REF!,ФиКод[],8,0))</f>
        <v>#REF!</v>
      </c>
      <c r="E703" s="1" t="e">
        <f aca="false">IF(#REF!="","",VLOOKUP(#REF!,ФиКод[],9,0))</f>
        <v>#REF!</v>
      </c>
      <c r="F703" s="1" t="e">
        <f aca="false">IF(#REF!="","",VLOOKUP(#REF!,ФиКод[],10,0))</f>
        <v>#REF!</v>
      </c>
    </row>
    <row r="704" customFormat="false" ht="12.75" hidden="false" customHeight="false" outlineLevel="0" collapsed="false">
      <c r="A704" s="1" t="e">
        <f aca="false">IF(#REF!="","",VLOOKUP(#REF!,ФиКод[],8,0))</f>
        <v>#REF!</v>
      </c>
      <c r="E704" s="1" t="e">
        <f aca="false">IF(#REF!="","",VLOOKUP(#REF!,ФиКод[],9,0))</f>
        <v>#REF!</v>
      </c>
      <c r="F704" s="1" t="e">
        <f aca="false">IF(#REF!="","",VLOOKUP(#REF!,ФиКод[],10,0))</f>
        <v>#REF!</v>
      </c>
    </row>
    <row r="705" customFormat="false" ht="12.75" hidden="false" customHeight="false" outlineLevel="0" collapsed="false">
      <c r="A705" s="1" t="e">
        <f aca="false">IF(#REF!="","",VLOOKUP(#REF!,ФиКод[],8,0))</f>
        <v>#REF!</v>
      </c>
      <c r="E705" s="1" t="e">
        <f aca="false">IF(#REF!="","",VLOOKUP(#REF!,ФиКод[],9,0))</f>
        <v>#REF!</v>
      </c>
      <c r="F705" s="1" t="e">
        <f aca="false">IF(#REF!="","",VLOOKUP(#REF!,ФиКод[],10,0))</f>
        <v>#REF!</v>
      </c>
    </row>
    <row r="706" customFormat="false" ht="12.75" hidden="false" customHeight="false" outlineLevel="0" collapsed="false">
      <c r="A706" s="1" t="e">
        <f aca="false">IF(#REF!="","",VLOOKUP(#REF!,ФиКод[],8,0))</f>
        <v>#REF!</v>
      </c>
      <c r="E706" s="1" t="e">
        <f aca="false">IF(#REF!="","",VLOOKUP(#REF!,ФиКод[],9,0))</f>
        <v>#REF!</v>
      </c>
      <c r="F706" s="1" t="e">
        <f aca="false">IF(#REF!="","",VLOOKUP(#REF!,ФиКод[],10,0))</f>
        <v>#REF!</v>
      </c>
    </row>
    <row r="707" customFormat="false" ht="12.75" hidden="false" customHeight="false" outlineLevel="0" collapsed="false">
      <c r="A707" s="1" t="e">
        <f aca="false">IF(#REF!="","",VLOOKUP(#REF!,ФиКод[],8,0))</f>
        <v>#REF!</v>
      </c>
      <c r="E707" s="1" t="e">
        <f aca="false">IF(#REF!="","",VLOOKUP(#REF!,ФиКод[],9,0))</f>
        <v>#REF!</v>
      </c>
      <c r="F707" s="1" t="e">
        <f aca="false">IF(#REF!="","",VLOOKUP(#REF!,ФиКод[],10,0))</f>
        <v>#REF!</v>
      </c>
    </row>
    <row r="708" customFormat="false" ht="12.75" hidden="false" customHeight="false" outlineLevel="0" collapsed="false">
      <c r="A708" s="1" t="e">
        <f aca="false">IF(#REF!="","",VLOOKUP(#REF!,ФиКод[],8,0))</f>
        <v>#REF!</v>
      </c>
      <c r="E708" s="1" t="e">
        <f aca="false">IF(#REF!="","",VLOOKUP(#REF!,ФиКод[],9,0))</f>
        <v>#REF!</v>
      </c>
      <c r="F708" s="1" t="e">
        <f aca="false">IF(#REF!="","",VLOOKUP(#REF!,ФиКод[],10,0))</f>
        <v>#REF!</v>
      </c>
    </row>
    <row r="709" customFormat="false" ht="12.75" hidden="false" customHeight="false" outlineLevel="0" collapsed="false">
      <c r="A709" s="1" t="e">
        <f aca="false">IF(#REF!="","",VLOOKUP(#REF!,ФиКод[],8,0))</f>
        <v>#REF!</v>
      </c>
      <c r="E709" s="1" t="e">
        <f aca="false">IF(#REF!="","",VLOOKUP(#REF!,ФиКод[],9,0))</f>
        <v>#REF!</v>
      </c>
      <c r="F709" s="1" t="e">
        <f aca="false">IF(#REF!="","",VLOOKUP(#REF!,ФиКод[],10,0))</f>
        <v>#REF!</v>
      </c>
    </row>
    <row r="710" customFormat="false" ht="12.75" hidden="false" customHeight="false" outlineLevel="0" collapsed="false">
      <c r="A710" s="1" t="e">
        <f aca="false">IF(#REF!="","",VLOOKUP(#REF!,ФиКод[],8,0))</f>
        <v>#REF!</v>
      </c>
      <c r="E710" s="1" t="e">
        <f aca="false">IF(#REF!="","",VLOOKUP(#REF!,ФиКод[],9,0))</f>
        <v>#REF!</v>
      </c>
      <c r="F710" s="1" t="e">
        <f aca="false">IF(#REF!="","",VLOOKUP(#REF!,ФиКод[],10,0))</f>
        <v>#REF!</v>
      </c>
    </row>
    <row r="711" customFormat="false" ht="12.75" hidden="false" customHeight="false" outlineLevel="0" collapsed="false">
      <c r="A711" s="1" t="e">
        <f aca="false">IF(#REF!="","",VLOOKUP(#REF!,ФиКод[],8,0))</f>
        <v>#REF!</v>
      </c>
      <c r="E711" s="1" t="e">
        <f aca="false">IF(#REF!="","",VLOOKUP(#REF!,ФиКод[],9,0))</f>
        <v>#REF!</v>
      </c>
      <c r="F711" s="1" t="e">
        <f aca="false">IF(#REF!="","",VLOOKUP(#REF!,ФиКод[],10,0))</f>
        <v>#REF!</v>
      </c>
    </row>
    <row r="712" customFormat="false" ht="12.75" hidden="false" customHeight="false" outlineLevel="0" collapsed="false">
      <c r="A712" s="1" t="e">
        <f aca="false">IF(#REF!="","",VLOOKUP(#REF!,ФиКод[],8,0))</f>
        <v>#REF!</v>
      </c>
      <c r="E712" s="1" t="e">
        <f aca="false">IF(#REF!="","",VLOOKUP(#REF!,ФиКод[],9,0))</f>
        <v>#REF!</v>
      </c>
      <c r="F712" s="1" t="e">
        <f aca="false">IF(#REF!="","",VLOOKUP(#REF!,ФиКод[],10,0))</f>
        <v>#REF!</v>
      </c>
    </row>
    <row r="713" customFormat="false" ht="12.75" hidden="false" customHeight="false" outlineLevel="0" collapsed="false">
      <c r="A713" s="1" t="e">
        <f aca="false">IF(#REF!="","",VLOOKUP(#REF!,ФиКод[],8,0))</f>
        <v>#REF!</v>
      </c>
      <c r="E713" s="1" t="e">
        <f aca="false">IF(#REF!="","",VLOOKUP(#REF!,ФиКод[],9,0))</f>
        <v>#REF!</v>
      </c>
      <c r="F713" s="1" t="e">
        <f aca="false">IF(#REF!="","",VLOOKUP(#REF!,ФиКод[],10,0))</f>
        <v>#REF!</v>
      </c>
    </row>
    <row r="714" customFormat="false" ht="12.75" hidden="false" customHeight="false" outlineLevel="0" collapsed="false">
      <c r="A714" s="1" t="e">
        <f aca="false">IF(#REF!="","",VLOOKUP(#REF!,ФиКод[],8,0))</f>
        <v>#REF!</v>
      </c>
      <c r="E714" s="1" t="e">
        <f aca="false">IF(#REF!="","",VLOOKUP(#REF!,ФиКод[],9,0))</f>
        <v>#REF!</v>
      </c>
      <c r="F714" s="1" t="e">
        <f aca="false">IF(#REF!="","",VLOOKUP(#REF!,ФиКод[],10,0))</f>
        <v>#REF!</v>
      </c>
    </row>
    <row r="715" customFormat="false" ht="12.75" hidden="false" customHeight="false" outlineLevel="0" collapsed="false">
      <c r="A715" s="1" t="e">
        <f aca="false">IF(#REF!="","",VLOOKUP(#REF!,ФиКод[],8,0))</f>
        <v>#REF!</v>
      </c>
      <c r="E715" s="1" t="e">
        <f aca="false">IF(#REF!="","",VLOOKUP(#REF!,ФиКод[],9,0))</f>
        <v>#REF!</v>
      </c>
      <c r="F715" s="1" t="e">
        <f aca="false">IF(#REF!="","",VLOOKUP(#REF!,ФиКод[],10,0))</f>
        <v>#REF!</v>
      </c>
    </row>
    <row r="716" customFormat="false" ht="12.75" hidden="false" customHeight="false" outlineLevel="0" collapsed="false">
      <c r="A716" s="1" t="e">
        <f aca="false">IF(#REF!="","",VLOOKUP(#REF!,ФиКод[],8,0))</f>
        <v>#REF!</v>
      </c>
      <c r="E716" s="1" t="e">
        <f aca="false">IF(#REF!="","",VLOOKUP(#REF!,ФиКод[],9,0))</f>
        <v>#REF!</v>
      </c>
      <c r="F716" s="1" t="e">
        <f aca="false">IF(#REF!="","",VLOOKUP(#REF!,ФиКод[],10,0))</f>
        <v>#REF!</v>
      </c>
    </row>
    <row r="717" customFormat="false" ht="12.75" hidden="false" customHeight="false" outlineLevel="0" collapsed="false">
      <c r="A717" s="1" t="e">
        <f aca="false">IF(#REF!="","",VLOOKUP(#REF!,ФиКод[],8,0))</f>
        <v>#REF!</v>
      </c>
      <c r="E717" s="1" t="e">
        <f aca="false">IF(#REF!="","",VLOOKUP(#REF!,ФиКод[],9,0))</f>
        <v>#REF!</v>
      </c>
      <c r="F717" s="1" t="e">
        <f aca="false">IF(#REF!="","",VLOOKUP(#REF!,ФиКод[],10,0))</f>
        <v>#REF!</v>
      </c>
    </row>
    <row r="718" customFormat="false" ht="12.75" hidden="false" customHeight="false" outlineLevel="0" collapsed="false">
      <c r="A718" s="1" t="e">
        <f aca="false">IF(#REF!="","",VLOOKUP(#REF!,ФиКод[],8,0))</f>
        <v>#REF!</v>
      </c>
      <c r="E718" s="1" t="e">
        <f aca="false">IF(#REF!="","",VLOOKUP(#REF!,ФиКод[],9,0))</f>
        <v>#REF!</v>
      </c>
      <c r="F718" s="1" t="e">
        <f aca="false">IF(#REF!="","",VLOOKUP(#REF!,ФиКод[],10,0))</f>
        <v>#REF!</v>
      </c>
    </row>
    <row r="719" customFormat="false" ht="12.75" hidden="false" customHeight="false" outlineLevel="0" collapsed="false">
      <c r="A719" s="1" t="e">
        <f aca="false">IF(#REF!="","",VLOOKUP(#REF!,ФиКод[],8,0))</f>
        <v>#REF!</v>
      </c>
      <c r="E719" s="1" t="e">
        <f aca="false">IF(#REF!="","",VLOOKUP(#REF!,ФиКод[],9,0))</f>
        <v>#REF!</v>
      </c>
      <c r="F719" s="1" t="e">
        <f aca="false">IF(#REF!="","",VLOOKUP(#REF!,ФиКод[],10,0))</f>
        <v>#REF!</v>
      </c>
    </row>
    <row r="720" customFormat="false" ht="12.75" hidden="false" customHeight="false" outlineLevel="0" collapsed="false">
      <c r="A720" s="1" t="e">
        <f aca="false">IF(#REF!="","",VLOOKUP(#REF!,ФиКод[],8,0))</f>
        <v>#REF!</v>
      </c>
      <c r="E720" s="1" t="e">
        <f aca="false">IF(#REF!="","",VLOOKUP(#REF!,ФиКод[],9,0))</f>
        <v>#REF!</v>
      </c>
      <c r="F720" s="1" t="e">
        <f aca="false">IF(#REF!="","",VLOOKUP(#REF!,ФиКод[],10,0))</f>
        <v>#REF!</v>
      </c>
    </row>
    <row r="721" customFormat="false" ht="12.75" hidden="false" customHeight="false" outlineLevel="0" collapsed="false">
      <c r="A721" s="1" t="e">
        <f aca="false">IF(#REF!="","",VLOOKUP(#REF!,ФиКод[],8,0))</f>
        <v>#REF!</v>
      </c>
      <c r="E721" s="1" t="e">
        <f aca="false">IF(#REF!="","",VLOOKUP(#REF!,ФиКод[],9,0))</f>
        <v>#REF!</v>
      </c>
      <c r="F721" s="1" t="e">
        <f aca="false">IF(#REF!="","",VLOOKUP(#REF!,ФиКод[],10,0))</f>
        <v>#REF!</v>
      </c>
    </row>
    <row r="722" customFormat="false" ht="12.75" hidden="false" customHeight="false" outlineLevel="0" collapsed="false">
      <c r="A722" s="1" t="e">
        <f aca="false">IF(#REF!="","",VLOOKUP(#REF!,ФиКод[],8,0))</f>
        <v>#REF!</v>
      </c>
      <c r="E722" s="1" t="e">
        <f aca="false">IF(#REF!="","",VLOOKUP(#REF!,ФиКод[],9,0))</f>
        <v>#REF!</v>
      </c>
      <c r="F722" s="1" t="e">
        <f aca="false">IF(#REF!="","",VLOOKUP(#REF!,ФиКод[],10,0))</f>
        <v>#REF!</v>
      </c>
    </row>
    <row r="723" customFormat="false" ht="12.75" hidden="false" customHeight="false" outlineLevel="0" collapsed="false">
      <c r="A723" s="1" t="e">
        <f aca="false">IF(#REF!="","",VLOOKUP(#REF!,ФиКод[],8,0))</f>
        <v>#REF!</v>
      </c>
      <c r="E723" s="1" t="e">
        <f aca="false">IF(#REF!="","",VLOOKUP(#REF!,ФиКод[],9,0))</f>
        <v>#REF!</v>
      </c>
      <c r="F723" s="1" t="e">
        <f aca="false">IF(#REF!="","",VLOOKUP(#REF!,ФиКод[],10,0))</f>
        <v>#REF!</v>
      </c>
    </row>
    <row r="724" customFormat="false" ht="12.75" hidden="false" customHeight="false" outlineLevel="0" collapsed="false">
      <c r="A724" s="1" t="e">
        <f aca="false">IF(#REF!="","",VLOOKUP(#REF!,ФиКод[],8,0))</f>
        <v>#REF!</v>
      </c>
      <c r="E724" s="1" t="e">
        <f aca="false">IF(#REF!="","",VLOOKUP(#REF!,ФиКод[],9,0))</f>
        <v>#REF!</v>
      </c>
      <c r="F724" s="1" t="e">
        <f aca="false">IF(#REF!="","",VLOOKUP(#REF!,ФиКод[],10,0))</f>
        <v>#REF!</v>
      </c>
    </row>
    <row r="725" customFormat="false" ht="12.75" hidden="false" customHeight="false" outlineLevel="0" collapsed="false">
      <c r="A725" s="1" t="e">
        <f aca="false">IF(#REF!="","",VLOOKUP(#REF!,ФиКод[],8,0))</f>
        <v>#REF!</v>
      </c>
      <c r="E725" s="1" t="e">
        <f aca="false">IF(#REF!="","",VLOOKUP(#REF!,ФиКод[],9,0))</f>
        <v>#REF!</v>
      </c>
      <c r="F725" s="1" t="e">
        <f aca="false">IF(#REF!="","",VLOOKUP(#REF!,ФиКод[],10,0))</f>
        <v>#REF!</v>
      </c>
    </row>
    <row r="726" customFormat="false" ht="12.75" hidden="false" customHeight="false" outlineLevel="0" collapsed="false">
      <c r="A726" s="1" t="e">
        <f aca="false">IF(#REF!="","",VLOOKUP(#REF!,ФиКод[],8,0))</f>
        <v>#REF!</v>
      </c>
      <c r="E726" s="1" t="e">
        <f aca="false">IF(#REF!="","",VLOOKUP(#REF!,ФиКод[],9,0))</f>
        <v>#REF!</v>
      </c>
      <c r="F726" s="1" t="e">
        <f aca="false">IF(#REF!="","",VLOOKUP(#REF!,ФиКод[],10,0))</f>
        <v>#REF!</v>
      </c>
    </row>
    <row r="727" customFormat="false" ht="12.75" hidden="false" customHeight="false" outlineLevel="0" collapsed="false">
      <c r="A727" s="1" t="e">
        <f aca="false">IF(#REF!="","",VLOOKUP(#REF!,ФиКод[],8,0))</f>
        <v>#REF!</v>
      </c>
      <c r="E727" s="1" t="e">
        <f aca="false">IF(#REF!="","",VLOOKUP(#REF!,ФиКод[],9,0))</f>
        <v>#REF!</v>
      </c>
      <c r="F727" s="1" t="e">
        <f aca="false">IF(#REF!="","",VLOOKUP(#REF!,ФиКод[],10,0))</f>
        <v>#REF!</v>
      </c>
    </row>
    <row r="728" customFormat="false" ht="12.75" hidden="false" customHeight="false" outlineLevel="0" collapsed="false">
      <c r="A728" s="1" t="e">
        <f aca="false">IF(#REF!="","",VLOOKUP(#REF!,ФиКод[],8,0))</f>
        <v>#REF!</v>
      </c>
      <c r="E728" s="1" t="e">
        <f aca="false">IF(#REF!="","",VLOOKUP(#REF!,ФиКод[],9,0))</f>
        <v>#REF!</v>
      </c>
      <c r="F728" s="1" t="e">
        <f aca="false">IF(#REF!="","",VLOOKUP(#REF!,ФиКод[],10,0))</f>
        <v>#REF!</v>
      </c>
    </row>
    <row r="729" customFormat="false" ht="12.75" hidden="false" customHeight="false" outlineLevel="0" collapsed="false">
      <c r="A729" s="1" t="e">
        <f aca="false">IF(#REF!="","",VLOOKUP(#REF!,ФиКод[],8,0))</f>
        <v>#REF!</v>
      </c>
      <c r="E729" s="1" t="e">
        <f aca="false">IF(#REF!="","",VLOOKUP(#REF!,ФиКод[],9,0))</f>
        <v>#REF!</v>
      </c>
      <c r="F729" s="1" t="e">
        <f aca="false">IF(#REF!="","",VLOOKUP(#REF!,ФиКод[],10,0))</f>
        <v>#REF!</v>
      </c>
    </row>
    <row r="730" customFormat="false" ht="12.75" hidden="false" customHeight="false" outlineLevel="0" collapsed="false">
      <c r="A730" s="1" t="e">
        <f aca="false">IF(#REF!="","",VLOOKUP(#REF!,ФиКод[],8,0))</f>
        <v>#REF!</v>
      </c>
      <c r="E730" s="1" t="e">
        <f aca="false">IF(#REF!="","",VLOOKUP(#REF!,ФиКод[],9,0))</f>
        <v>#REF!</v>
      </c>
      <c r="F730" s="1" t="e">
        <f aca="false">IF(#REF!="","",VLOOKUP(#REF!,ФиКод[],10,0))</f>
        <v>#REF!</v>
      </c>
    </row>
    <row r="731" customFormat="false" ht="12.75" hidden="false" customHeight="false" outlineLevel="0" collapsed="false">
      <c r="A731" s="1" t="e">
        <f aca="false">IF(#REF!="","",VLOOKUP(#REF!,ФиКод[],8,0))</f>
        <v>#REF!</v>
      </c>
      <c r="E731" s="1" t="e">
        <f aca="false">IF(#REF!="","",VLOOKUP(#REF!,ФиКод[],9,0))</f>
        <v>#REF!</v>
      </c>
      <c r="F731" s="1" t="e">
        <f aca="false">IF(#REF!="","",VLOOKUP(#REF!,ФиКод[],10,0))</f>
        <v>#REF!</v>
      </c>
    </row>
    <row r="732" customFormat="false" ht="12.75" hidden="false" customHeight="false" outlineLevel="0" collapsed="false">
      <c r="A732" s="1" t="e">
        <f aca="false">IF(#REF!="","",VLOOKUP(#REF!,ФиКод[],8,0))</f>
        <v>#REF!</v>
      </c>
      <c r="E732" s="1" t="e">
        <f aca="false">IF(#REF!="","",VLOOKUP(#REF!,ФиКод[],9,0))</f>
        <v>#REF!</v>
      </c>
      <c r="F732" s="1" t="e">
        <f aca="false">IF(#REF!="","",VLOOKUP(#REF!,ФиКод[],10,0))</f>
        <v>#REF!</v>
      </c>
    </row>
    <row r="733" customFormat="false" ht="12.75" hidden="false" customHeight="false" outlineLevel="0" collapsed="false">
      <c r="A733" s="1" t="e">
        <f aca="false">IF(#REF!="","",VLOOKUP(#REF!,ФиКод[],8,0))</f>
        <v>#REF!</v>
      </c>
      <c r="E733" s="1" t="e">
        <f aca="false">IF(#REF!="","",VLOOKUP(#REF!,ФиКод[],9,0))</f>
        <v>#REF!</v>
      </c>
      <c r="F733" s="1" t="e">
        <f aca="false">IF(#REF!="","",VLOOKUP(#REF!,ФиКод[],10,0))</f>
        <v>#REF!</v>
      </c>
    </row>
    <row r="734" customFormat="false" ht="12.75" hidden="false" customHeight="false" outlineLevel="0" collapsed="false">
      <c r="A734" s="1" t="e">
        <f aca="false">IF(#REF!="","",VLOOKUP(#REF!,ФиКод[],8,0))</f>
        <v>#REF!</v>
      </c>
      <c r="E734" s="1" t="e">
        <f aca="false">IF(#REF!="","",VLOOKUP(#REF!,ФиКод[],9,0))</f>
        <v>#REF!</v>
      </c>
      <c r="F734" s="1" t="e">
        <f aca="false">IF(#REF!="","",VLOOKUP(#REF!,ФиКод[],10,0))</f>
        <v>#REF!</v>
      </c>
    </row>
    <row r="735" customFormat="false" ht="12.75" hidden="false" customHeight="false" outlineLevel="0" collapsed="false">
      <c r="A735" s="1" t="e">
        <f aca="false">IF(#REF!="","",VLOOKUP(#REF!,ФиКод[],8,0))</f>
        <v>#REF!</v>
      </c>
      <c r="E735" s="1" t="e">
        <f aca="false">IF(#REF!="","",VLOOKUP(#REF!,ФиКод[],9,0))</f>
        <v>#REF!</v>
      </c>
      <c r="F735" s="1" t="e">
        <f aca="false">IF(#REF!="","",VLOOKUP(#REF!,ФиКод[],10,0))</f>
        <v>#REF!</v>
      </c>
    </row>
    <row r="736" customFormat="false" ht="12.75" hidden="false" customHeight="false" outlineLevel="0" collapsed="false">
      <c r="A736" s="1" t="e">
        <f aca="false">IF(#REF!="","",VLOOKUP(#REF!,ФиКод[],8,0))</f>
        <v>#REF!</v>
      </c>
      <c r="E736" s="1" t="e">
        <f aca="false">IF(#REF!="","",VLOOKUP(#REF!,ФиКод[],9,0))</f>
        <v>#REF!</v>
      </c>
      <c r="F736" s="1" t="e">
        <f aca="false">IF(#REF!="","",VLOOKUP(#REF!,ФиКод[],10,0))</f>
        <v>#REF!</v>
      </c>
    </row>
    <row r="737" customFormat="false" ht="12.75" hidden="false" customHeight="false" outlineLevel="0" collapsed="false">
      <c r="A737" s="1" t="e">
        <f aca="false">IF(#REF!="","",VLOOKUP(#REF!,ФиКод[],8,0))</f>
        <v>#REF!</v>
      </c>
      <c r="E737" s="1" t="e">
        <f aca="false">IF(#REF!="","",VLOOKUP(#REF!,ФиКод[],9,0))</f>
        <v>#REF!</v>
      </c>
      <c r="F737" s="1" t="e">
        <f aca="false">IF(#REF!="","",VLOOKUP(#REF!,ФиКод[],10,0))</f>
        <v>#REF!</v>
      </c>
    </row>
    <row r="738" customFormat="false" ht="12.75" hidden="false" customHeight="false" outlineLevel="0" collapsed="false">
      <c r="A738" s="1" t="e">
        <f aca="false">IF(#REF!="","",VLOOKUP(#REF!,ФиКод[],8,0))</f>
        <v>#REF!</v>
      </c>
      <c r="E738" s="1" t="e">
        <f aca="false">IF(#REF!="","",VLOOKUP(#REF!,ФиКод[],9,0))</f>
        <v>#REF!</v>
      </c>
      <c r="F738" s="1" t="e">
        <f aca="false">IF(#REF!="","",VLOOKUP(#REF!,ФиКод[],10,0))</f>
        <v>#REF!</v>
      </c>
    </row>
    <row r="739" customFormat="false" ht="12.75" hidden="false" customHeight="false" outlineLevel="0" collapsed="false">
      <c r="A739" s="1" t="e">
        <f aca="false">IF(#REF!="","",VLOOKUP(#REF!,ФиКод[],8,0))</f>
        <v>#REF!</v>
      </c>
      <c r="E739" s="1" t="e">
        <f aca="false">IF(#REF!="","",VLOOKUP(#REF!,ФиКод[],9,0))</f>
        <v>#REF!</v>
      </c>
      <c r="F739" s="1" t="e">
        <f aca="false">IF(#REF!="","",VLOOKUP(#REF!,ФиКод[],10,0))</f>
        <v>#REF!</v>
      </c>
    </row>
    <row r="740" customFormat="false" ht="12.75" hidden="false" customHeight="false" outlineLevel="0" collapsed="false">
      <c r="A740" s="1" t="e">
        <f aca="false">IF(#REF!="","",VLOOKUP(#REF!,ФиКод[],8,0))</f>
        <v>#REF!</v>
      </c>
      <c r="E740" s="1" t="e">
        <f aca="false">IF(#REF!="","",VLOOKUP(#REF!,ФиКод[],9,0))</f>
        <v>#REF!</v>
      </c>
      <c r="F740" s="1" t="e">
        <f aca="false">IF(#REF!="","",VLOOKUP(#REF!,ФиКод[],10,0))</f>
        <v>#REF!</v>
      </c>
    </row>
    <row r="741" customFormat="false" ht="12.75" hidden="false" customHeight="false" outlineLevel="0" collapsed="false">
      <c r="A741" s="1" t="e">
        <f aca="false">IF(#REF!="","",VLOOKUP(#REF!,ФиКод[],8,0))</f>
        <v>#REF!</v>
      </c>
      <c r="E741" s="1" t="e">
        <f aca="false">IF(#REF!="","",VLOOKUP(#REF!,ФиКод[],9,0))</f>
        <v>#REF!</v>
      </c>
      <c r="F741" s="1" t="e">
        <f aca="false">IF(#REF!="","",VLOOKUP(#REF!,ФиКод[],10,0))</f>
        <v>#REF!</v>
      </c>
    </row>
    <row r="742" customFormat="false" ht="12.75" hidden="false" customHeight="false" outlineLevel="0" collapsed="false">
      <c r="A742" s="1" t="e">
        <f aca="false">IF(#REF!="","",VLOOKUP(#REF!,ФиКод[],8,0))</f>
        <v>#REF!</v>
      </c>
      <c r="E742" s="1" t="e">
        <f aca="false">IF(#REF!="","",VLOOKUP(#REF!,ФиКод[],9,0))</f>
        <v>#REF!</v>
      </c>
      <c r="F742" s="1" t="e">
        <f aca="false">IF(#REF!="","",VLOOKUP(#REF!,ФиКод[],10,0))</f>
        <v>#REF!</v>
      </c>
    </row>
    <row r="743" customFormat="false" ht="12.75" hidden="false" customHeight="false" outlineLevel="0" collapsed="false">
      <c r="A743" s="1" t="e">
        <f aca="false">IF(#REF!="","",VLOOKUP(#REF!,ФиКод[],8,0))</f>
        <v>#REF!</v>
      </c>
      <c r="E743" s="1" t="e">
        <f aca="false">IF(#REF!="","",VLOOKUP(#REF!,ФиКод[],9,0))</f>
        <v>#REF!</v>
      </c>
      <c r="F743" s="1" t="e">
        <f aca="false">IF(#REF!="","",VLOOKUP(#REF!,ФиКод[],10,0))</f>
        <v>#REF!</v>
      </c>
    </row>
    <row r="744" customFormat="false" ht="12.75" hidden="false" customHeight="false" outlineLevel="0" collapsed="false">
      <c r="A744" s="1" t="e">
        <f aca="false">IF(#REF!="","",VLOOKUP(#REF!,ФиКод[],8,0))</f>
        <v>#REF!</v>
      </c>
      <c r="E744" s="1" t="e">
        <f aca="false">IF(#REF!="","",VLOOKUP(#REF!,ФиКод[],9,0))</f>
        <v>#REF!</v>
      </c>
      <c r="F744" s="1" t="e">
        <f aca="false">IF(#REF!="","",VLOOKUP(#REF!,ФиКод[],10,0))</f>
        <v>#REF!</v>
      </c>
    </row>
    <row r="745" customFormat="false" ht="12.75" hidden="false" customHeight="false" outlineLevel="0" collapsed="false">
      <c r="A745" s="1" t="e">
        <f aca="false">IF(#REF!="","",VLOOKUP(#REF!,ФиКод[],8,0))</f>
        <v>#REF!</v>
      </c>
      <c r="E745" s="1" t="e">
        <f aca="false">IF(#REF!="","",VLOOKUP(#REF!,ФиКод[],9,0))</f>
        <v>#REF!</v>
      </c>
      <c r="F745" s="1" t="e">
        <f aca="false">IF(#REF!="","",VLOOKUP(#REF!,ФиКод[],10,0))</f>
        <v>#REF!</v>
      </c>
    </row>
    <row r="746" customFormat="false" ht="12.75" hidden="false" customHeight="false" outlineLevel="0" collapsed="false">
      <c r="A746" s="1" t="e">
        <f aca="false">IF(#REF!="","",VLOOKUP(#REF!,ФиКод[],8,0))</f>
        <v>#REF!</v>
      </c>
      <c r="E746" s="1" t="e">
        <f aca="false">IF(#REF!="","",VLOOKUP(#REF!,ФиКод[],9,0))</f>
        <v>#REF!</v>
      </c>
      <c r="F746" s="1" t="e">
        <f aca="false">IF(#REF!="","",VLOOKUP(#REF!,ФиКод[],10,0))</f>
        <v>#REF!</v>
      </c>
    </row>
    <row r="747" customFormat="false" ht="12.75" hidden="false" customHeight="false" outlineLevel="0" collapsed="false">
      <c r="A747" s="1" t="e">
        <f aca="false">IF(#REF!="","",VLOOKUP(#REF!,ФиКод[],8,0))</f>
        <v>#REF!</v>
      </c>
      <c r="E747" s="1" t="e">
        <f aca="false">IF(#REF!="","",VLOOKUP(#REF!,ФиКод[],9,0))</f>
        <v>#REF!</v>
      </c>
      <c r="F747" s="1" t="e">
        <f aca="false">IF(#REF!="","",VLOOKUP(#REF!,ФиКод[],10,0))</f>
        <v>#REF!</v>
      </c>
    </row>
    <row r="748" customFormat="false" ht="12.75" hidden="false" customHeight="false" outlineLevel="0" collapsed="false">
      <c r="A748" s="1" t="e">
        <f aca="false">IF(#REF!="","",VLOOKUP(#REF!,ФиКод[],8,0))</f>
        <v>#REF!</v>
      </c>
      <c r="E748" s="1" t="e">
        <f aca="false">IF(#REF!="","",VLOOKUP(#REF!,ФиКод[],9,0))</f>
        <v>#REF!</v>
      </c>
      <c r="F748" s="1" t="e">
        <f aca="false">IF(#REF!="","",VLOOKUP(#REF!,ФиКод[],10,0))</f>
        <v>#REF!</v>
      </c>
    </row>
    <row r="749" customFormat="false" ht="12.75" hidden="false" customHeight="false" outlineLevel="0" collapsed="false">
      <c r="A749" s="1" t="e">
        <f aca="false">IF(#REF!="","",VLOOKUP(#REF!,ФиКод[],8,0))</f>
        <v>#REF!</v>
      </c>
      <c r="E749" s="1" t="e">
        <f aca="false">IF(#REF!="","",VLOOKUP(#REF!,ФиКод[],9,0))</f>
        <v>#REF!</v>
      </c>
      <c r="F749" s="1" t="e">
        <f aca="false">IF(#REF!="","",VLOOKUP(#REF!,ФиКод[],10,0))</f>
        <v>#REF!</v>
      </c>
    </row>
    <row r="750" customFormat="false" ht="12.75" hidden="false" customHeight="false" outlineLevel="0" collapsed="false">
      <c r="A750" s="1" t="e">
        <f aca="false">IF(#REF!="","",VLOOKUP(#REF!,ФиКод[],8,0))</f>
        <v>#REF!</v>
      </c>
      <c r="E750" s="1" t="e">
        <f aca="false">IF(#REF!="","",VLOOKUP(#REF!,ФиКод[],9,0))</f>
        <v>#REF!</v>
      </c>
      <c r="F750" s="1" t="e">
        <f aca="false">IF(#REF!="","",VLOOKUP(#REF!,ФиКод[],10,0))</f>
        <v>#REF!</v>
      </c>
    </row>
    <row r="751" customFormat="false" ht="12.75" hidden="false" customHeight="false" outlineLevel="0" collapsed="false">
      <c r="A751" s="1" t="e">
        <f aca="false">IF(#REF!="","",VLOOKUP(#REF!,ФиКод[],8,0))</f>
        <v>#REF!</v>
      </c>
      <c r="E751" s="1" t="e">
        <f aca="false">IF(#REF!="","",VLOOKUP(#REF!,ФиКод[],9,0))</f>
        <v>#REF!</v>
      </c>
      <c r="F751" s="1" t="e">
        <f aca="false">IF(#REF!="","",VLOOKUP(#REF!,ФиКод[],10,0))</f>
        <v>#REF!</v>
      </c>
    </row>
    <row r="752" customFormat="false" ht="12.75" hidden="false" customHeight="false" outlineLevel="0" collapsed="false">
      <c r="A752" s="1" t="e">
        <f aca="false">IF(#REF!="","",VLOOKUP(#REF!,ФиКод[],8,0))</f>
        <v>#REF!</v>
      </c>
      <c r="E752" s="1" t="e">
        <f aca="false">IF(#REF!="","",VLOOKUP(#REF!,ФиКод[],9,0))</f>
        <v>#REF!</v>
      </c>
      <c r="F752" s="1" t="e">
        <f aca="false">IF(#REF!="","",VLOOKUP(#REF!,ФиКод[],10,0))</f>
        <v>#REF!</v>
      </c>
    </row>
    <row r="753" customFormat="false" ht="12.75" hidden="false" customHeight="false" outlineLevel="0" collapsed="false">
      <c r="A753" s="1" t="e">
        <f aca="false">IF(#REF!="","",VLOOKUP(#REF!,ФиКод[],8,0))</f>
        <v>#REF!</v>
      </c>
      <c r="E753" s="1" t="e">
        <f aca="false">IF(#REF!="","",VLOOKUP(#REF!,ФиКод[],9,0))</f>
        <v>#REF!</v>
      </c>
      <c r="F753" s="1" t="e">
        <f aca="false">IF(#REF!="","",VLOOKUP(#REF!,ФиКод[],10,0))</f>
        <v>#REF!</v>
      </c>
    </row>
    <row r="754" customFormat="false" ht="12.75" hidden="false" customHeight="false" outlineLevel="0" collapsed="false">
      <c r="A754" s="1" t="e">
        <f aca="false">IF(#REF!="","",VLOOKUP(#REF!,ФиКод[],8,0))</f>
        <v>#REF!</v>
      </c>
      <c r="E754" s="1" t="e">
        <f aca="false">IF(#REF!="","",VLOOKUP(#REF!,ФиКод[],9,0))</f>
        <v>#REF!</v>
      </c>
      <c r="F754" s="1" t="e">
        <f aca="false">IF(#REF!="","",VLOOKUP(#REF!,ФиКод[],10,0))</f>
        <v>#REF!</v>
      </c>
    </row>
    <row r="755" customFormat="false" ht="12.75" hidden="false" customHeight="false" outlineLevel="0" collapsed="false">
      <c r="A755" s="1" t="e">
        <f aca="false">IF(#REF!="","",VLOOKUP(#REF!,ФиКод[],8,0))</f>
        <v>#REF!</v>
      </c>
      <c r="E755" s="1" t="e">
        <f aca="false">IF(#REF!="","",VLOOKUP(#REF!,ФиКод[],9,0))</f>
        <v>#REF!</v>
      </c>
      <c r="F755" s="1" t="e">
        <f aca="false">IF(#REF!="","",VLOOKUP(#REF!,ФиКод[],10,0))</f>
        <v>#REF!</v>
      </c>
    </row>
    <row r="756" customFormat="false" ht="12.75" hidden="false" customHeight="false" outlineLevel="0" collapsed="false">
      <c r="A756" s="1" t="e">
        <f aca="false">IF(#REF!="","",VLOOKUP(#REF!,ФиКод[],8,0))</f>
        <v>#REF!</v>
      </c>
      <c r="E756" s="1" t="e">
        <f aca="false">IF(#REF!="","",VLOOKUP(#REF!,ФиКод[],9,0))</f>
        <v>#REF!</v>
      </c>
      <c r="F756" s="1" t="e">
        <f aca="false">IF(#REF!="","",VLOOKUP(#REF!,ФиКод[],10,0))</f>
        <v>#REF!</v>
      </c>
    </row>
    <row r="757" customFormat="false" ht="12.75" hidden="false" customHeight="false" outlineLevel="0" collapsed="false">
      <c r="A757" s="1" t="e">
        <f aca="false">IF(#REF!="","",VLOOKUP(#REF!,ФиКод[],8,0))</f>
        <v>#REF!</v>
      </c>
      <c r="E757" s="1" t="e">
        <f aca="false">IF(#REF!="","",VLOOKUP(#REF!,ФиКод[],9,0))</f>
        <v>#REF!</v>
      </c>
      <c r="F757" s="1" t="e">
        <f aca="false">IF(#REF!="","",VLOOKUP(#REF!,ФиКод[],10,0))</f>
        <v>#REF!</v>
      </c>
    </row>
    <row r="758" customFormat="false" ht="12.75" hidden="false" customHeight="false" outlineLevel="0" collapsed="false">
      <c r="A758" s="1" t="e">
        <f aca="false">IF(#REF!="","",VLOOKUP(#REF!,ФиКод[],8,0))</f>
        <v>#REF!</v>
      </c>
      <c r="E758" s="1" t="e">
        <f aca="false">IF(#REF!="","",VLOOKUP(#REF!,ФиКод[],9,0))</f>
        <v>#REF!</v>
      </c>
      <c r="F758" s="1" t="e">
        <f aca="false">IF(#REF!="","",VLOOKUP(#REF!,ФиКод[],10,0))</f>
        <v>#REF!</v>
      </c>
    </row>
    <row r="759" customFormat="false" ht="12.75" hidden="false" customHeight="false" outlineLevel="0" collapsed="false">
      <c r="A759" s="1" t="e">
        <f aca="false">IF(#REF!="","",VLOOKUP(#REF!,ФиКод[],8,0))</f>
        <v>#REF!</v>
      </c>
      <c r="E759" s="1" t="e">
        <f aca="false">IF(#REF!="","",VLOOKUP(#REF!,ФиКод[],9,0))</f>
        <v>#REF!</v>
      </c>
      <c r="F759" s="1" t="e">
        <f aca="false">IF(#REF!="","",VLOOKUP(#REF!,ФиКод[],10,0))</f>
        <v>#REF!</v>
      </c>
    </row>
    <row r="760" customFormat="false" ht="12.75" hidden="false" customHeight="false" outlineLevel="0" collapsed="false">
      <c r="A760" s="1" t="e">
        <f aca="false">IF(#REF!="","",VLOOKUP(#REF!,ФиКод[],8,0))</f>
        <v>#REF!</v>
      </c>
      <c r="E760" s="1" t="e">
        <f aca="false">IF(#REF!="","",VLOOKUP(#REF!,ФиКод[],9,0))</f>
        <v>#REF!</v>
      </c>
      <c r="F760" s="1" t="e">
        <f aca="false">IF(#REF!="","",VLOOKUP(#REF!,ФиКод[],10,0))</f>
        <v>#REF!</v>
      </c>
    </row>
    <row r="761" customFormat="false" ht="12.75" hidden="false" customHeight="false" outlineLevel="0" collapsed="false">
      <c r="A761" s="1" t="e">
        <f aca="false">IF(#REF!="","",VLOOKUP(#REF!,ФиКод[],8,0))</f>
        <v>#REF!</v>
      </c>
      <c r="E761" s="1" t="e">
        <f aca="false">IF(#REF!="","",VLOOKUP(#REF!,ФиКод[],9,0))</f>
        <v>#REF!</v>
      </c>
      <c r="F761" s="1" t="e">
        <f aca="false">IF(#REF!="","",VLOOKUP(#REF!,ФиКод[],10,0))</f>
        <v>#REF!</v>
      </c>
    </row>
    <row r="762" customFormat="false" ht="12.75" hidden="false" customHeight="false" outlineLevel="0" collapsed="false">
      <c r="A762" s="1" t="e">
        <f aca="false">IF(#REF!="","",VLOOKUP(#REF!,ФиКод[],8,0))</f>
        <v>#REF!</v>
      </c>
      <c r="E762" s="1" t="e">
        <f aca="false">IF(#REF!="","",VLOOKUP(#REF!,ФиКод[],9,0))</f>
        <v>#REF!</v>
      </c>
      <c r="F762" s="1" t="e">
        <f aca="false">IF(#REF!="","",VLOOKUP(#REF!,ФиКод[],10,0))</f>
        <v>#REF!</v>
      </c>
    </row>
    <row r="763" customFormat="false" ht="12.75" hidden="false" customHeight="false" outlineLevel="0" collapsed="false">
      <c r="A763" s="1" t="e">
        <f aca="false">IF(#REF!="","",VLOOKUP(#REF!,ФиКод[],8,0))</f>
        <v>#REF!</v>
      </c>
      <c r="E763" s="1" t="e">
        <f aca="false">IF(#REF!="","",VLOOKUP(#REF!,ФиКод[],9,0))</f>
        <v>#REF!</v>
      </c>
      <c r="F763" s="1" t="e">
        <f aca="false">IF(#REF!="","",VLOOKUP(#REF!,ФиКод[],10,0))</f>
        <v>#REF!</v>
      </c>
    </row>
    <row r="764" customFormat="false" ht="12.75" hidden="false" customHeight="false" outlineLevel="0" collapsed="false">
      <c r="A764" s="1" t="e">
        <f aca="false">IF(#REF!="","",VLOOKUP(#REF!,ФиКод[],8,0))</f>
        <v>#REF!</v>
      </c>
      <c r="E764" s="1" t="e">
        <f aca="false">IF(#REF!="","",VLOOKUP(#REF!,ФиКод[],9,0))</f>
        <v>#REF!</v>
      </c>
      <c r="F764" s="1" t="e">
        <f aca="false">IF(#REF!="","",VLOOKUP(#REF!,ФиКод[],10,0))</f>
        <v>#REF!</v>
      </c>
    </row>
    <row r="765" customFormat="false" ht="12.75" hidden="false" customHeight="false" outlineLevel="0" collapsed="false">
      <c r="A765" s="1" t="e">
        <f aca="false">IF(#REF!="","",VLOOKUP(#REF!,ФиКод[],8,0))</f>
        <v>#REF!</v>
      </c>
      <c r="E765" s="1" t="e">
        <f aca="false">IF(#REF!="","",VLOOKUP(#REF!,ФиКод[],9,0))</f>
        <v>#REF!</v>
      </c>
      <c r="F765" s="1" t="e">
        <f aca="false">IF(#REF!="","",VLOOKUP(#REF!,ФиКод[],10,0))</f>
        <v>#REF!</v>
      </c>
    </row>
    <row r="766" customFormat="false" ht="12.75" hidden="false" customHeight="false" outlineLevel="0" collapsed="false">
      <c r="A766" s="1" t="e">
        <f aca="false">IF(#REF!="","",VLOOKUP(#REF!,ФиКод[],8,0))</f>
        <v>#REF!</v>
      </c>
      <c r="E766" s="1" t="e">
        <f aca="false">IF(#REF!="","",VLOOKUP(#REF!,ФиКод[],9,0))</f>
        <v>#REF!</v>
      </c>
      <c r="F766" s="1" t="e">
        <f aca="false">IF(#REF!="","",VLOOKUP(#REF!,ФиКод[],10,0))</f>
        <v>#REF!</v>
      </c>
    </row>
    <row r="767" customFormat="false" ht="12.75" hidden="false" customHeight="false" outlineLevel="0" collapsed="false">
      <c r="A767" s="1" t="e">
        <f aca="false">IF(#REF!="","",VLOOKUP(#REF!,ФиКод[],8,0))</f>
        <v>#REF!</v>
      </c>
      <c r="E767" s="1" t="e">
        <f aca="false">IF(#REF!="","",VLOOKUP(#REF!,ФиКод[],9,0))</f>
        <v>#REF!</v>
      </c>
      <c r="F767" s="1" t="e">
        <f aca="false">IF(#REF!="","",VLOOKUP(#REF!,ФиКод[],10,0))</f>
        <v>#REF!</v>
      </c>
    </row>
    <row r="768" customFormat="false" ht="12.75" hidden="false" customHeight="false" outlineLevel="0" collapsed="false">
      <c r="A768" s="1" t="e">
        <f aca="false">IF(#REF!="","",VLOOKUP(#REF!,ФиКод[],8,0))</f>
        <v>#REF!</v>
      </c>
      <c r="E768" s="1" t="e">
        <f aca="false">IF(#REF!="","",VLOOKUP(#REF!,ФиКод[],9,0))</f>
        <v>#REF!</v>
      </c>
      <c r="F768" s="1" t="e">
        <f aca="false">IF(#REF!="","",VLOOKUP(#REF!,ФиКод[],10,0))</f>
        <v>#REF!</v>
      </c>
    </row>
    <row r="769" customFormat="false" ht="12.75" hidden="false" customHeight="false" outlineLevel="0" collapsed="false">
      <c r="A769" s="1" t="e">
        <f aca="false">IF(#REF!="","",VLOOKUP(#REF!,ФиКод[],8,0))</f>
        <v>#REF!</v>
      </c>
      <c r="E769" s="1" t="e">
        <f aca="false">IF(#REF!="","",VLOOKUP(#REF!,ФиКод[],9,0))</f>
        <v>#REF!</v>
      </c>
      <c r="F769" s="1" t="e">
        <f aca="false">IF(#REF!="","",VLOOKUP(#REF!,ФиКод[],10,0))</f>
        <v>#REF!</v>
      </c>
    </row>
    <row r="770" customFormat="false" ht="12.75" hidden="false" customHeight="false" outlineLevel="0" collapsed="false">
      <c r="A770" s="1" t="e">
        <f aca="false">IF(#REF!="","",VLOOKUP(#REF!,ФиКод[],8,0))</f>
        <v>#REF!</v>
      </c>
      <c r="E770" s="1" t="e">
        <f aca="false">IF(#REF!="","",VLOOKUP(#REF!,ФиКод[],9,0))</f>
        <v>#REF!</v>
      </c>
      <c r="F770" s="1" t="e">
        <f aca="false">IF(#REF!="","",VLOOKUP(#REF!,ФиКод[],10,0))</f>
        <v>#REF!</v>
      </c>
    </row>
    <row r="771" customFormat="false" ht="12.75" hidden="false" customHeight="false" outlineLevel="0" collapsed="false">
      <c r="A771" s="1" t="e">
        <f aca="false">IF(#REF!="","",VLOOKUP(#REF!,ФиКод[],8,0))</f>
        <v>#REF!</v>
      </c>
      <c r="E771" s="1" t="e">
        <f aca="false">IF(#REF!="","",VLOOKUP(#REF!,ФиКод[],9,0))</f>
        <v>#REF!</v>
      </c>
      <c r="F771" s="1" t="e">
        <f aca="false">IF(#REF!="","",VLOOKUP(#REF!,ФиКод[],10,0))</f>
        <v>#REF!</v>
      </c>
    </row>
    <row r="772" customFormat="false" ht="12.75" hidden="false" customHeight="false" outlineLevel="0" collapsed="false">
      <c r="A772" s="1" t="e">
        <f aca="false">IF(#REF!="","",VLOOKUP(#REF!,ФиКод[],8,0))</f>
        <v>#REF!</v>
      </c>
      <c r="E772" s="1" t="e">
        <f aca="false">IF(#REF!="","",VLOOKUP(#REF!,ФиКод[],9,0))</f>
        <v>#REF!</v>
      </c>
      <c r="F772" s="1" t="e">
        <f aca="false">IF(#REF!="","",VLOOKUP(#REF!,ФиКод[],10,0))</f>
        <v>#REF!</v>
      </c>
    </row>
    <row r="773" customFormat="false" ht="12.75" hidden="false" customHeight="false" outlineLevel="0" collapsed="false">
      <c r="A773" s="1" t="e">
        <f aca="false">IF(#REF!="","",VLOOKUP(#REF!,ФиКод[],8,0))</f>
        <v>#REF!</v>
      </c>
      <c r="E773" s="1" t="e">
        <f aca="false">IF(#REF!="","",VLOOKUP(#REF!,ФиКод[],9,0))</f>
        <v>#REF!</v>
      </c>
      <c r="F773" s="1" t="e">
        <f aca="false">IF(#REF!="","",VLOOKUP(#REF!,ФиКод[],10,0))</f>
        <v>#REF!</v>
      </c>
    </row>
    <row r="774" customFormat="false" ht="12.75" hidden="false" customHeight="false" outlineLevel="0" collapsed="false">
      <c r="A774" s="1" t="e">
        <f aca="false">IF(#REF!="","",VLOOKUP(#REF!,ФиКод[],8,0))</f>
        <v>#REF!</v>
      </c>
      <c r="E774" s="1" t="e">
        <f aca="false">IF(#REF!="","",VLOOKUP(#REF!,ФиКод[],9,0))</f>
        <v>#REF!</v>
      </c>
      <c r="F774" s="1" t="e">
        <f aca="false">IF(#REF!="","",VLOOKUP(#REF!,ФиКод[],10,0))</f>
        <v>#REF!</v>
      </c>
    </row>
    <row r="775" customFormat="false" ht="12.75" hidden="false" customHeight="false" outlineLevel="0" collapsed="false">
      <c r="A775" s="1" t="e">
        <f aca="false">IF(#REF!="","",VLOOKUP(#REF!,ФиКод[],8,0))</f>
        <v>#REF!</v>
      </c>
      <c r="E775" s="1" t="e">
        <f aca="false">IF(#REF!="","",VLOOKUP(#REF!,ФиКод[],9,0))</f>
        <v>#REF!</v>
      </c>
      <c r="F775" s="1" t="e">
        <f aca="false">IF(#REF!="","",VLOOKUP(#REF!,ФиКод[],10,0))</f>
        <v>#REF!</v>
      </c>
    </row>
    <row r="776" customFormat="false" ht="12.75" hidden="false" customHeight="false" outlineLevel="0" collapsed="false">
      <c r="A776" s="1" t="e">
        <f aca="false">IF(#REF!="","",VLOOKUP(#REF!,ФиКод[],8,0))</f>
        <v>#REF!</v>
      </c>
      <c r="E776" s="1" t="e">
        <f aca="false">IF(#REF!="","",VLOOKUP(#REF!,ФиКод[],9,0))</f>
        <v>#REF!</v>
      </c>
      <c r="F776" s="1" t="e">
        <f aca="false">IF(#REF!="","",VLOOKUP(#REF!,ФиКод[],10,0))</f>
        <v>#REF!</v>
      </c>
    </row>
    <row r="777" customFormat="false" ht="12.75" hidden="false" customHeight="false" outlineLevel="0" collapsed="false">
      <c r="A777" s="1" t="e">
        <f aca="false">IF(#REF!="","",VLOOKUP(#REF!,ФиКод[],8,0))</f>
        <v>#REF!</v>
      </c>
      <c r="E777" s="1" t="e">
        <f aca="false">IF(#REF!="","",VLOOKUP(#REF!,ФиКод[],9,0))</f>
        <v>#REF!</v>
      </c>
      <c r="F777" s="1" t="e">
        <f aca="false">IF(#REF!="","",VLOOKUP(#REF!,ФиКод[],10,0))</f>
        <v>#REF!</v>
      </c>
    </row>
    <row r="778" customFormat="false" ht="12.75" hidden="false" customHeight="false" outlineLevel="0" collapsed="false">
      <c r="A778" s="1" t="e">
        <f aca="false">IF(#REF!="","",VLOOKUP(#REF!,ФиКод[],8,0))</f>
        <v>#REF!</v>
      </c>
      <c r="E778" s="1" t="e">
        <f aca="false">IF(#REF!="","",VLOOKUP(#REF!,ФиКод[],9,0))</f>
        <v>#REF!</v>
      </c>
      <c r="F778" s="1" t="e">
        <f aca="false">IF(#REF!="","",VLOOKUP(#REF!,ФиКод[],10,0))</f>
        <v>#REF!</v>
      </c>
    </row>
    <row r="779" customFormat="false" ht="12.75" hidden="false" customHeight="false" outlineLevel="0" collapsed="false">
      <c r="A779" s="1" t="e">
        <f aca="false">IF(#REF!="","",VLOOKUP(#REF!,ФиКод[],8,0))</f>
        <v>#REF!</v>
      </c>
      <c r="E779" s="1" t="e">
        <f aca="false">IF(#REF!="","",VLOOKUP(#REF!,ФиКод[],9,0))</f>
        <v>#REF!</v>
      </c>
      <c r="F779" s="1" t="e">
        <f aca="false">IF(#REF!="","",VLOOKUP(#REF!,ФиКод[],10,0))</f>
        <v>#REF!</v>
      </c>
    </row>
    <row r="780" customFormat="false" ht="12.75" hidden="false" customHeight="false" outlineLevel="0" collapsed="false">
      <c r="A780" s="1" t="e">
        <f aca="false">IF(#REF!="","",VLOOKUP(#REF!,ФиКод[],8,0))</f>
        <v>#REF!</v>
      </c>
      <c r="E780" s="1" t="e">
        <f aca="false">IF(#REF!="","",VLOOKUP(#REF!,ФиКод[],9,0))</f>
        <v>#REF!</v>
      </c>
      <c r="F780" s="1" t="e">
        <f aca="false">IF(#REF!="","",VLOOKUP(#REF!,ФиКод[],10,0))</f>
        <v>#REF!</v>
      </c>
    </row>
    <row r="781" customFormat="false" ht="12.75" hidden="false" customHeight="false" outlineLevel="0" collapsed="false">
      <c r="A781" s="1" t="e">
        <f aca="false">IF(#REF!="","",VLOOKUP(#REF!,ФиКод[],8,0))</f>
        <v>#REF!</v>
      </c>
      <c r="E781" s="1" t="e">
        <f aca="false">IF(#REF!="","",VLOOKUP(#REF!,ФиКод[],9,0))</f>
        <v>#REF!</v>
      </c>
      <c r="F781" s="1" t="e">
        <f aca="false">IF(#REF!="","",VLOOKUP(#REF!,ФиКод[],10,0))</f>
        <v>#REF!</v>
      </c>
    </row>
    <row r="782" customFormat="false" ht="12.75" hidden="false" customHeight="false" outlineLevel="0" collapsed="false">
      <c r="A782" s="1" t="e">
        <f aca="false">IF(#REF!="","",VLOOKUP(#REF!,ФиКод[],8,0))</f>
        <v>#REF!</v>
      </c>
      <c r="E782" s="1" t="e">
        <f aca="false">IF(#REF!="","",VLOOKUP(#REF!,ФиКод[],9,0))</f>
        <v>#REF!</v>
      </c>
      <c r="F782" s="1" t="e">
        <f aca="false">IF(#REF!="","",VLOOKUP(#REF!,ФиКод[],10,0))</f>
        <v>#REF!</v>
      </c>
    </row>
    <row r="783" customFormat="false" ht="12.75" hidden="false" customHeight="false" outlineLevel="0" collapsed="false">
      <c r="A783" s="1" t="e">
        <f aca="false">IF(#REF!="","",VLOOKUP(#REF!,ФиКод[],8,0))</f>
        <v>#REF!</v>
      </c>
      <c r="E783" s="1" t="e">
        <f aca="false">IF(#REF!="","",VLOOKUP(#REF!,ФиКод[],9,0))</f>
        <v>#REF!</v>
      </c>
      <c r="F783" s="1" t="e">
        <f aca="false">IF(#REF!="","",VLOOKUP(#REF!,ФиКод[],10,0))</f>
        <v>#REF!</v>
      </c>
    </row>
    <row r="784" customFormat="false" ht="12.75" hidden="false" customHeight="false" outlineLevel="0" collapsed="false">
      <c r="A784" s="1" t="e">
        <f aca="false">IF(#REF!="","",VLOOKUP(#REF!,ФиКод[],8,0))</f>
        <v>#REF!</v>
      </c>
      <c r="E784" s="1" t="e">
        <f aca="false">IF(#REF!="","",VLOOKUP(#REF!,ФиКод[],9,0))</f>
        <v>#REF!</v>
      </c>
      <c r="F784" s="1" t="e">
        <f aca="false">IF(#REF!="","",VLOOKUP(#REF!,ФиКод[],10,0))</f>
        <v>#REF!</v>
      </c>
    </row>
    <row r="785" customFormat="false" ht="12.75" hidden="false" customHeight="false" outlineLevel="0" collapsed="false">
      <c r="A785" s="1" t="e">
        <f aca="false">IF(#REF!="","",VLOOKUP(#REF!,ФиКод[],8,0))</f>
        <v>#REF!</v>
      </c>
      <c r="E785" s="1" t="e">
        <f aca="false">IF(#REF!="","",VLOOKUP(#REF!,ФиКод[],9,0))</f>
        <v>#REF!</v>
      </c>
      <c r="F785" s="1" t="e">
        <f aca="false">IF(#REF!="","",VLOOKUP(#REF!,ФиКод[],10,0))</f>
        <v>#REF!</v>
      </c>
    </row>
    <row r="786" customFormat="false" ht="12.75" hidden="false" customHeight="false" outlineLevel="0" collapsed="false">
      <c r="A786" s="1" t="e">
        <f aca="false">IF(#REF!="","",VLOOKUP(#REF!,ФиКод[],8,0))</f>
        <v>#REF!</v>
      </c>
      <c r="E786" s="1" t="e">
        <f aca="false">IF(#REF!="","",VLOOKUP(#REF!,ФиКод[],9,0))</f>
        <v>#REF!</v>
      </c>
      <c r="F786" s="1" t="e">
        <f aca="false">IF(#REF!="","",VLOOKUP(#REF!,ФиКод[],10,0))</f>
        <v>#REF!</v>
      </c>
    </row>
    <row r="787" customFormat="false" ht="12.75" hidden="false" customHeight="false" outlineLevel="0" collapsed="false">
      <c r="A787" s="1" t="e">
        <f aca="false">IF(#REF!="","",VLOOKUP(#REF!,ФиКод[],8,0))</f>
        <v>#REF!</v>
      </c>
      <c r="E787" s="1" t="e">
        <f aca="false">IF(#REF!="","",VLOOKUP(#REF!,ФиКод[],9,0))</f>
        <v>#REF!</v>
      </c>
      <c r="F787" s="1" t="e">
        <f aca="false">IF(#REF!="","",VLOOKUP(#REF!,ФиКод[],10,0))</f>
        <v>#REF!</v>
      </c>
    </row>
    <row r="788" customFormat="false" ht="12.75" hidden="false" customHeight="false" outlineLevel="0" collapsed="false">
      <c r="A788" s="1" t="e">
        <f aca="false">IF(#REF!="","",VLOOKUP(#REF!,ФиКод[],8,0))</f>
        <v>#REF!</v>
      </c>
      <c r="E788" s="1" t="e">
        <f aca="false">IF(#REF!="","",VLOOKUP(#REF!,ФиКод[],9,0))</f>
        <v>#REF!</v>
      </c>
      <c r="F788" s="1" t="e">
        <f aca="false">IF(#REF!="","",VLOOKUP(#REF!,ФиКод[],10,0))</f>
        <v>#REF!</v>
      </c>
    </row>
    <row r="789" customFormat="false" ht="12.75" hidden="false" customHeight="false" outlineLevel="0" collapsed="false">
      <c r="A789" s="1" t="e">
        <f aca="false">IF(#REF!="","",VLOOKUP(#REF!,ФиКод[],8,0))</f>
        <v>#REF!</v>
      </c>
      <c r="E789" s="1" t="e">
        <f aca="false">IF(#REF!="","",VLOOKUP(#REF!,ФиКод[],9,0))</f>
        <v>#REF!</v>
      </c>
      <c r="F789" s="1" t="e">
        <f aca="false">IF(#REF!="","",VLOOKUP(#REF!,ФиКод[],10,0))</f>
        <v>#REF!</v>
      </c>
    </row>
    <row r="790" customFormat="false" ht="12.75" hidden="false" customHeight="false" outlineLevel="0" collapsed="false">
      <c r="A790" s="1" t="e">
        <f aca="false">IF(#REF!="","",VLOOKUP(#REF!,ФиКод[],8,0))</f>
        <v>#REF!</v>
      </c>
      <c r="E790" s="1" t="e">
        <f aca="false">IF(#REF!="","",VLOOKUP(#REF!,ФиКод[],9,0))</f>
        <v>#REF!</v>
      </c>
      <c r="F790" s="1" t="e">
        <f aca="false">IF(#REF!="","",VLOOKUP(#REF!,ФиКод[],10,0))</f>
        <v>#REF!</v>
      </c>
    </row>
    <row r="791" customFormat="false" ht="12.75" hidden="false" customHeight="false" outlineLevel="0" collapsed="false">
      <c r="A791" s="1" t="e">
        <f aca="false">IF(#REF!="","",VLOOKUP(#REF!,ФиКод[],8,0))</f>
        <v>#REF!</v>
      </c>
      <c r="E791" s="1" t="e">
        <f aca="false">IF(#REF!="","",VLOOKUP(#REF!,ФиКод[],9,0))</f>
        <v>#REF!</v>
      </c>
      <c r="F791" s="1" t="e">
        <f aca="false">IF(#REF!="","",VLOOKUP(#REF!,ФиКод[],10,0))</f>
        <v>#REF!</v>
      </c>
    </row>
    <row r="792" customFormat="false" ht="12.75" hidden="false" customHeight="false" outlineLevel="0" collapsed="false">
      <c r="A792" s="1" t="e">
        <f aca="false">IF(#REF!="","",VLOOKUP(#REF!,ФиКод[],8,0))</f>
        <v>#REF!</v>
      </c>
      <c r="E792" s="1" t="e">
        <f aca="false">IF(#REF!="","",VLOOKUP(#REF!,ФиКод[],9,0))</f>
        <v>#REF!</v>
      </c>
      <c r="F792" s="1" t="e">
        <f aca="false">IF(#REF!="","",VLOOKUP(#REF!,ФиКод[],10,0))</f>
        <v>#REF!</v>
      </c>
    </row>
    <row r="793" customFormat="false" ht="12.75" hidden="false" customHeight="false" outlineLevel="0" collapsed="false">
      <c r="A793" s="1" t="e">
        <f aca="false">IF(#REF!="","",VLOOKUP(#REF!,ФиКод[],8,0))</f>
        <v>#REF!</v>
      </c>
      <c r="E793" s="1" t="e">
        <f aca="false">IF(#REF!="","",VLOOKUP(#REF!,ФиКод[],9,0))</f>
        <v>#REF!</v>
      </c>
      <c r="F793" s="1" t="e">
        <f aca="false">IF(#REF!="","",VLOOKUP(#REF!,ФиКод[],10,0))</f>
        <v>#REF!</v>
      </c>
    </row>
    <row r="794" customFormat="false" ht="12.75" hidden="false" customHeight="false" outlineLevel="0" collapsed="false">
      <c r="A794" s="1" t="e">
        <f aca="false">IF(#REF!="","",VLOOKUP(#REF!,ФиКод[],8,0))</f>
        <v>#REF!</v>
      </c>
      <c r="E794" s="1" t="e">
        <f aca="false">IF(#REF!="","",VLOOKUP(#REF!,ФиКод[],9,0))</f>
        <v>#REF!</v>
      </c>
      <c r="F794" s="1" t="e">
        <f aca="false">IF(#REF!="","",VLOOKUP(#REF!,ФиКод[],10,0))</f>
        <v>#REF!</v>
      </c>
    </row>
    <row r="795" customFormat="false" ht="12.75" hidden="false" customHeight="false" outlineLevel="0" collapsed="false">
      <c r="A795" s="1" t="e">
        <f aca="false">IF(#REF!="","",VLOOKUP(#REF!,ФиКод[],8,0))</f>
        <v>#REF!</v>
      </c>
      <c r="E795" s="1" t="e">
        <f aca="false">IF(#REF!="","",VLOOKUP(#REF!,ФиКод[],9,0))</f>
        <v>#REF!</v>
      </c>
      <c r="F795" s="1" t="e">
        <f aca="false">IF(#REF!="","",VLOOKUP(#REF!,ФиКод[],10,0))</f>
        <v>#REF!</v>
      </c>
    </row>
    <row r="796" customFormat="false" ht="12.75" hidden="false" customHeight="false" outlineLevel="0" collapsed="false">
      <c r="A796" s="1" t="e">
        <f aca="false">IF(#REF!="","",VLOOKUP(#REF!,ФиКод[],8,0))</f>
        <v>#REF!</v>
      </c>
      <c r="E796" s="1" t="e">
        <f aca="false">IF(#REF!="","",VLOOKUP(#REF!,ФиКод[],9,0))</f>
        <v>#REF!</v>
      </c>
      <c r="F796" s="1" t="e">
        <f aca="false">IF(#REF!="","",VLOOKUP(#REF!,ФиКод[],10,0))</f>
        <v>#REF!</v>
      </c>
    </row>
    <row r="797" customFormat="false" ht="12.75" hidden="false" customHeight="false" outlineLevel="0" collapsed="false">
      <c r="A797" s="1" t="e">
        <f aca="false">IF(#REF!="","",VLOOKUP(#REF!,ФиКод[],8,0))</f>
        <v>#REF!</v>
      </c>
      <c r="E797" s="1" t="e">
        <f aca="false">IF(#REF!="","",VLOOKUP(#REF!,ФиКод[],9,0))</f>
        <v>#REF!</v>
      </c>
      <c r="F797" s="1" t="e">
        <f aca="false">IF(#REF!="","",VLOOKUP(#REF!,ФиКод[],10,0))</f>
        <v>#REF!</v>
      </c>
    </row>
    <row r="798" customFormat="false" ht="12.75" hidden="false" customHeight="false" outlineLevel="0" collapsed="false">
      <c r="A798" s="1" t="e">
        <f aca="false">IF(#REF!="","",VLOOKUP(#REF!,ФиКод[],8,0))</f>
        <v>#REF!</v>
      </c>
      <c r="E798" s="1" t="e">
        <f aca="false">IF(#REF!="","",VLOOKUP(#REF!,ФиКод[],9,0))</f>
        <v>#REF!</v>
      </c>
      <c r="F798" s="1" t="e">
        <f aca="false">IF(#REF!="","",VLOOKUP(#REF!,ФиКод[],10,0))</f>
        <v>#REF!</v>
      </c>
    </row>
    <row r="799" customFormat="false" ht="12.75" hidden="false" customHeight="false" outlineLevel="0" collapsed="false">
      <c r="A799" s="1" t="e">
        <f aca="false">IF(#REF!="","",VLOOKUP(#REF!,ФиКод[],8,0))</f>
        <v>#REF!</v>
      </c>
      <c r="E799" s="1" t="e">
        <f aca="false">IF(#REF!="","",VLOOKUP(#REF!,ФиКод[],9,0))</f>
        <v>#REF!</v>
      </c>
      <c r="F799" s="1" t="e">
        <f aca="false">IF(#REF!="","",VLOOKUP(#REF!,ФиКод[],10,0))</f>
        <v>#REF!</v>
      </c>
    </row>
    <row r="800" customFormat="false" ht="12.75" hidden="false" customHeight="false" outlineLevel="0" collapsed="false">
      <c r="A800" s="1" t="e">
        <f aca="false">IF(#REF!="","",VLOOKUP(#REF!,ФиКод[],8,0))</f>
        <v>#REF!</v>
      </c>
      <c r="E800" s="1" t="e">
        <f aca="false">IF(#REF!="","",VLOOKUP(#REF!,ФиКод[],9,0))</f>
        <v>#REF!</v>
      </c>
      <c r="F800" s="1" t="e">
        <f aca="false">IF(#REF!="","",VLOOKUP(#REF!,ФиКод[],10,0))</f>
        <v>#REF!</v>
      </c>
    </row>
    <row r="801" customFormat="false" ht="12.75" hidden="false" customHeight="false" outlineLevel="0" collapsed="false">
      <c r="A801" s="1" t="e">
        <f aca="false">IF(#REF!="","",VLOOKUP(#REF!,ФиКод[],8,0))</f>
        <v>#REF!</v>
      </c>
      <c r="E801" s="1" t="e">
        <f aca="false">IF(#REF!="","",VLOOKUP(#REF!,ФиКод[],9,0))</f>
        <v>#REF!</v>
      </c>
      <c r="F801" s="1" t="e">
        <f aca="false">IF(#REF!="","",VLOOKUP(#REF!,ФиКод[],10,0))</f>
        <v>#REF!</v>
      </c>
    </row>
    <row r="802" customFormat="false" ht="12.75" hidden="false" customHeight="false" outlineLevel="0" collapsed="false">
      <c r="A802" s="1" t="e">
        <f aca="false">IF(#REF!="","",VLOOKUP(#REF!,ФиКод[],8,0))</f>
        <v>#REF!</v>
      </c>
      <c r="E802" s="1" t="e">
        <f aca="false">IF(#REF!="","",VLOOKUP(#REF!,ФиКод[],9,0))</f>
        <v>#REF!</v>
      </c>
      <c r="F802" s="1" t="e">
        <f aca="false">IF(#REF!="","",VLOOKUP(#REF!,ФиКод[],10,0))</f>
        <v>#REF!</v>
      </c>
    </row>
    <row r="803" customFormat="false" ht="12.75" hidden="false" customHeight="false" outlineLevel="0" collapsed="false">
      <c r="A803" s="1" t="e">
        <f aca="false">IF(#REF!="","",VLOOKUP(#REF!,ФиКод[],8,0))</f>
        <v>#REF!</v>
      </c>
      <c r="E803" s="1" t="e">
        <f aca="false">IF(#REF!="","",VLOOKUP(#REF!,ФиКод[],9,0))</f>
        <v>#REF!</v>
      </c>
      <c r="F803" s="1" t="e">
        <f aca="false">IF(#REF!="","",VLOOKUP(#REF!,ФиКод[],10,0))</f>
        <v>#REF!</v>
      </c>
    </row>
    <row r="804" customFormat="false" ht="12.75" hidden="false" customHeight="false" outlineLevel="0" collapsed="false">
      <c r="A804" s="1" t="e">
        <f aca="false">IF(#REF!="","",VLOOKUP(#REF!,ФиКод[],8,0))</f>
        <v>#REF!</v>
      </c>
      <c r="E804" s="1" t="e">
        <f aca="false">IF(#REF!="","",VLOOKUP(#REF!,ФиКод[],9,0))</f>
        <v>#REF!</v>
      </c>
      <c r="F804" s="1" t="e">
        <f aca="false">IF(#REF!="","",VLOOKUP(#REF!,ФиКод[],10,0))</f>
        <v>#REF!</v>
      </c>
    </row>
    <row r="805" customFormat="false" ht="12.75" hidden="false" customHeight="false" outlineLevel="0" collapsed="false">
      <c r="A805" s="1" t="e">
        <f aca="false">IF(#REF!="","",VLOOKUP(#REF!,ФиКод[],8,0))</f>
        <v>#REF!</v>
      </c>
      <c r="E805" s="1" t="e">
        <f aca="false">IF(#REF!="","",VLOOKUP(#REF!,ФиКод[],9,0))</f>
        <v>#REF!</v>
      </c>
      <c r="F805" s="1" t="e">
        <f aca="false">IF(#REF!="","",VLOOKUP(#REF!,ФиКод[],10,0))</f>
        <v>#REF!</v>
      </c>
    </row>
    <row r="806" customFormat="false" ht="12.75" hidden="false" customHeight="false" outlineLevel="0" collapsed="false">
      <c r="A806" s="1" t="e">
        <f aca="false">IF(#REF!="","",VLOOKUP(#REF!,ФиКод[],8,0))</f>
        <v>#REF!</v>
      </c>
      <c r="E806" s="1" t="e">
        <f aca="false">IF(#REF!="","",VLOOKUP(#REF!,ФиКод[],9,0))</f>
        <v>#REF!</v>
      </c>
      <c r="F806" s="1" t="e">
        <f aca="false">IF(#REF!="","",VLOOKUP(#REF!,ФиКод[],10,0))</f>
        <v>#REF!</v>
      </c>
    </row>
    <row r="807" customFormat="false" ht="12.75" hidden="false" customHeight="false" outlineLevel="0" collapsed="false">
      <c r="A807" s="1" t="e">
        <f aca="false">IF(#REF!="","",VLOOKUP(#REF!,ФиКод[],8,0))</f>
        <v>#REF!</v>
      </c>
      <c r="E807" s="1" t="e">
        <f aca="false">IF(#REF!="","",VLOOKUP(#REF!,ФиКод[],9,0))</f>
        <v>#REF!</v>
      </c>
      <c r="F807" s="1" t="e">
        <f aca="false">IF(#REF!="","",VLOOKUP(#REF!,ФиКод[],10,0))</f>
        <v>#REF!</v>
      </c>
    </row>
    <row r="808" customFormat="false" ht="12.75" hidden="false" customHeight="false" outlineLevel="0" collapsed="false">
      <c r="A808" s="1" t="e">
        <f aca="false">IF(#REF!="","",VLOOKUP(#REF!,ФиКод[],8,0))</f>
        <v>#REF!</v>
      </c>
      <c r="E808" s="1" t="e">
        <f aca="false">IF(#REF!="","",VLOOKUP(#REF!,ФиКод[],9,0))</f>
        <v>#REF!</v>
      </c>
      <c r="F808" s="1" t="e">
        <f aca="false">IF(#REF!="","",VLOOKUP(#REF!,ФиКод[],10,0))</f>
        <v>#REF!</v>
      </c>
    </row>
    <row r="809" customFormat="false" ht="12.75" hidden="false" customHeight="false" outlineLevel="0" collapsed="false">
      <c r="A809" s="1" t="e">
        <f aca="false">IF(#REF!="","",VLOOKUP(#REF!,ФиКод[],8,0))</f>
        <v>#REF!</v>
      </c>
      <c r="E809" s="1" t="e">
        <f aca="false">IF(#REF!="","",VLOOKUP(#REF!,ФиКод[],9,0))</f>
        <v>#REF!</v>
      </c>
      <c r="F809" s="1" t="e">
        <f aca="false">IF(#REF!="","",VLOOKUP(#REF!,ФиКод[],10,0))</f>
        <v>#REF!</v>
      </c>
    </row>
    <row r="810" customFormat="false" ht="12.75" hidden="false" customHeight="false" outlineLevel="0" collapsed="false">
      <c r="A810" s="1" t="e">
        <f aca="false">IF(#REF!="","",VLOOKUP(#REF!,ФиКод[],8,0))</f>
        <v>#REF!</v>
      </c>
      <c r="E810" s="1" t="e">
        <f aca="false">IF(#REF!="","",VLOOKUP(#REF!,ФиКод[],9,0))</f>
        <v>#REF!</v>
      </c>
      <c r="F810" s="1" t="e">
        <f aca="false">IF(#REF!="","",VLOOKUP(#REF!,ФиКод[],10,0))</f>
        <v>#REF!</v>
      </c>
    </row>
    <row r="811" customFormat="false" ht="12.75" hidden="false" customHeight="false" outlineLevel="0" collapsed="false">
      <c r="A811" s="1" t="e">
        <f aca="false">IF(#REF!="","",VLOOKUP(#REF!,ФиКод[],8,0))</f>
        <v>#REF!</v>
      </c>
      <c r="E811" s="1" t="e">
        <f aca="false">IF(#REF!="","",VLOOKUP(#REF!,ФиКод[],9,0))</f>
        <v>#REF!</v>
      </c>
      <c r="F811" s="1" t="e">
        <f aca="false">IF(#REF!="","",VLOOKUP(#REF!,ФиКод[],10,0))</f>
        <v>#REF!</v>
      </c>
    </row>
    <row r="812" customFormat="false" ht="12.75" hidden="false" customHeight="false" outlineLevel="0" collapsed="false">
      <c r="A812" s="1" t="e">
        <f aca="false">IF(#REF!="","",VLOOKUP(#REF!,ФиКод[],8,0))</f>
        <v>#REF!</v>
      </c>
      <c r="E812" s="1" t="e">
        <f aca="false">IF(#REF!="","",VLOOKUP(#REF!,ФиКод[],9,0))</f>
        <v>#REF!</v>
      </c>
      <c r="F812" s="1" t="e">
        <f aca="false">IF(#REF!="","",VLOOKUP(#REF!,ФиКод[],10,0))</f>
        <v>#REF!</v>
      </c>
    </row>
    <row r="813" customFormat="false" ht="12.75" hidden="false" customHeight="false" outlineLevel="0" collapsed="false">
      <c r="A813" s="1" t="e">
        <f aca="false">IF(#REF!="","",VLOOKUP(#REF!,ФиКод[],8,0))</f>
        <v>#REF!</v>
      </c>
      <c r="E813" s="1" t="e">
        <f aca="false">IF(#REF!="","",VLOOKUP(#REF!,ФиКод[],9,0))</f>
        <v>#REF!</v>
      </c>
      <c r="F813" s="1" t="e">
        <f aca="false">IF(#REF!="","",VLOOKUP(#REF!,ФиКод[],10,0))</f>
        <v>#REF!</v>
      </c>
    </row>
    <row r="814" customFormat="false" ht="12.75" hidden="false" customHeight="false" outlineLevel="0" collapsed="false">
      <c r="A814" s="1" t="e">
        <f aca="false">IF(#REF!="","",VLOOKUP(#REF!,ФиКод[],8,0))</f>
        <v>#REF!</v>
      </c>
      <c r="E814" s="1" t="e">
        <f aca="false">IF(#REF!="","",VLOOKUP(#REF!,ФиКод[],9,0))</f>
        <v>#REF!</v>
      </c>
      <c r="F814" s="1" t="e">
        <f aca="false">IF(#REF!="","",VLOOKUP(#REF!,ФиКод[],10,0))</f>
        <v>#REF!</v>
      </c>
    </row>
    <row r="815" customFormat="false" ht="12.75" hidden="false" customHeight="false" outlineLevel="0" collapsed="false">
      <c r="A815" s="1" t="e">
        <f aca="false">IF(#REF!="","",VLOOKUP(#REF!,ФиКод[],8,0))</f>
        <v>#REF!</v>
      </c>
      <c r="E815" s="1" t="e">
        <f aca="false">IF(#REF!="","",VLOOKUP(#REF!,ФиКод[],9,0))</f>
        <v>#REF!</v>
      </c>
      <c r="F815" s="1" t="e">
        <f aca="false">IF(#REF!="","",VLOOKUP(#REF!,ФиКод[],10,0))</f>
        <v>#REF!</v>
      </c>
    </row>
    <row r="816" customFormat="false" ht="12.75" hidden="false" customHeight="false" outlineLevel="0" collapsed="false">
      <c r="A816" s="1" t="e">
        <f aca="false">IF(#REF!="","",VLOOKUP(#REF!,ФиКод[],8,0))</f>
        <v>#REF!</v>
      </c>
      <c r="E816" s="1" t="e">
        <f aca="false">IF(#REF!="","",VLOOKUP(#REF!,ФиКод[],9,0))</f>
        <v>#REF!</v>
      </c>
      <c r="F816" s="1" t="e">
        <f aca="false">IF(#REF!="","",VLOOKUP(#REF!,ФиКод[],10,0))</f>
        <v>#REF!</v>
      </c>
    </row>
    <row r="817" customFormat="false" ht="12.75" hidden="false" customHeight="false" outlineLevel="0" collapsed="false">
      <c r="A817" s="1" t="e">
        <f aca="false">IF(#REF!="","",VLOOKUP(#REF!,ФиКод[],8,0))</f>
        <v>#REF!</v>
      </c>
      <c r="E817" s="1" t="e">
        <f aca="false">IF(#REF!="","",VLOOKUP(#REF!,ФиКод[],9,0))</f>
        <v>#REF!</v>
      </c>
      <c r="F817" s="1" t="e">
        <f aca="false">IF(#REF!="","",VLOOKUP(#REF!,ФиКод[],10,0))</f>
        <v>#REF!</v>
      </c>
    </row>
    <row r="818" customFormat="false" ht="12.75" hidden="false" customHeight="false" outlineLevel="0" collapsed="false">
      <c r="A818" s="1" t="e">
        <f aca="false">IF(#REF!="","",VLOOKUP(#REF!,ФиКод[],8,0))</f>
        <v>#REF!</v>
      </c>
      <c r="E818" s="1" t="e">
        <f aca="false">IF(#REF!="","",VLOOKUP(#REF!,ФиКод[],9,0))</f>
        <v>#REF!</v>
      </c>
      <c r="F818" s="1" t="e">
        <f aca="false">IF(#REF!="","",VLOOKUP(#REF!,ФиКод[],10,0))</f>
        <v>#REF!</v>
      </c>
    </row>
    <row r="819" customFormat="false" ht="12.75" hidden="false" customHeight="false" outlineLevel="0" collapsed="false">
      <c r="A819" s="1" t="e">
        <f aca="false">IF(#REF!="","",VLOOKUP(#REF!,ФиКод[],8,0))</f>
        <v>#REF!</v>
      </c>
      <c r="E819" s="1" t="e">
        <f aca="false">IF(#REF!="","",VLOOKUP(#REF!,ФиКод[],9,0))</f>
        <v>#REF!</v>
      </c>
      <c r="F819" s="1" t="e">
        <f aca="false">IF(#REF!="","",VLOOKUP(#REF!,ФиКод[],10,0))</f>
        <v>#REF!</v>
      </c>
    </row>
    <row r="820" customFormat="false" ht="12.75" hidden="false" customHeight="false" outlineLevel="0" collapsed="false">
      <c r="A820" s="1" t="e">
        <f aca="false">IF(#REF!="","",VLOOKUP(#REF!,ФиКод[],8,0))</f>
        <v>#REF!</v>
      </c>
      <c r="E820" s="1" t="e">
        <f aca="false">IF(#REF!="","",VLOOKUP(#REF!,ФиКод[],9,0))</f>
        <v>#REF!</v>
      </c>
      <c r="F820" s="1" t="e">
        <f aca="false">IF(#REF!="","",VLOOKUP(#REF!,ФиКод[],10,0))</f>
        <v>#REF!</v>
      </c>
    </row>
    <row r="821" customFormat="false" ht="12.75" hidden="false" customHeight="false" outlineLevel="0" collapsed="false">
      <c r="A821" s="1" t="e">
        <f aca="false">IF(#REF!="","",VLOOKUP(#REF!,ФиКод[],8,0))</f>
        <v>#REF!</v>
      </c>
      <c r="E821" s="1" t="e">
        <f aca="false">IF(#REF!="","",VLOOKUP(#REF!,ФиКод[],9,0))</f>
        <v>#REF!</v>
      </c>
      <c r="F821" s="1" t="e">
        <f aca="false">IF(#REF!="","",VLOOKUP(#REF!,ФиКод[],10,0))</f>
        <v>#REF!</v>
      </c>
    </row>
    <row r="822" customFormat="false" ht="12.75" hidden="false" customHeight="false" outlineLevel="0" collapsed="false">
      <c r="A822" s="1" t="e">
        <f aca="false">IF(#REF!="","",VLOOKUP(#REF!,ФиКод[],8,0))</f>
        <v>#REF!</v>
      </c>
      <c r="E822" s="1" t="e">
        <f aca="false">IF(#REF!="","",VLOOKUP(#REF!,ФиКод[],9,0))</f>
        <v>#REF!</v>
      </c>
      <c r="F822" s="1" t="e">
        <f aca="false">IF(#REF!="","",VLOOKUP(#REF!,ФиКод[],10,0))</f>
        <v>#REF!</v>
      </c>
    </row>
    <row r="823" customFormat="false" ht="12.75" hidden="false" customHeight="false" outlineLevel="0" collapsed="false">
      <c r="A823" s="1" t="e">
        <f aca="false">IF(#REF!="","",VLOOKUP(#REF!,ФиКод[],8,0))</f>
        <v>#REF!</v>
      </c>
      <c r="E823" s="1" t="e">
        <f aca="false">IF(#REF!="","",VLOOKUP(#REF!,ФиКод[],9,0))</f>
        <v>#REF!</v>
      </c>
      <c r="F823" s="1" t="e">
        <f aca="false">IF(#REF!="","",VLOOKUP(#REF!,ФиКод[],10,0))</f>
        <v>#REF!</v>
      </c>
    </row>
    <row r="824" customFormat="false" ht="12.75" hidden="false" customHeight="false" outlineLevel="0" collapsed="false">
      <c r="A824" s="1" t="e">
        <f aca="false">IF(#REF!="","",VLOOKUP(#REF!,ФиКод[],8,0))</f>
        <v>#REF!</v>
      </c>
      <c r="E824" s="1" t="e">
        <f aca="false">IF(#REF!="","",VLOOKUP(#REF!,ФиКод[],9,0))</f>
        <v>#REF!</v>
      </c>
      <c r="F824" s="1" t="e">
        <f aca="false">IF(#REF!="","",VLOOKUP(#REF!,ФиКод[],10,0))</f>
        <v>#REF!</v>
      </c>
    </row>
    <row r="825" customFormat="false" ht="12.75" hidden="false" customHeight="false" outlineLevel="0" collapsed="false">
      <c r="A825" s="1" t="e">
        <f aca="false">IF(#REF!="","",VLOOKUP(#REF!,ФиКод[],8,0))</f>
        <v>#REF!</v>
      </c>
      <c r="E825" s="1" t="e">
        <f aca="false">IF(#REF!="","",VLOOKUP(#REF!,ФиКод[],9,0))</f>
        <v>#REF!</v>
      </c>
      <c r="F825" s="1" t="e">
        <f aca="false">IF(#REF!="","",VLOOKUP(#REF!,ФиКод[],10,0))</f>
        <v>#REF!</v>
      </c>
    </row>
    <row r="826" customFormat="false" ht="12.75" hidden="false" customHeight="false" outlineLevel="0" collapsed="false">
      <c r="A826" s="1" t="e">
        <f aca="false">IF(#REF!="","",VLOOKUP(#REF!,ФиКод[],8,0))</f>
        <v>#REF!</v>
      </c>
      <c r="E826" s="1" t="e">
        <f aca="false">IF(#REF!="","",VLOOKUP(#REF!,ФиКод[],9,0))</f>
        <v>#REF!</v>
      </c>
      <c r="F826" s="1" t="e">
        <f aca="false">IF(#REF!="","",VLOOKUP(#REF!,ФиКод[],10,0))</f>
        <v>#REF!</v>
      </c>
    </row>
    <row r="827" customFormat="false" ht="12.75" hidden="false" customHeight="false" outlineLevel="0" collapsed="false">
      <c r="A827" s="1" t="e">
        <f aca="false">IF(#REF!="","",VLOOKUP(#REF!,ФиКод[],8,0))</f>
        <v>#REF!</v>
      </c>
      <c r="E827" s="1" t="e">
        <f aca="false">IF(#REF!="","",VLOOKUP(#REF!,ФиКод[],9,0))</f>
        <v>#REF!</v>
      </c>
      <c r="F827" s="1" t="e">
        <f aca="false">IF(#REF!="","",VLOOKUP(#REF!,ФиКод[],10,0))</f>
        <v>#REF!</v>
      </c>
    </row>
    <row r="828" customFormat="false" ht="12.75" hidden="false" customHeight="false" outlineLevel="0" collapsed="false">
      <c r="A828" s="1" t="e">
        <f aca="false">IF(#REF!="","",VLOOKUP(#REF!,ФиКод[],8,0))</f>
        <v>#REF!</v>
      </c>
      <c r="E828" s="1" t="e">
        <f aca="false">IF(#REF!="","",VLOOKUP(#REF!,ФиКод[],9,0))</f>
        <v>#REF!</v>
      </c>
      <c r="F828" s="1" t="e">
        <f aca="false">IF(#REF!="","",VLOOKUP(#REF!,ФиКод[],10,0))</f>
        <v>#REF!</v>
      </c>
    </row>
    <row r="829" customFormat="false" ht="12.75" hidden="false" customHeight="false" outlineLevel="0" collapsed="false">
      <c r="A829" s="1" t="e">
        <f aca="false">IF(#REF!="","",VLOOKUP(#REF!,ФиКод[],8,0))</f>
        <v>#REF!</v>
      </c>
      <c r="E829" s="1" t="e">
        <f aca="false">IF(#REF!="","",VLOOKUP(#REF!,ФиКод[],9,0))</f>
        <v>#REF!</v>
      </c>
      <c r="F829" s="1" t="e">
        <f aca="false">IF(#REF!="","",VLOOKUP(#REF!,ФиКод[],10,0))</f>
        <v>#REF!</v>
      </c>
    </row>
    <row r="830" customFormat="false" ht="12.75" hidden="false" customHeight="false" outlineLevel="0" collapsed="false">
      <c r="A830" s="1" t="e">
        <f aca="false">IF(#REF!="","",VLOOKUP(#REF!,ФиКод[],8,0))</f>
        <v>#REF!</v>
      </c>
      <c r="E830" s="1" t="e">
        <f aca="false">IF(#REF!="","",VLOOKUP(#REF!,ФиКод[],9,0))</f>
        <v>#REF!</v>
      </c>
      <c r="F830" s="1" t="e">
        <f aca="false">IF(#REF!="","",VLOOKUP(#REF!,ФиКод[],10,0))</f>
        <v>#REF!</v>
      </c>
    </row>
    <row r="831" customFormat="false" ht="12.75" hidden="false" customHeight="false" outlineLevel="0" collapsed="false">
      <c r="A831" s="1" t="e">
        <f aca="false">IF(#REF!="","",VLOOKUP(#REF!,ФиКод[],8,0))</f>
        <v>#REF!</v>
      </c>
      <c r="E831" s="1" t="e">
        <f aca="false">IF(#REF!="","",VLOOKUP(#REF!,ФиКод[],9,0))</f>
        <v>#REF!</v>
      </c>
      <c r="F831" s="1" t="e">
        <f aca="false">IF(#REF!="","",VLOOKUP(#REF!,ФиКод[],10,0))</f>
        <v>#REF!</v>
      </c>
    </row>
    <row r="832" customFormat="false" ht="12.75" hidden="false" customHeight="false" outlineLevel="0" collapsed="false">
      <c r="A832" s="1" t="e">
        <f aca="false">IF(#REF!="","",VLOOKUP(#REF!,ФиКод[],8,0))</f>
        <v>#REF!</v>
      </c>
      <c r="E832" s="1" t="e">
        <f aca="false">IF(#REF!="","",VLOOKUP(#REF!,ФиКод[],9,0))</f>
        <v>#REF!</v>
      </c>
      <c r="F832" s="1" t="e">
        <f aca="false">IF(#REF!="","",VLOOKUP(#REF!,ФиКод[],10,0))</f>
        <v>#REF!</v>
      </c>
    </row>
    <row r="833" customFormat="false" ht="12.75" hidden="false" customHeight="false" outlineLevel="0" collapsed="false">
      <c r="A833" s="1" t="e">
        <f aca="false">IF(#REF!="","",VLOOKUP(#REF!,ФиКод[],8,0))</f>
        <v>#REF!</v>
      </c>
      <c r="E833" s="1" t="e">
        <f aca="false">IF(#REF!="","",VLOOKUP(#REF!,ФиКод[],9,0))</f>
        <v>#REF!</v>
      </c>
      <c r="F833" s="1" t="e">
        <f aca="false">IF(#REF!="","",VLOOKUP(#REF!,ФиКод[],10,0))</f>
        <v>#REF!</v>
      </c>
    </row>
    <row r="834" customFormat="false" ht="12.75" hidden="false" customHeight="false" outlineLevel="0" collapsed="false">
      <c r="A834" s="1" t="e">
        <f aca="false">IF(#REF!="","",VLOOKUP(#REF!,ФиКод[],8,0))</f>
        <v>#REF!</v>
      </c>
      <c r="E834" s="1" t="e">
        <f aca="false">IF(#REF!="","",VLOOKUP(#REF!,ФиКод[],9,0))</f>
        <v>#REF!</v>
      </c>
      <c r="F834" s="1" t="e">
        <f aca="false">IF(#REF!="","",VLOOKUP(#REF!,ФиКод[],10,0))</f>
        <v>#REF!</v>
      </c>
    </row>
    <row r="835" customFormat="false" ht="12.75" hidden="false" customHeight="false" outlineLevel="0" collapsed="false">
      <c r="A835" s="1" t="e">
        <f aca="false">IF(#REF!="","",VLOOKUP(#REF!,ФиКод[],8,0))</f>
        <v>#REF!</v>
      </c>
      <c r="E835" s="1" t="e">
        <f aca="false">IF(#REF!="","",VLOOKUP(#REF!,ФиКод[],9,0))</f>
        <v>#REF!</v>
      </c>
      <c r="F835" s="1" t="e">
        <f aca="false">IF(#REF!="","",VLOOKUP(#REF!,ФиКод[],10,0))</f>
        <v>#REF!</v>
      </c>
    </row>
    <row r="836" customFormat="false" ht="12.75" hidden="false" customHeight="false" outlineLevel="0" collapsed="false">
      <c r="A836" s="1" t="e">
        <f aca="false">IF(#REF!="","",VLOOKUP(#REF!,ФиКод[],8,0))</f>
        <v>#REF!</v>
      </c>
      <c r="E836" s="1" t="e">
        <f aca="false">IF(#REF!="","",VLOOKUP(#REF!,ФиКод[],9,0))</f>
        <v>#REF!</v>
      </c>
      <c r="F836" s="1" t="e">
        <f aca="false">IF(#REF!="","",VLOOKUP(#REF!,ФиКод[],10,0))</f>
        <v>#REF!</v>
      </c>
    </row>
    <row r="837" customFormat="false" ht="12.75" hidden="false" customHeight="false" outlineLevel="0" collapsed="false">
      <c r="A837" s="1" t="e">
        <f aca="false">IF(#REF!="","",VLOOKUP(#REF!,ФиКод[],8,0))</f>
        <v>#REF!</v>
      </c>
      <c r="E837" s="1" t="e">
        <f aca="false">IF(#REF!="","",VLOOKUP(#REF!,ФиКод[],9,0))</f>
        <v>#REF!</v>
      </c>
      <c r="F837" s="1" t="e">
        <f aca="false">IF(#REF!="","",VLOOKUP(#REF!,ФиКод[],10,0))</f>
        <v>#REF!</v>
      </c>
    </row>
    <row r="838" customFormat="false" ht="12.75" hidden="false" customHeight="false" outlineLevel="0" collapsed="false">
      <c r="A838" s="1" t="e">
        <f aca="false">IF(#REF!="","",VLOOKUP(#REF!,ФиКод[],8,0))</f>
        <v>#REF!</v>
      </c>
      <c r="E838" s="1" t="e">
        <f aca="false">IF(#REF!="","",VLOOKUP(#REF!,ФиКод[],9,0))</f>
        <v>#REF!</v>
      </c>
      <c r="F838" s="1" t="e">
        <f aca="false">IF(#REF!="","",VLOOKUP(#REF!,ФиКод[],10,0))</f>
        <v>#REF!</v>
      </c>
    </row>
    <row r="839" customFormat="false" ht="12.75" hidden="false" customHeight="false" outlineLevel="0" collapsed="false">
      <c r="A839" s="1" t="e">
        <f aca="false">IF(#REF!="","",VLOOKUP(#REF!,ФиКод[],8,0))</f>
        <v>#REF!</v>
      </c>
      <c r="E839" s="1" t="e">
        <f aca="false">IF(#REF!="","",VLOOKUP(#REF!,ФиКод[],9,0))</f>
        <v>#REF!</v>
      </c>
      <c r="F839" s="1" t="e">
        <f aca="false">IF(#REF!="","",VLOOKUP(#REF!,ФиКод[],10,0))</f>
        <v>#REF!</v>
      </c>
    </row>
    <row r="840" customFormat="false" ht="12.75" hidden="false" customHeight="false" outlineLevel="0" collapsed="false">
      <c r="A840" s="1" t="e">
        <f aca="false">IF(#REF!="","",VLOOKUP(#REF!,ФиКод[],8,0))</f>
        <v>#REF!</v>
      </c>
      <c r="E840" s="1" t="e">
        <f aca="false">IF(#REF!="","",VLOOKUP(#REF!,ФиКод[],9,0))</f>
        <v>#REF!</v>
      </c>
      <c r="F840" s="1" t="e">
        <f aca="false">IF(#REF!="","",VLOOKUP(#REF!,ФиКод[],10,0))</f>
        <v>#REF!</v>
      </c>
    </row>
    <row r="841" customFormat="false" ht="12.75" hidden="false" customHeight="false" outlineLevel="0" collapsed="false">
      <c r="A841" s="1" t="e">
        <f aca="false">IF(#REF!="","",VLOOKUP(#REF!,ФиКод[],8,0))</f>
        <v>#REF!</v>
      </c>
      <c r="E841" s="1" t="e">
        <f aca="false">IF(#REF!="","",VLOOKUP(#REF!,ФиКод[],9,0))</f>
        <v>#REF!</v>
      </c>
      <c r="F841" s="1" t="e">
        <f aca="false">IF(#REF!="","",VLOOKUP(#REF!,ФиКод[],10,0))</f>
        <v>#REF!</v>
      </c>
    </row>
    <row r="842" customFormat="false" ht="12.75" hidden="false" customHeight="false" outlineLevel="0" collapsed="false">
      <c r="A842" s="1" t="e">
        <f aca="false">IF(#REF!="","",VLOOKUP(#REF!,ФиКод[],8,0))</f>
        <v>#REF!</v>
      </c>
      <c r="E842" s="1" t="e">
        <f aca="false">IF(#REF!="","",VLOOKUP(#REF!,ФиКод[],9,0))</f>
        <v>#REF!</v>
      </c>
      <c r="F842" s="1" t="e">
        <f aca="false">IF(#REF!="","",VLOOKUP(#REF!,ФиКод[],10,0))</f>
        <v>#REF!</v>
      </c>
    </row>
    <row r="843" customFormat="false" ht="12.75" hidden="false" customHeight="false" outlineLevel="0" collapsed="false">
      <c r="A843" s="1" t="e">
        <f aca="false">IF(#REF!="","",VLOOKUP(#REF!,ФиКод[],8,0))</f>
        <v>#REF!</v>
      </c>
      <c r="E843" s="1" t="e">
        <f aca="false">IF(#REF!="","",VLOOKUP(#REF!,ФиКод[],9,0))</f>
        <v>#REF!</v>
      </c>
      <c r="F843" s="1" t="e">
        <f aca="false">IF(#REF!="","",VLOOKUP(#REF!,ФиКод[],10,0))</f>
        <v>#REF!</v>
      </c>
    </row>
    <row r="844" customFormat="false" ht="12.75" hidden="false" customHeight="false" outlineLevel="0" collapsed="false">
      <c r="A844" s="1" t="e">
        <f aca="false">IF(#REF!="","",VLOOKUP(#REF!,ФиКод[],8,0))</f>
        <v>#REF!</v>
      </c>
      <c r="E844" s="1" t="e">
        <f aca="false">IF(#REF!="","",VLOOKUP(#REF!,ФиКод[],9,0))</f>
        <v>#REF!</v>
      </c>
      <c r="F844" s="1" t="e">
        <f aca="false">IF(#REF!="","",VLOOKUP(#REF!,ФиКод[],10,0))</f>
        <v>#REF!</v>
      </c>
    </row>
    <row r="845" customFormat="false" ht="12.75" hidden="false" customHeight="false" outlineLevel="0" collapsed="false">
      <c r="A845" s="1" t="e">
        <f aca="false">IF(#REF!="","",VLOOKUP(#REF!,ФиКод[],8,0))</f>
        <v>#REF!</v>
      </c>
      <c r="E845" s="1" t="e">
        <f aca="false">IF(#REF!="","",VLOOKUP(#REF!,ФиКод[],9,0))</f>
        <v>#REF!</v>
      </c>
      <c r="F845" s="1" t="e">
        <f aca="false">IF(#REF!="","",VLOOKUP(#REF!,ФиКод[],10,0))</f>
        <v>#REF!</v>
      </c>
    </row>
    <row r="846" customFormat="false" ht="12.75" hidden="false" customHeight="false" outlineLevel="0" collapsed="false">
      <c r="A846" s="1" t="e">
        <f aca="false">IF(#REF!="","",VLOOKUP(#REF!,ФиКод[],8,0))</f>
        <v>#REF!</v>
      </c>
      <c r="E846" s="1" t="e">
        <f aca="false">IF(#REF!="","",VLOOKUP(#REF!,ФиКод[],9,0))</f>
        <v>#REF!</v>
      </c>
      <c r="F846" s="1" t="e">
        <f aca="false">IF(#REF!="","",VLOOKUP(#REF!,ФиКод[],10,0))</f>
        <v>#REF!</v>
      </c>
    </row>
    <row r="847" customFormat="false" ht="12.75" hidden="false" customHeight="false" outlineLevel="0" collapsed="false">
      <c r="A847" s="1" t="e">
        <f aca="false">IF(#REF!="","",VLOOKUP(#REF!,ФиКод[],8,0))</f>
        <v>#REF!</v>
      </c>
      <c r="E847" s="1" t="e">
        <f aca="false">IF(#REF!="","",VLOOKUP(#REF!,ФиКод[],9,0))</f>
        <v>#REF!</v>
      </c>
      <c r="F847" s="1" t="e">
        <f aca="false">IF(#REF!="","",VLOOKUP(#REF!,ФиКод[],10,0))</f>
        <v>#REF!</v>
      </c>
    </row>
    <row r="848" customFormat="false" ht="12.75" hidden="false" customHeight="false" outlineLevel="0" collapsed="false">
      <c r="A848" s="1" t="e">
        <f aca="false">IF(#REF!="","",VLOOKUP(#REF!,ФиКод[],8,0))</f>
        <v>#REF!</v>
      </c>
      <c r="E848" s="1" t="e">
        <f aca="false">IF(#REF!="","",VLOOKUP(#REF!,ФиКод[],9,0))</f>
        <v>#REF!</v>
      </c>
      <c r="F848" s="1" t="e">
        <f aca="false">IF(#REF!="","",VLOOKUP(#REF!,ФиКод[],10,0))</f>
        <v>#REF!</v>
      </c>
    </row>
    <row r="849" customFormat="false" ht="12.75" hidden="false" customHeight="false" outlineLevel="0" collapsed="false">
      <c r="A849" s="1" t="e">
        <f aca="false">IF(#REF!="","",VLOOKUP(#REF!,ФиКод[],8,0))</f>
        <v>#REF!</v>
      </c>
      <c r="E849" s="1" t="e">
        <f aca="false">IF(#REF!="","",VLOOKUP(#REF!,ФиКод[],9,0))</f>
        <v>#REF!</v>
      </c>
      <c r="F849" s="1" t="e">
        <f aca="false">IF(#REF!="","",VLOOKUP(#REF!,ФиКод[],10,0))</f>
        <v>#REF!</v>
      </c>
    </row>
    <row r="850" customFormat="false" ht="12.75" hidden="false" customHeight="false" outlineLevel="0" collapsed="false">
      <c r="A850" s="1" t="e">
        <f aca="false">IF(#REF!="","",VLOOKUP(#REF!,ФиКод[],8,0))</f>
        <v>#REF!</v>
      </c>
      <c r="E850" s="1" t="e">
        <f aca="false">IF(#REF!="","",VLOOKUP(#REF!,ФиКод[],9,0))</f>
        <v>#REF!</v>
      </c>
      <c r="F850" s="1" t="e">
        <f aca="false">IF(#REF!="","",VLOOKUP(#REF!,ФиКод[],10,0))</f>
        <v>#REF!</v>
      </c>
    </row>
    <row r="851" customFormat="false" ht="12.75" hidden="false" customHeight="false" outlineLevel="0" collapsed="false">
      <c r="A851" s="1" t="e">
        <f aca="false">IF(#REF!="","",VLOOKUP(#REF!,ФиКод[],8,0))</f>
        <v>#REF!</v>
      </c>
      <c r="E851" s="1" t="e">
        <f aca="false">IF(#REF!="","",VLOOKUP(#REF!,ФиКод[],9,0))</f>
        <v>#REF!</v>
      </c>
      <c r="F851" s="1" t="e">
        <f aca="false">IF(#REF!="","",VLOOKUP(#REF!,ФиКод[],10,0))</f>
        <v>#REF!</v>
      </c>
    </row>
    <row r="852" customFormat="false" ht="12.75" hidden="false" customHeight="false" outlineLevel="0" collapsed="false">
      <c r="A852" s="1" t="e">
        <f aca="false">IF(#REF!="","",VLOOKUP(#REF!,ФиКод[],8,0))</f>
        <v>#REF!</v>
      </c>
      <c r="E852" s="1" t="e">
        <f aca="false">IF(#REF!="","",VLOOKUP(#REF!,ФиКод[],9,0))</f>
        <v>#REF!</v>
      </c>
      <c r="F852" s="1" t="e">
        <f aca="false">IF(#REF!="","",VLOOKUP(#REF!,ФиКод[],10,0))</f>
        <v>#REF!</v>
      </c>
    </row>
    <row r="853" customFormat="false" ht="12.75" hidden="false" customHeight="false" outlineLevel="0" collapsed="false">
      <c r="A853" s="1" t="e">
        <f aca="false">IF(#REF!="","",VLOOKUP(#REF!,ФиКод[],8,0))</f>
        <v>#REF!</v>
      </c>
      <c r="E853" s="1" t="e">
        <f aca="false">IF(#REF!="","",VLOOKUP(#REF!,ФиКод[],9,0))</f>
        <v>#REF!</v>
      </c>
      <c r="F853" s="1" t="e">
        <f aca="false">IF(#REF!="","",VLOOKUP(#REF!,ФиКод[],10,0))</f>
        <v>#REF!</v>
      </c>
    </row>
    <row r="854" customFormat="false" ht="12.75" hidden="false" customHeight="false" outlineLevel="0" collapsed="false">
      <c r="A854" s="1" t="e">
        <f aca="false">IF(#REF!="","",VLOOKUP(#REF!,ФиКод[],8,0))</f>
        <v>#REF!</v>
      </c>
      <c r="E854" s="1" t="e">
        <f aca="false">IF(#REF!="","",VLOOKUP(#REF!,ФиКод[],9,0))</f>
        <v>#REF!</v>
      </c>
      <c r="F854" s="1" t="e">
        <f aca="false">IF(#REF!="","",VLOOKUP(#REF!,ФиКод[],10,0))</f>
        <v>#REF!</v>
      </c>
    </row>
    <row r="855" customFormat="false" ht="12.75" hidden="false" customHeight="false" outlineLevel="0" collapsed="false">
      <c r="A855" s="1" t="e">
        <f aca="false">IF(#REF!="","",VLOOKUP(#REF!,ФиКод[],8,0))</f>
        <v>#REF!</v>
      </c>
      <c r="E855" s="1" t="e">
        <f aca="false">IF(#REF!="","",VLOOKUP(#REF!,ФиКод[],9,0))</f>
        <v>#REF!</v>
      </c>
      <c r="F855" s="1" t="e">
        <f aca="false">IF(#REF!="","",VLOOKUP(#REF!,ФиКод[],10,0))</f>
        <v>#REF!</v>
      </c>
    </row>
    <row r="856" customFormat="false" ht="12.75" hidden="false" customHeight="false" outlineLevel="0" collapsed="false">
      <c r="A856" s="1" t="e">
        <f aca="false">IF(#REF!="","",VLOOKUP(#REF!,ФиКод[],8,0))</f>
        <v>#REF!</v>
      </c>
      <c r="E856" s="1" t="e">
        <f aca="false">IF(#REF!="","",VLOOKUP(#REF!,ФиКод[],9,0))</f>
        <v>#REF!</v>
      </c>
      <c r="F856" s="1" t="e">
        <f aca="false">IF(#REF!="","",VLOOKUP(#REF!,ФиКод[],10,0))</f>
        <v>#REF!</v>
      </c>
    </row>
    <row r="857" customFormat="false" ht="12.75" hidden="false" customHeight="false" outlineLevel="0" collapsed="false">
      <c r="A857" s="1" t="e">
        <f aca="false">IF(#REF!="","",VLOOKUP(#REF!,ФиКод[],8,0))</f>
        <v>#REF!</v>
      </c>
      <c r="E857" s="1" t="e">
        <f aca="false">IF(#REF!="","",VLOOKUP(#REF!,ФиКод[],9,0))</f>
        <v>#REF!</v>
      </c>
      <c r="F857" s="1" t="e">
        <f aca="false">IF(#REF!="","",VLOOKUP(#REF!,ФиКод[],10,0))</f>
        <v>#REF!</v>
      </c>
    </row>
    <row r="858" customFormat="false" ht="12.75" hidden="false" customHeight="false" outlineLevel="0" collapsed="false">
      <c r="A858" s="1" t="e">
        <f aca="false">IF(#REF!="","",VLOOKUP(#REF!,ФиКод[],8,0))</f>
        <v>#REF!</v>
      </c>
      <c r="E858" s="1" t="e">
        <f aca="false">IF(#REF!="","",VLOOKUP(#REF!,ФиКод[],9,0))</f>
        <v>#REF!</v>
      </c>
      <c r="F858" s="1" t="e">
        <f aca="false">IF(#REF!="","",VLOOKUP(#REF!,ФиКод[],10,0))</f>
        <v>#REF!</v>
      </c>
    </row>
    <row r="859" customFormat="false" ht="12.75" hidden="false" customHeight="false" outlineLevel="0" collapsed="false">
      <c r="A859" s="1" t="e">
        <f aca="false">IF(#REF!="","",VLOOKUP(#REF!,ФиКод[],8,0))</f>
        <v>#REF!</v>
      </c>
      <c r="E859" s="1" t="e">
        <f aca="false">IF(#REF!="","",VLOOKUP(#REF!,ФиКод[],9,0))</f>
        <v>#REF!</v>
      </c>
      <c r="F859" s="1" t="e">
        <f aca="false">IF(#REF!="","",VLOOKUP(#REF!,ФиКод[],10,0))</f>
        <v>#REF!</v>
      </c>
    </row>
    <row r="860" customFormat="false" ht="12.75" hidden="false" customHeight="false" outlineLevel="0" collapsed="false">
      <c r="A860" s="1" t="e">
        <f aca="false">IF(#REF!="","",VLOOKUP(#REF!,ФиКод[],8,0))</f>
        <v>#REF!</v>
      </c>
      <c r="E860" s="1" t="e">
        <f aca="false">IF(#REF!="","",VLOOKUP(#REF!,ФиКод[],9,0))</f>
        <v>#REF!</v>
      </c>
      <c r="F860" s="1" t="e">
        <f aca="false">IF(#REF!="","",VLOOKUP(#REF!,ФиКод[],10,0))</f>
        <v>#REF!</v>
      </c>
    </row>
    <row r="861" customFormat="false" ht="12.75" hidden="false" customHeight="false" outlineLevel="0" collapsed="false">
      <c r="A861" s="1" t="e">
        <f aca="false">IF(#REF!="","",VLOOKUP(#REF!,ФиКод[],8,0))</f>
        <v>#REF!</v>
      </c>
      <c r="E861" s="1" t="e">
        <f aca="false">IF(#REF!="","",VLOOKUP(#REF!,ФиКод[],9,0))</f>
        <v>#REF!</v>
      </c>
      <c r="F861" s="1" t="e">
        <f aca="false">IF(#REF!="","",VLOOKUP(#REF!,ФиКод[],10,0))</f>
        <v>#REF!</v>
      </c>
    </row>
    <row r="862" customFormat="false" ht="12.75" hidden="false" customHeight="false" outlineLevel="0" collapsed="false">
      <c r="A862" s="1" t="e">
        <f aca="false">IF(#REF!="","",VLOOKUP(#REF!,ФиКод[],8,0))</f>
        <v>#REF!</v>
      </c>
      <c r="E862" s="1" t="e">
        <f aca="false">IF(#REF!="","",VLOOKUP(#REF!,ФиКод[],9,0))</f>
        <v>#REF!</v>
      </c>
      <c r="F862" s="1" t="e">
        <f aca="false">IF(#REF!="","",VLOOKUP(#REF!,ФиКод[],10,0))</f>
        <v>#REF!</v>
      </c>
    </row>
    <row r="863" customFormat="false" ht="12.75" hidden="false" customHeight="false" outlineLevel="0" collapsed="false">
      <c r="A863" s="1" t="e">
        <f aca="false">IF(#REF!="","",VLOOKUP(#REF!,ФиКод[],8,0))</f>
        <v>#REF!</v>
      </c>
      <c r="E863" s="1" t="e">
        <f aca="false">IF(#REF!="","",VLOOKUP(#REF!,ФиКод[],9,0))</f>
        <v>#REF!</v>
      </c>
      <c r="F863" s="1" t="e">
        <f aca="false">IF(#REF!="","",VLOOKUP(#REF!,ФиКод[],10,0))</f>
        <v>#REF!</v>
      </c>
    </row>
    <row r="864" customFormat="false" ht="12.75" hidden="false" customHeight="false" outlineLevel="0" collapsed="false">
      <c r="A864" s="1" t="e">
        <f aca="false">IF(#REF!="","",VLOOKUP(#REF!,ФиКод[],8,0))</f>
        <v>#REF!</v>
      </c>
      <c r="E864" s="1" t="e">
        <f aca="false">IF(#REF!="","",VLOOKUP(#REF!,ФиКод[],9,0))</f>
        <v>#REF!</v>
      </c>
      <c r="F864" s="1" t="e">
        <f aca="false">IF(#REF!="","",VLOOKUP(#REF!,ФиКод[],10,0))</f>
        <v>#REF!</v>
      </c>
    </row>
    <row r="865" customFormat="false" ht="12.75" hidden="false" customHeight="false" outlineLevel="0" collapsed="false">
      <c r="A865" s="1" t="e">
        <f aca="false">IF(#REF!="","",VLOOKUP(#REF!,ФиКод[],8,0))</f>
        <v>#REF!</v>
      </c>
      <c r="E865" s="1" t="e">
        <f aca="false">IF(#REF!="","",VLOOKUP(#REF!,ФиКод[],9,0))</f>
        <v>#REF!</v>
      </c>
      <c r="F865" s="1" t="e">
        <f aca="false">IF(#REF!="","",VLOOKUP(#REF!,ФиКод[],10,0))</f>
        <v>#REF!</v>
      </c>
    </row>
    <row r="866" customFormat="false" ht="12.75" hidden="false" customHeight="false" outlineLevel="0" collapsed="false">
      <c r="A866" s="1" t="e">
        <f aca="false">IF(#REF!="","",VLOOKUP(#REF!,ФиКод[],8,0))</f>
        <v>#REF!</v>
      </c>
      <c r="E866" s="1" t="e">
        <f aca="false">IF(#REF!="","",VLOOKUP(#REF!,ФиКод[],9,0))</f>
        <v>#REF!</v>
      </c>
      <c r="F866" s="1" t="e">
        <f aca="false">IF(#REF!="","",VLOOKUP(#REF!,ФиКод[],10,0))</f>
        <v>#REF!</v>
      </c>
    </row>
    <row r="867" customFormat="false" ht="12.75" hidden="false" customHeight="false" outlineLevel="0" collapsed="false">
      <c r="A867" s="1" t="e">
        <f aca="false">IF(#REF!="","",VLOOKUP(#REF!,ФиКод[],8,0))</f>
        <v>#REF!</v>
      </c>
      <c r="E867" s="1" t="e">
        <f aca="false">IF(#REF!="","",VLOOKUP(#REF!,ФиКод[],9,0))</f>
        <v>#REF!</v>
      </c>
      <c r="F867" s="1" t="e">
        <f aca="false">IF(#REF!="","",VLOOKUP(#REF!,ФиКод[],10,0))</f>
        <v>#REF!</v>
      </c>
    </row>
    <row r="868" customFormat="false" ht="12.75" hidden="false" customHeight="false" outlineLevel="0" collapsed="false">
      <c r="A868" s="1" t="e">
        <f aca="false">IF(#REF!="","",VLOOKUP(#REF!,ФиКод[],8,0))</f>
        <v>#REF!</v>
      </c>
      <c r="E868" s="1" t="e">
        <f aca="false">IF(#REF!="","",VLOOKUP(#REF!,ФиКод[],9,0))</f>
        <v>#REF!</v>
      </c>
      <c r="F868" s="1" t="e">
        <f aca="false">IF(#REF!="","",VLOOKUP(#REF!,ФиКод[],10,0))</f>
        <v>#REF!</v>
      </c>
    </row>
    <row r="869" customFormat="false" ht="12.75" hidden="false" customHeight="false" outlineLevel="0" collapsed="false">
      <c r="A869" s="1" t="e">
        <f aca="false">IF(#REF!="","",VLOOKUP(#REF!,ФиКод[],8,0))</f>
        <v>#REF!</v>
      </c>
      <c r="E869" s="1" t="e">
        <f aca="false">IF(#REF!="","",VLOOKUP(#REF!,ФиКод[],9,0))</f>
        <v>#REF!</v>
      </c>
      <c r="F869" s="1" t="e">
        <f aca="false">IF(#REF!="","",VLOOKUP(#REF!,ФиКод[],10,0))</f>
        <v>#REF!</v>
      </c>
    </row>
    <row r="870" customFormat="false" ht="12.75" hidden="false" customHeight="false" outlineLevel="0" collapsed="false">
      <c r="A870" s="1" t="e">
        <f aca="false">IF(#REF!="","",VLOOKUP(#REF!,ФиКод[],8,0))</f>
        <v>#REF!</v>
      </c>
      <c r="E870" s="1" t="e">
        <f aca="false">IF(#REF!="","",VLOOKUP(#REF!,ФиКод[],9,0))</f>
        <v>#REF!</v>
      </c>
      <c r="F870" s="1" t="e">
        <f aca="false">IF(#REF!="","",VLOOKUP(#REF!,ФиКод[],10,0))</f>
        <v>#REF!</v>
      </c>
    </row>
    <row r="871" customFormat="false" ht="12.75" hidden="false" customHeight="false" outlineLevel="0" collapsed="false">
      <c r="A871" s="1" t="e">
        <f aca="false">IF(#REF!="","",VLOOKUP(#REF!,ФиКод[],8,0))</f>
        <v>#REF!</v>
      </c>
      <c r="E871" s="1" t="e">
        <f aca="false">IF(#REF!="","",VLOOKUP(#REF!,ФиКод[],9,0))</f>
        <v>#REF!</v>
      </c>
      <c r="F871" s="1" t="e">
        <f aca="false">IF(#REF!="","",VLOOKUP(#REF!,ФиКод[],10,0))</f>
        <v>#REF!</v>
      </c>
    </row>
    <row r="872" customFormat="false" ht="12.75" hidden="false" customHeight="false" outlineLevel="0" collapsed="false">
      <c r="A872" s="1" t="e">
        <f aca="false">IF(#REF!="","",VLOOKUP(#REF!,ФиКод[],8,0))</f>
        <v>#REF!</v>
      </c>
      <c r="E872" s="1" t="e">
        <f aca="false">IF(#REF!="","",VLOOKUP(#REF!,ФиКод[],9,0))</f>
        <v>#REF!</v>
      </c>
      <c r="F872" s="1" t="e">
        <f aca="false">IF(#REF!="","",VLOOKUP(#REF!,ФиКод[],10,0))</f>
        <v>#REF!</v>
      </c>
    </row>
    <row r="873" customFormat="false" ht="12.75" hidden="false" customHeight="false" outlineLevel="0" collapsed="false">
      <c r="A873" s="1" t="e">
        <f aca="false">IF(#REF!="","",VLOOKUP(#REF!,ФиКод[],8,0))</f>
        <v>#REF!</v>
      </c>
      <c r="E873" s="1" t="e">
        <f aca="false">IF(#REF!="","",VLOOKUP(#REF!,ФиКод[],9,0))</f>
        <v>#REF!</v>
      </c>
      <c r="F873" s="1" t="e">
        <f aca="false">IF(#REF!="","",VLOOKUP(#REF!,ФиКод[],10,0))</f>
        <v>#REF!</v>
      </c>
    </row>
    <row r="874" customFormat="false" ht="12.75" hidden="false" customHeight="false" outlineLevel="0" collapsed="false">
      <c r="A874" s="1" t="e">
        <f aca="false">IF(#REF!="","",VLOOKUP(#REF!,ФиКод[],8,0))</f>
        <v>#REF!</v>
      </c>
      <c r="E874" s="1" t="e">
        <f aca="false">IF(#REF!="","",VLOOKUP(#REF!,ФиКод[],9,0))</f>
        <v>#REF!</v>
      </c>
      <c r="F874" s="1" t="e">
        <f aca="false">IF(#REF!="","",VLOOKUP(#REF!,ФиКод[],10,0))</f>
        <v>#REF!</v>
      </c>
    </row>
    <row r="875" customFormat="false" ht="12.75" hidden="false" customHeight="false" outlineLevel="0" collapsed="false">
      <c r="A875" s="1" t="e">
        <f aca="false">IF(#REF!="","",VLOOKUP(#REF!,ФиКод[],8,0))</f>
        <v>#REF!</v>
      </c>
      <c r="E875" s="1" t="e">
        <f aca="false">IF(#REF!="","",VLOOKUP(#REF!,ФиКод[],9,0))</f>
        <v>#REF!</v>
      </c>
      <c r="F875" s="1" t="e">
        <f aca="false">IF(#REF!="","",VLOOKUP(#REF!,ФиКод[],10,0))</f>
        <v>#REF!</v>
      </c>
    </row>
    <row r="876" customFormat="false" ht="12.75" hidden="false" customHeight="false" outlineLevel="0" collapsed="false">
      <c r="A876" s="1" t="e">
        <f aca="false">IF(#REF!="","",VLOOKUP(#REF!,ФиКод[],8,0))</f>
        <v>#REF!</v>
      </c>
      <c r="E876" s="1" t="e">
        <f aca="false">IF(#REF!="","",VLOOKUP(#REF!,ФиКод[],9,0))</f>
        <v>#REF!</v>
      </c>
      <c r="F876" s="1" t="e">
        <f aca="false">IF(#REF!="","",VLOOKUP(#REF!,ФиКод[],10,0))</f>
        <v>#REF!</v>
      </c>
    </row>
    <row r="877" customFormat="false" ht="12.75" hidden="false" customHeight="false" outlineLevel="0" collapsed="false">
      <c r="A877" s="1" t="e">
        <f aca="false">IF(#REF!="","",VLOOKUP(#REF!,ФиКод[],8,0))</f>
        <v>#REF!</v>
      </c>
      <c r="E877" s="1" t="e">
        <f aca="false">IF(#REF!="","",VLOOKUP(#REF!,ФиКод[],9,0))</f>
        <v>#REF!</v>
      </c>
      <c r="F877" s="1" t="e">
        <f aca="false">IF(#REF!="","",VLOOKUP(#REF!,ФиКод[],10,0))</f>
        <v>#REF!</v>
      </c>
    </row>
    <row r="878" customFormat="false" ht="12.75" hidden="false" customHeight="false" outlineLevel="0" collapsed="false">
      <c r="A878" s="1" t="e">
        <f aca="false">IF(#REF!="","",VLOOKUP(#REF!,ФиКод[],8,0))</f>
        <v>#REF!</v>
      </c>
      <c r="E878" s="1" t="e">
        <f aca="false">IF(#REF!="","",VLOOKUP(#REF!,ФиКод[],9,0))</f>
        <v>#REF!</v>
      </c>
      <c r="F878" s="1" t="e">
        <f aca="false">IF(#REF!="","",VLOOKUP(#REF!,ФиКод[],10,0))</f>
        <v>#REF!</v>
      </c>
    </row>
    <row r="879" customFormat="false" ht="12.75" hidden="false" customHeight="false" outlineLevel="0" collapsed="false">
      <c r="A879" s="1" t="e">
        <f aca="false">IF(#REF!="","",VLOOKUP(#REF!,ФиКод[],8,0))</f>
        <v>#REF!</v>
      </c>
      <c r="E879" s="1" t="e">
        <f aca="false">IF(#REF!="","",VLOOKUP(#REF!,ФиКод[],9,0))</f>
        <v>#REF!</v>
      </c>
      <c r="F879" s="1" t="e">
        <f aca="false">IF(#REF!="","",VLOOKUP(#REF!,ФиКод[],10,0))</f>
        <v>#REF!</v>
      </c>
    </row>
    <row r="880" customFormat="false" ht="12.75" hidden="false" customHeight="false" outlineLevel="0" collapsed="false">
      <c r="A880" s="1" t="e">
        <f aca="false">IF(#REF!="","",VLOOKUP(#REF!,ФиКод[],8,0))</f>
        <v>#REF!</v>
      </c>
      <c r="E880" s="1" t="e">
        <f aca="false">IF(#REF!="","",VLOOKUP(#REF!,ФиКод[],9,0))</f>
        <v>#REF!</v>
      </c>
      <c r="F880" s="1" t="e">
        <f aca="false">IF(#REF!="","",VLOOKUP(#REF!,ФиКод[],10,0))</f>
        <v>#REF!</v>
      </c>
    </row>
    <row r="881" customFormat="false" ht="12.75" hidden="false" customHeight="false" outlineLevel="0" collapsed="false">
      <c r="A881" s="1" t="e">
        <f aca="false">IF(#REF!="","",VLOOKUP(#REF!,ФиКод[],8,0))</f>
        <v>#REF!</v>
      </c>
      <c r="E881" s="1" t="e">
        <f aca="false">IF(#REF!="","",VLOOKUP(#REF!,ФиКод[],9,0))</f>
        <v>#REF!</v>
      </c>
      <c r="F881" s="1" t="e">
        <f aca="false">IF(#REF!="","",VLOOKUP(#REF!,ФиКод[],10,0))</f>
        <v>#REF!</v>
      </c>
    </row>
    <row r="882" customFormat="false" ht="12.75" hidden="false" customHeight="false" outlineLevel="0" collapsed="false">
      <c r="A882" s="1" t="e">
        <f aca="false">IF(#REF!="","",VLOOKUP(#REF!,ФиКод[],8,0))</f>
        <v>#REF!</v>
      </c>
      <c r="E882" s="1" t="e">
        <f aca="false">IF(#REF!="","",VLOOKUP(#REF!,ФиКод[],9,0))</f>
        <v>#REF!</v>
      </c>
      <c r="F882" s="1" t="e">
        <f aca="false">IF(#REF!="","",VLOOKUP(#REF!,ФиКод[],10,0))</f>
        <v>#REF!</v>
      </c>
    </row>
    <row r="883" customFormat="false" ht="12.75" hidden="false" customHeight="false" outlineLevel="0" collapsed="false">
      <c r="A883" s="1" t="e">
        <f aca="false">IF(#REF!="","",VLOOKUP(#REF!,ФиКод[],8,0))</f>
        <v>#REF!</v>
      </c>
      <c r="E883" s="1" t="e">
        <f aca="false">IF(#REF!="","",VLOOKUP(#REF!,ФиКод[],9,0))</f>
        <v>#REF!</v>
      </c>
      <c r="F883" s="1" t="e">
        <f aca="false">IF(#REF!="","",VLOOKUP(#REF!,ФиКод[],10,0))</f>
        <v>#REF!</v>
      </c>
    </row>
    <row r="884" customFormat="false" ht="12.75" hidden="false" customHeight="false" outlineLevel="0" collapsed="false">
      <c r="A884" s="1" t="e">
        <f aca="false">IF(#REF!="","",VLOOKUP(#REF!,ФиКод[],8,0))</f>
        <v>#REF!</v>
      </c>
      <c r="E884" s="1" t="e">
        <f aca="false">IF(#REF!="","",VLOOKUP(#REF!,ФиКод[],9,0))</f>
        <v>#REF!</v>
      </c>
      <c r="F884" s="1" t="e">
        <f aca="false">IF(#REF!="","",VLOOKUP(#REF!,ФиКод[],10,0))</f>
        <v>#REF!</v>
      </c>
    </row>
    <row r="885" customFormat="false" ht="12.75" hidden="false" customHeight="false" outlineLevel="0" collapsed="false">
      <c r="A885" s="1" t="e">
        <f aca="false">IF(#REF!="","",VLOOKUP(#REF!,ФиКод[],8,0))</f>
        <v>#REF!</v>
      </c>
      <c r="E885" s="1" t="e">
        <f aca="false">IF(#REF!="","",VLOOKUP(#REF!,ФиКод[],9,0))</f>
        <v>#REF!</v>
      </c>
      <c r="F885" s="1" t="e">
        <f aca="false">IF(#REF!="","",VLOOKUP(#REF!,ФиКод[],10,0))</f>
        <v>#REF!</v>
      </c>
    </row>
    <row r="886" customFormat="false" ht="12.75" hidden="false" customHeight="false" outlineLevel="0" collapsed="false">
      <c r="A886" s="1" t="e">
        <f aca="false">IF(#REF!="","",VLOOKUP(#REF!,ФиКод[],8,0))</f>
        <v>#REF!</v>
      </c>
      <c r="E886" s="1" t="e">
        <f aca="false">IF(#REF!="","",VLOOKUP(#REF!,ФиКод[],9,0))</f>
        <v>#REF!</v>
      </c>
      <c r="F886" s="1" t="e">
        <f aca="false">IF(#REF!="","",VLOOKUP(#REF!,ФиКод[],10,0))</f>
        <v>#REF!</v>
      </c>
    </row>
    <row r="887" customFormat="false" ht="12.75" hidden="false" customHeight="false" outlineLevel="0" collapsed="false">
      <c r="A887" s="1" t="e">
        <f aca="false">IF(#REF!="","",VLOOKUP(#REF!,ФиКод[],8,0))</f>
        <v>#REF!</v>
      </c>
      <c r="E887" s="1" t="e">
        <f aca="false">IF(#REF!="","",VLOOKUP(#REF!,ФиКод[],9,0))</f>
        <v>#REF!</v>
      </c>
      <c r="F887" s="1" t="e">
        <f aca="false">IF(#REF!="","",VLOOKUP(#REF!,ФиКод[],10,0))</f>
        <v>#REF!</v>
      </c>
    </row>
    <row r="888" customFormat="false" ht="12.75" hidden="false" customHeight="false" outlineLevel="0" collapsed="false">
      <c r="A888" s="1" t="e">
        <f aca="false">IF(#REF!="","",VLOOKUP(#REF!,ФиКод[],8,0))</f>
        <v>#REF!</v>
      </c>
      <c r="E888" s="1" t="e">
        <f aca="false">IF(#REF!="","",VLOOKUP(#REF!,ФиКод[],9,0))</f>
        <v>#REF!</v>
      </c>
      <c r="F888" s="1" t="e">
        <f aca="false">IF(#REF!="","",VLOOKUP(#REF!,ФиКод[],10,0))</f>
        <v>#REF!</v>
      </c>
    </row>
    <row r="889" customFormat="false" ht="12.75" hidden="false" customHeight="false" outlineLevel="0" collapsed="false">
      <c r="A889" s="1" t="e">
        <f aca="false">IF(#REF!="","",VLOOKUP(#REF!,ФиКод[],8,0))</f>
        <v>#REF!</v>
      </c>
      <c r="E889" s="1" t="e">
        <f aca="false">IF(#REF!="","",VLOOKUP(#REF!,ФиКод[],9,0))</f>
        <v>#REF!</v>
      </c>
      <c r="F889" s="1" t="e">
        <f aca="false">IF(#REF!="","",VLOOKUP(#REF!,ФиКод[],10,0))</f>
        <v>#REF!</v>
      </c>
    </row>
    <row r="890" customFormat="false" ht="12.75" hidden="false" customHeight="false" outlineLevel="0" collapsed="false">
      <c r="A890" s="1" t="e">
        <f aca="false">IF(#REF!="","",VLOOKUP(#REF!,ФиКод[],8,0))</f>
        <v>#REF!</v>
      </c>
      <c r="E890" s="1" t="e">
        <f aca="false">IF(#REF!="","",VLOOKUP(#REF!,ФиКод[],9,0))</f>
        <v>#REF!</v>
      </c>
      <c r="F890" s="1" t="e">
        <f aca="false">IF(#REF!="","",VLOOKUP(#REF!,ФиКод[],10,0))</f>
        <v>#REF!</v>
      </c>
    </row>
    <row r="891" customFormat="false" ht="12.75" hidden="false" customHeight="false" outlineLevel="0" collapsed="false">
      <c r="A891" s="1" t="e">
        <f aca="false">IF(#REF!="","",VLOOKUP(#REF!,ФиКод[],8,0))</f>
        <v>#REF!</v>
      </c>
      <c r="E891" s="1" t="e">
        <f aca="false">IF(#REF!="","",VLOOKUP(#REF!,ФиКод[],9,0))</f>
        <v>#REF!</v>
      </c>
      <c r="F891" s="1" t="e">
        <f aca="false">IF(#REF!="","",VLOOKUP(#REF!,ФиКод[],10,0))</f>
        <v>#REF!</v>
      </c>
    </row>
    <row r="892" customFormat="false" ht="12.75" hidden="false" customHeight="false" outlineLevel="0" collapsed="false">
      <c r="A892" s="1" t="e">
        <f aca="false">IF(#REF!="","",VLOOKUP(#REF!,ФиКод[],8,0))</f>
        <v>#REF!</v>
      </c>
      <c r="E892" s="1" t="e">
        <f aca="false">IF(#REF!="","",VLOOKUP(#REF!,ФиКод[],9,0))</f>
        <v>#REF!</v>
      </c>
      <c r="F892" s="1" t="e">
        <f aca="false">IF(#REF!="","",VLOOKUP(#REF!,ФиКод[],10,0))</f>
        <v>#REF!</v>
      </c>
    </row>
    <row r="893" customFormat="false" ht="12.75" hidden="false" customHeight="false" outlineLevel="0" collapsed="false">
      <c r="A893" s="1" t="e">
        <f aca="false">IF(#REF!="","",VLOOKUP(#REF!,ФиКод[],8,0))</f>
        <v>#REF!</v>
      </c>
      <c r="E893" s="1" t="e">
        <f aca="false">IF(#REF!="","",VLOOKUP(#REF!,ФиКод[],9,0))</f>
        <v>#REF!</v>
      </c>
      <c r="F893" s="1" t="e">
        <f aca="false">IF(#REF!="","",VLOOKUP(#REF!,ФиКод[],10,0))</f>
        <v>#REF!</v>
      </c>
    </row>
    <row r="894" customFormat="false" ht="12.75" hidden="false" customHeight="false" outlineLevel="0" collapsed="false">
      <c r="A894" s="1" t="e">
        <f aca="false">IF(#REF!="","",VLOOKUP(#REF!,ФиКод[],8,0))</f>
        <v>#REF!</v>
      </c>
      <c r="E894" s="1" t="e">
        <f aca="false">IF(#REF!="","",VLOOKUP(#REF!,ФиКод[],9,0))</f>
        <v>#REF!</v>
      </c>
      <c r="F894" s="1" t="e">
        <f aca="false">IF(#REF!="","",VLOOKUP(#REF!,ФиКод[],10,0))</f>
        <v>#REF!</v>
      </c>
    </row>
    <row r="895" customFormat="false" ht="12.75" hidden="false" customHeight="false" outlineLevel="0" collapsed="false">
      <c r="A895" s="1" t="e">
        <f aca="false">IF(#REF!="","",VLOOKUP(#REF!,ФиКод[],8,0))</f>
        <v>#REF!</v>
      </c>
      <c r="E895" s="1" t="e">
        <f aca="false">IF(#REF!="","",VLOOKUP(#REF!,ФиКод[],9,0))</f>
        <v>#REF!</v>
      </c>
      <c r="F895" s="1" t="e">
        <f aca="false">IF(#REF!="","",VLOOKUP(#REF!,ФиКод[],10,0))</f>
        <v>#REF!</v>
      </c>
    </row>
    <row r="896" customFormat="false" ht="12.75" hidden="false" customHeight="false" outlineLevel="0" collapsed="false">
      <c r="A896" s="1" t="e">
        <f aca="false">IF(#REF!="","",VLOOKUP(#REF!,ФиКод[],8,0))</f>
        <v>#REF!</v>
      </c>
      <c r="E896" s="1" t="e">
        <f aca="false">IF(#REF!="","",VLOOKUP(#REF!,ФиКод[],9,0))</f>
        <v>#REF!</v>
      </c>
      <c r="F896" s="1" t="e">
        <f aca="false">IF(#REF!="","",VLOOKUP(#REF!,ФиКод[],10,0))</f>
        <v>#REF!</v>
      </c>
    </row>
    <row r="897" customFormat="false" ht="12.75" hidden="false" customHeight="false" outlineLevel="0" collapsed="false">
      <c r="A897" s="1" t="e">
        <f aca="false">IF(#REF!="","",VLOOKUP(#REF!,ФиКод[],8,0))</f>
        <v>#REF!</v>
      </c>
      <c r="E897" s="1" t="e">
        <f aca="false">IF(#REF!="","",VLOOKUP(#REF!,ФиКод[],9,0))</f>
        <v>#REF!</v>
      </c>
      <c r="F897" s="1" t="e">
        <f aca="false">IF(#REF!="","",VLOOKUP(#REF!,ФиКод[],10,0))</f>
        <v>#REF!</v>
      </c>
    </row>
    <row r="898" customFormat="false" ht="12.75" hidden="false" customHeight="false" outlineLevel="0" collapsed="false">
      <c r="A898" s="1" t="e">
        <f aca="false">IF(#REF!="","",VLOOKUP(#REF!,ФиКод[],8,0))</f>
        <v>#REF!</v>
      </c>
      <c r="E898" s="1" t="e">
        <f aca="false">IF(#REF!="","",VLOOKUP(#REF!,ФиКод[],9,0))</f>
        <v>#REF!</v>
      </c>
      <c r="F898" s="1" t="e">
        <f aca="false">IF(#REF!="","",VLOOKUP(#REF!,ФиКод[],10,0))</f>
        <v>#REF!</v>
      </c>
    </row>
    <row r="899" customFormat="false" ht="12.75" hidden="false" customHeight="false" outlineLevel="0" collapsed="false">
      <c r="A899" s="1" t="e">
        <f aca="false">IF(#REF!="","",VLOOKUP(#REF!,ФиКод[],8,0))</f>
        <v>#REF!</v>
      </c>
      <c r="E899" s="1" t="e">
        <f aca="false">IF(#REF!="","",VLOOKUP(#REF!,ФиКод[],9,0))</f>
        <v>#REF!</v>
      </c>
      <c r="F899" s="1" t="e">
        <f aca="false">IF(#REF!="","",VLOOKUP(#REF!,ФиКод[],10,0))</f>
        <v>#REF!</v>
      </c>
    </row>
    <row r="900" customFormat="false" ht="12.75" hidden="false" customHeight="false" outlineLevel="0" collapsed="false">
      <c r="A900" s="1" t="e">
        <f aca="false">IF(#REF!="","",VLOOKUP(#REF!,ФиКод[],8,0))</f>
        <v>#REF!</v>
      </c>
      <c r="E900" s="1" t="e">
        <f aca="false">IF(#REF!="","",VLOOKUP(#REF!,ФиКод[],9,0))</f>
        <v>#REF!</v>
      </c>
      <c r="F900" s="1" t="e">
        <f aca="false">IF(#REF!="","",VLOOKUP(#REF!,ФиКод[],10,0))</f>
        <v>#REF!</v>
      </c>
    </row>
    <row r="901" customFormat="false" ht="12.75" hidden="false" customHeight="false" outlineLevel="0" collapsed="false">
      <c r="A901" s="1" t="e">
        <f aca="false">IF(#REF!="","",VLOOKUP(#REF!,ФиКод[],8,0))</f>
        <v>#REF!</v>
      </c>
      <c r="E901" s="1" t="e">
        <f aca="false">IF(#REF!="","",VLOOKUP(#REF!,ФиКод[],9,0))</f>
        <v>#REF!</v>
      </c>
      <c r="F901" s="1" t="e">
        <f aca="false">IF(#REF!="","",VLOOKUP(#REF!,ФиКод[],10,0))</f>
        <v>#REF!</v>
      </c>
    </row>
    <row r="902" customFormat="false" ht="12.75" hidden="false" customHeight="false" outlineLevel="0" collapsed="false">
      <c r="A902" s="1" t="e">
        <f aca="false">IF(#REF!="","",VLOOKUP(#REF!,ФиКод[],8,0))</f>
        <v>#REF!</v>
      </c>
      <c r="E902" s="1" t="e">
        <f aca="false">IF(#REF!="","",VLOOKUP(#REF!,ФиКод[],9,0))</f>
        <v>#REF!</v>
      </c>
      <c r="F902" s="1" t="e">
        <f aca="false">IF(#REF!="","",VLOOKUP(#REF!,ФиКод[],10,0))</f>
        <v>#REF!</v>
      </c>
    </row>
    <row r="903" customFormat="false" ht="12.75" hidden="false" customHeight="false" outlineLevel="0" collapsed="false">
      <c r="A903" s="1" t="e">
        <f aca="false">IF(#REF!="","",VLOOKUP(#REF!,ФиКод[],8,0))</f>
        <v>#REF!</v>
      </c>
      <c r="E903" s="1" t="e">
        <f aca="false">IF(#REF!="","",VLOOKUP(#REF!,ФиКод[],9,0))</f>
        <v>#REF!</v>
      </c>
      <c r="F903" s="1" t="e">
        <f aca="false">IF(#REF!="","",VLOOKUP(#REF!,ФиКод[],10,0))</f>
        <v>#REF!</v>
      </c>
    </row>
    <row r="904" customFormat="false" ht="12.75" hidden="false" customHeight="false" outlineLevel="0" collapsed="false">
      <c r="A904" s="1" t="e">
        <f aca="false">IF(#REF!="","",VLOOKUP(#REF!,ФиКод[],8,0))</f>
        <v>#REF!</v>
      </c>
      <c r="E904" s="1" t="e">
        <f aca="false">IF(#REF!="","",VLOOKUP(#REF!,ФиКод[],9,0))</f>
        <v>#REF!</v>
      </c>
      <c r="F904" s="1" t="e">
        <f aca="false">IF(#REF!="","",VLOOKUP(#REF!,ФиКод[],10,0))</f>
        <v>#REF!</v>
      </c>
    </row>
    <row r="905" customFormat="false" ht="12.75" hidden="false" customHeight="false" outlineLevel="0" collapsed="false">
      <c r="A905" s="1" t="e">
        <f aca="false">IF(#REF!="","",VLOOKUP(#REF!,ФиКод[],8,0))</f>
        <v>#REF!</v>
      </c>
      <c r="E905" s="1" t="e">
        <f aca="false">IF(#REF!="","",VLOOKUP(#REF!,ФиКод[],9,0))</f>
        <v>#REF!</v>
      </c>
      <c r="F905" s="1" t="e">
        <f aca="false">IF(#REF!="","",VLOOKUP(#REF!,ФиКод[],10,0))</f>
        <v>#REF!</v>
      </c>
    </row>
    <row r="906" customFormat="false" ht="12.75" hidden="false" customHeight="false" outlineLevel="0" collapsed="false">
      <c r="A906" s="1" t="e">
        <f aca="false">IF(#REF!="","",VLOOKUP(#REF!,ФиКод[],8,0))</f>
        <v>#REF!</v>
      </c>
      <c r="E906" s="1" t="e">
        <f aca="false">IF(#REF!="","",VLOOKUP(#REF!,ФиКод[],9,0))</f>
        <v>#REF!</v>
      </c>
      <c r="F906" s="1" t="e">
        <f aca="false">IF(#REF!="","",VLOOKUP(#REF!,ФиКод[],10,0))</f>
        <v>#REF!</v>
      </c>
    </row>
    <row r="907" customFormat="false" ht="12.75" hidden="false" customHeight="false" outlineLevel="0" collapsed="false">
      <c r="A907" s="1" t="e">
        <f aca="false">IF(#REF!="","",VLOOKUP(#REF!,ФиКод[],8,0))</f>
        <v>#REF!</v>
      </c>
      <c r="E907" s="1" t="e">
        <f aca="false">IF(#REF!="","",VLOOKUP(#REF!,ФиКод[],9,0))</f>
        <v>#REF!</v>
      </c>
      <c r="F907" s="1" t="e">
        <f aca="false">IF(#REF!="","",VLOOKUP(#REF!,ФиКод[],10,0))</f>
        <v>#REF!</v>
      </c>
    </row>
    <row r="908" customFormat="false" ht="12.75" hidden="false" customHeight="false" outlineLevel="0" collapsed="false">
      <c r="A908" s="1" t="e">
        <f aca="false">IF(#REF!="","",VLOOKUP(#REF!,ФиКод[],8,0))</f>
        <v>#REF!</v>
      </c>
      <c r="E908" s="1" t="e">
        <f aca="false">IF(#REF!="","",VLOOKUP(#REF!,ФиКод[],9,0))</f>
        <v>#REF!</v>
      </c>
      <c r="F908" s="1" t="e">
        <f aca="false">IF(#REF!="","",VLOOKUP(#REF!,ФиКод[],10,0))</f>
        <v>#REF!</v>
      </c>
    </row>
    <row r="909" customFormat="false" ht="12.75" hidden="false" customHeight="false" outlineLevel="0" collapsed="false">
      <c r="A909" s="1" t="e">
        <f aca="false">IF(#REF!="","",VLOOKUP(#REF!,ФиКод[],8,0))</f>
        <v>#REF!</v>
      </c>
      <c r="E909" s="1" t="e">
        <f aca="false">IF(#REF!="","",VLOOKUP(#REF!,ФиКод[],9,0))</f>
        <v>#REF!</v>
      </c>
      <c r="F909" s="1" t="e">
        <f aca="false">IF(#REF!="","",VLOOKUP(#REF!,ФиКод[],10,0))</f>
        <v>#REF!</v>
      </c>
    </row>
    <row r="910" customFormat="false" ht="12.75" hidden="false" customHeight="false" outlineLevel="0" collapsed="false">
      <c r="A910" s="1" t="e">
        <f aca="false">IF(#REF!="","",VLOOKUP(#REF!,ФиКод[],8,0))</f>
        <v>#REF!</v>
      </c>
      <c r="E910" s="1" t="e">
        <f aca="false">IF(#REF!="","",VLOOKUP(#REF!,ФиКод[],9,0))</f>
        <v>#REF!</v>
      </c>
      <c r="F910" s="1" t="e">
        <f aca="false">IF(#REF!="","",VLOOKUP(#REF!,ФиКод[],10,0))</f>
        <v>#REF!</v>
      </c>
    </row>
    <row r="911" customFormat="false" ht="12.75" hidden="false" customHeight="false" outlineLevel="0" collapsed="false">
      <c r="A911" s="1" t="e">
        <f aca="false">IF(#REF!="","",VLOOKUP(#REF!,ФиКод[],8,0))</f>
        <v>#REF!</v>
      </c>
      <c r="E911" s="1" t="e">
        <f aca="false">IF(#REF!="","",VLOOKUP(#REF!,ФиКод[],9,0))</f>
        <v>#REF!</v>
      </c>
      <c r="F911" s="1" t="e">
        <f aca="false">IF(#REF!="","",VLOOKUP(#REF!,ФиКод[],10,0))</f>
        <v>#REF!</v>
      </c>
    </row>
    <row r="912" customFormat="false" ht="12.75" hidden="false" customHeight="false" outlineLevel="0" collapsed="false">
      <c r="A912" s="1" t="e">
        <f aca="false">IF(#REF!="","",VLOOKUP(#REF!,ФиКод[],8,0))</f>
        <v>#REF!</v>
      </c>
      <c r="E912" s="1" t="e">
        <f aca="false">IF(#REF!="","",VLOOKUP(#REF!,ФиКод[],9,0))</f>
        <v>#REF!</v>
      </c>
      <c r="F912" s="1" t="e">
        <f aca="false">IF(#REF!="","",VLOOKUP(#REF!,ФиКод[],10,0))</f>
        <v>#REF!</v>
      </c>
    </row>
    <row r="913" customFormat="false" ht="12.75" hidden="false" customHeight="false" outlineLevel="0" collapsed="false">
      <c r="A913" s="1" t="e">
        <f aca="false">IF(#REF!="","",VLOOKUP(#REF!,ФиКод[],8,0))</f>
        <v>#REF!</v>
      </c>
      <c r="E913" s="1" t="e">
        <f aca="false">IF(#REF!="","",VLOOKUP(#REF!,ФиКод[],9,0))</f>
        <v>#REF!</v>
      </c>
      <c r="F913" s="1" t="e">
        <f aca="false">IF(#REF!="","",VLOOKUP(#REF!,ФиКод[],10,0))</f>
        <v>#REF!</v>
      </c>
    </row>
    <row r="914" customFormat="false" ht="12.75" hidden="false" customHeight="false" outlineLevel="0" collapsed="false">
      <c r="A914" s="1" t="e">
        <f aca="false">IF(#REF!="","",VLOOKUP(#REF!,ФиКод[],8,0))</f>
        <v>#REF!</v>
      </c>
      <c r="E914" s="1" t="e">
        <f aca="false">IF(#REF!="","",VLOOKUP(#REF!,ФиКод[],9,0))</f>
        <v>#REF!</v>
      </c>
      <c r="F914" s="1" t="e">
        <f aca="false">IF(#REF!="","",VLOOKUP(#REF!,ФиКод[],10,0))</f>
        <v>#REF!</v>
      </c>
    </row>
    <row r="915" customFormat="false" ht="12.75" hidden="false" customHeight="false" outlineLevel="0" collapsed="false">
      <c r="A915" s="1" t="e">
        <f aca="false">IF(#REF!="","",VLOOKUP(#REF!,ФиКод[],8,0))</f>
        <v>#REF!</v>
      </c>
      <c r="E915" s="1" t="e">
        <f aca="false">IF(#REF!="","",VLOOKUP(#REF!,ФиКод[],9,0))</f>
        <v>#REF!</v>
      </c>
      <c r="F915" s="1" t="e">
        <f aca="false">IF(#REF!="","",VLOOKUP(#REF!,ФиКод[],10,0))</f>
        <v>#REF!</v>
      </c>
    </row>
    <row r="916" customFormat="false" ht="12.75" hidden="false" customHeight="false" outlineLevel="0" collapsed="false">
      <c r="A916" s="1" t="e">
        <f aca="false">IF(#REF!="","",VLOOKUP(#REF!,ФиКод[],8,0))</f>
        <v>#REF!</v>
      </c>
      <c r="E916" s="1" t="e">
        <f aca="false">IF(#REF!="","",VLOOKUP(#REF!,ФиКод[],9,0))</f>
        <v>#REF!</v>
      </c>
      <c r="F916" s="1" t="e">
        <f aca="false">IF(#REF!="","",VLOOKUP(#REF!,ФиКод[],10,0))</f>
        <v>#REF!</v>
      </c>
    </row>
    <row r="917" customFormat="false" ht="12.75" hidden="false" customHeight="false" outlineLevel="0" collapsed="false">
      <c r="A917" s="1" t="e">
        <f aca="false">IF(#REF!="","",VLOOKUP(#REF!,ФиКод[],8,0))</f>
        <v>#REF!</v>
      </c>
      <c r="E917" s="1" t="e">
        <f aca="false">IF(#REF!="","",VLOOKUP(#REF!,ФиКод[],9,0))</f>
        <v>#REF!</v>
      </c>
      <c r="F917" s="1" t="e">
        <f aca="false">IF(#REF!="","",VLOOKUP(#REF!,ФиКод[],10,0))</f>
        <v>#REF!</v>
      </c>
    </row>
    <row r="918" customFormat="false" ht="12.75" hidden="false" customHeight="false" outlineLevel="0" collapsed="false">
      <c r="A918" s="1" t="e">
        <f aca="false">IF(#REF!="","",VLOOKUP(#REF!,ФиКод[],8,0))</f>
        <v>#REF!</v>
      </c>
      <c r="E918" s="1" t="e">
        <f aca="false">IF(#REF!="","",VLOOKUP(#REF!,ФиКод[],9,0))</f>
        <v>#REF!</v>
      </c>
      <c r="F918" s="1" t="e">
        <f aca="false">IF(#REF!="","",VLOOKUP(#REF!,ФиКод[],10,0))</f>
        <v>#REF!</v>
      </c>
    </row>
    <row r="919" customFormat="false" ht="12.75" hidden="false" customHeight="false" outlineLevel="0" collapsed="false">
      <c r="A919" s="1" t="e">
        <f aca="false">IF(#REF!="","",VLOOKUP(#REF!,ФиКод[],8,0))</f>
        <v>#REF!</v>
      </c>
      <c r="E919" s="1" t="e">
        <f aca="false">IF(#REF!="","",VLOOKUP(#REF!,ФиКод[],9,0))</f>
        <v>#REF!</v>
      </c>
      <c r="F919" s="1" t="e">
        <f aca="false">IF(#REF!="","",VLOOKUP(#REF!,ФиКод[],10,0))</f>
        <v>#REF!</v>
      </c>
    </row>
    <row r="920" customFormat="false" ht="12.75" hidden="false" customHeight="false" outlineLevel="0" collapsed="false">
      <c r="A920" s="1" t="e">
        <f aca="false">IF(#REF!="","",VLOOKUP(#REF!,ФиКод[],8,0))</f>
        <v>#REF!</v>
      </c>
      <c r="E920" s="1" t="e">
        <f aca="false">IF(#REF!="","",VLOOKUP(#REF!,ФиКод[],9,0))</f>
        <v>#REF!</v>
      </c>
      <c r="F920" s="1" t="e">
        <f aca="false">IF(#REF!="","",VLOOKUP(#REF!,ФиКод[],10,0))</f>
        <v>#REF!</v>
      </c>
    </row>
    <row r="921" customFormat="false" ht="12.75" hidden="false" customHeight="false" outlineLevel="0" collapsed="false">
      <c r="A921" s="1" t="e">
        <f aca="false">IF(#REF!="","",VLOOKUP(#REF!,ФиКод[],8,0))</f>
        <v>#REF!</v>
      </c>
      <c r="E921" s="1" t="e">
        <f aca="false">IF(#REF!="","",VLOOKUP(#REF!,ФиКод[],9,0))</f>
        <v>#REF!</v>
      </c>
      <c r="F921" s="1" t="e">
        <f aca="false">IF(#REF!="","",VLOOKUP(#REF!,ФиКод[],10,0))</f>
        <v>#REF!</v>
      </c>
    </row>
    <row r="922" customFormat="false" ht="12.75" hidden="false" customHeight="false" outlineLevel="0" collapsed="false">
      <c r="A922" s="1" t="e">
        <f aca="false">IF(#REF!="","",VLOOKUP(#REF!,ФиКод[],8,0))</f>
        <v>#REF!</v>
      </c>
      <c r="E922" s="1" t="e">
        <f aca="false">IF(#REF!="","",VLOOKUP(#REF!,ФиКод[],9,0))</f>
        <v>#REF!</v>
      </c>
      <c r="F922" s="1" t="e">
        <f aca="false">IF(#REF!="","",VLOOKUP(#REF!,ФиКод[],10,0))</f>
        <v>#REF!</v>
      </c>
    </row>
    <row r="923" customFormat="false" ht="12.75" hidden="false" customHeight="false" outlineLevel="0" collapsed="false">
      <c r="A923" s="1" t="e">
        <f aca="false">IF(#REF!="","",VLOOKUP(#REF!,ФиКод[],8,0))</f>
        <v>#REF!</v>
      </c>
      <c r="E923" s="1" t="e">
        <f aca="false">IF(#REF!="","",VLOOKUP(#REF!,ФиКод[],9,0))</f>
        <v>#REF!</v>
      </c>
      <c r="F923" s="1" t="e">
        <f aca="false">IF(#REF!="","",VLOOKUP(#REF!,ФиКод[],10,0))</f>
        <v>#REF!</v>
      </c>
    </row>
    <row r="924" customFormat="false" ht="12.75" hidden="false" customHeight="false" outlineLevel="0" collapsed="false">
      <c r="A924" s="1" t="e">
        <f aca="false">IF(#REF!="","",VLOOKUP(#REF!,ФиКод[],8,0))</f>
        <v>#REF!</v>
      </c>
      <c r="E924" s="1" t="e">
        <f aca="false">IF(#REF!="","",VLOOKUP(#REF!,ФиКод[],9,0))</f>
        <v>#REF!</v>
      </c>
      <c r="F924" s="1" t="e">
        <f aca="false">IF(#REF!="","",VLOOKUP(#REF!,ФиКод[],10,0))</f>
        <v>#REF!</v>
      </c>
    </row>
    <row r="925" customFormat="false" ht="12.75" hidden="false" customHeight="false" outlineLevel="0" collapsed="false">
      <c r="A925" s="1" t="e">
        <f aca="false">IF(#REF!="","",VLOOKUP(#REF!,ФиКод[],8,0))</f>
        <v>#REF!</v>
      </c>
      <c r="E925" s="1" t="e">
        <f aca="false">IF(#REF!="","",VLOOKUP(#REF!,ФиКод[],9,0))</f>
        <v>#REF!</v>
      </c>
      <c r="F925" s="1" t="e">
        <f aca="false">IF(#REF!="","",VLOOKUP(#REF!,ФиКод[],10,0))</f>
        <v>#REF!</v>
      </c>
    </row>
    <row r="926" customFormat="false" ht="12.75" hidden="false" customHeight="false" outlineLevel="0" collapsed="false">
      <c r="A926" s="1" t="e">
        <f aca="false">IF(#REF!="","",VLOOKUP(#REF!,ФиКод[],8,0))</f>
        <v>#REF!</v>
      </c>
      <c r="E926" s="1" t="e">
        <f aca="false">IF(#REF!="","",VLOOKUP(#REF!,ФиКод[],9,0))</f>
        <v>#REF!</v>
      </c>
      <c r="F926" s="1" t="e">
        <f aca="false">IF(#REF!="","",VLOOKUP(#REF!,ФиКод[],10,0))</f>
        <v>#REF!</v>
      </c>
    </row>
    <row r="927" customFormat="false" ht="12.75" hidden="false" customHeight="false" outlineLevel="0" collapsed="false">
      <c r="A927" s="1" t="e">
        <f aca="false">IF(#REF!="","",VLOOKUP(#REF!,ФиКод[],8,0))</f>
        <v>#REF!</v>
      </c>
      <c r="E927" s="1" t="e">
        <f aca="false">IF(#REF!="","",VLOOKUP(#REF!,ФиКод[],9,0))</f>
        <v>#REF!</v>
      </c>
      <c r="F927" s="1" t="e">
        <f aca="false">IF(#REF!="","",VLOOKUP(#REF!,ФиКод[],10,0))</f>
        <v>#REF!</v>
      </c>
    </row>
    <row r="928" customFormat="false" ht="12.75" hidden="false" customHeight="false" outlineLevel="0" collapsed="false">
      <c r="A928" s="1" t="e">
        <f aca="false">IF(#REF!="","",VLOOKUP(#REF!,ФиКод[],8,0))</f>
        <v>#REF!</v>
      </c>
      <c r="E928" s="1" t="e">
        <f aca="false">IF(#REF!="","",VLOOKUP(#REF!,ФиКод[],9,0))</f>
        <v>#REF!</v>
      </c>
      <c r="F928" s="1" t="e">
        <f aca="false">IF(#REF!="","",VLOOKUP(#REF!,ФиКод[],10,0))</f>
        <v>#REF!</v>
      </c>
    </row>
    <row r="929" customFormat="false" ht="12.75" hidden="false" customHeight="false" outlineLevel="0" collapsed="false">
      <c r="A929" s="1" t="e">
        <f aca="false">IF(#REF!="","",VLOOKUP(#REF!,ФиКод[],8,0))</f>
        <v>#REF!</v>
      </c>
      <c r="E929" s="1" t="e">
        <f aca="false">IF(#REF!="","",VLOOKUP(#REF!,ФиКод[],9,0))</f>
        <v>#REF!</v>
      </c>
      <c r="F929" s="1" t="e">
        <f aca="false">IF(#REF!="","",VLOOKUP(#REF!,ФиКод[],10,0))</f>
        <v>#REF!</v>
      </c>
    </row>
    <row r="930" customFormat="false" ht="12.75" hidden="false" customHeight="false" outlineLevel="0" collapsed="false">
      <c r="A930" s="1" t="e">
        <f aca="false">IF(#REF!="","",VLOOKUP(#REF!,ФиКод[],8,0))</f>
        <v>#REF!</v>
      </c>
      <c r="E930" s="1" t="e">
        <f aca="false">IF(#REF!="","",VLOOKUP(#REF!,ФиКод[],9,0))</f>
        <v>#REF!</v>
      </c>
      <c r="F930" s="1" t="e">
        <f aca="false">IF(#REF!="","",VLOOKUP(#REF!,ФиКод[],10,0))</f>
        <v>#REF!</v>
      </c>
    </row>
    <row r="931" customFormat="false" ht="12.75" hidden="false" customHeight="false" outlineLevel="0" collapsed="false">
      <c r="A931" s="1" t="e">
        <f aca="false">IF(#REF!="","",VLOOKUP(#REF!,ФиКод[],8,0))</f>
        <v>#REF!</v>
      </c>
      <c r="E931" s="1" t="e">
        <f aca="false">IF(#REF!="","",VLOOKUP(#REF!,ФиКод[],9,0))</f>
        <v>#REF!</v>
      </c>
      <c r="F931" s="1" t="e">
        <f aca="false">IF(#REF!="","",VLOOKUP(#REF!,ФиКод[],10,0))</f>
        <v>#REF!</v>
      </c>
    </row>
    <row r="932" customFormat="false" ht="12.75" hidden="false" customHeight="false" outlineLevel="0" collapsed="false">
      <c r="A932" s="1" t="e">
        <f aca="false">IF(#REF!="","",VLOOKUP(#REF!,ФиКод[],8,0))</f>
        <v>#REF!</v>
      </c>
      <c r="E932" s="1" t="e">
        <f aca="false">IF(#REF!="","",VLOOKUP(#REF!,ФиКод[],9,0))</f>
        <v>#REF!</v>
      </c>
      <c r="F932" s="1" t="e">
        <f aca="false">IF(#REF!="","",VLOOKUP(#REF!,ФиКод[],10,0))</f>
        <v>#REF!</v>
      </c>
    </row>
    <row r="933" customFormat="false" ht="12.75" hidden="false" customHeight="false" outlineLevel="0" collapsed="false">
      <c r="A933" s="1" t="e">
        <f aca="false">IF(#REF!="","",VLOOKUP(#REF!,ФиКод[],8,0))</f>
        <v>#REF!</v>
      </c>
      <c r="E933" s="1" t="e">
        <f aca="false">IF(#REF!="","",VLOOKUP(#REF!,ФиКод[],9,0))</f>
        <v>#REF!</v>
      </c>
      <c r="F933" s="1" t="e">
        <f aca="false">IF(#REF!="","",VLOOKUP(#REF!,ФиКод[],10,0))</f>
        <v>#REF!</v>
      </c>
    </row>
    <row r="934" customFormat="false" ht="12.75" hidden="false" customHeight="false" outlineLevel="0" collapsed="false">
      <c r="A934" s="1" t="e">
        <f aca="false">IF(#REF!="","",VLOOKUP(#REF!,ФиКод[],8,0))</f>
        <v>#REF!</v>
      </c>
      <c r="E934" s="1" t="e">
        <f aca="false">IF(#REF!="","",VLOOKUP(#REF!,ФиКод[],9,0))</f>
        <v>#REF!</v>
      </c>
      <c r="F934" s="1" t="e">
        <f aca="false">IF(#REF!="","",VLOOKUP(#REF!,ФиКод[],10,0))</f>
        <v>#REF!</v>
      </c>
    </row>
    <row r="935" customFormat="false" ht="12.75" hidden="false" customHeight="false" outlineLevel="0" collapsed="false">
      <c r="A935" s="1" t="e">
        <f aca="false">IF(#REF!="","",VLOOKUP(#REF!,ФиКод[],8,0))</f>
        <v>#REF!</v>
      </c>
      <c r="E935" s="1" t="e">
        <f aca="false">IF(#REF!="","",VLOOKUP(#REF!,ФиКод[],9,0))</f>
        <v>#REF!</v>
      </c>
      <c r="F935" s="1" t="e">
        <f aca="false">IF(#REF!="","",VLOOKUP(#REF!,ФиКод[],10,0))</f>
        <v>#REF!</v>
      </c>
    </row>
    <row r="936" customFormat="false" ht="12.75" hidden="false" customHeight="false" outlineLevel="0" collapsed="false">
      <c r="A936" s="1" t="e">
        <f aca="false">IF(#REF!="","",VLOOKUP(#REF!,ФиКод[],8,0))</f>
        <v>#REF!</v>
      </c>
      <c r="E936" s="1" t="e">
        <f aca="false">IF(#REF!="","",VLOOKUP(#REF!,ФиКод[],9,0))</f>
        <v>#REF!</v>
      </c>
      <c r="F936" s="1" t="e">
        <f aca="false">IF(#REF!="","",VLOOKUP(#REF!,ФиКод[],10,0))</f>
        <v>#REF!</v>
      </c>
    </row>
    <row r="937" customFormat="false" ht="12.75" hidden="false" customHeight="false" outlineLevel="0" collapsed="false">
      <c r="A937" s="1" t="e">
        <f aca="false">IF(#REF!="","",VLOOKUP(#REF!,ФиКод[],8,0))</f>
        <v>#REF!</v>
      </c>
      <c r="E937" s="1" t="e">
        <f aca="false">IF(#REF!="","",VLOOKUP(#REF!,ФиКод[],9,0))</f>
        <v>#REF!</v>
      </c>
      <c r="F937" s="1" t="e">
        <f aca="false">IF(#REF!="","",VLOOKUP(#REF!,ФиКод[],10,0))</f>
        <v>#REF!</v>
      </c>
    </row>
    <row r="938" customFormat="false" ht="12.75" hidden="false" customHeight="false" outlineLevel="0" collapsed="false">
      <c r="A938" s="1" t="e">
        <f aca="false">IF(#REF!="","",VLOOKUP(#REF!,ФиКод[],8,0))</f>
        <v>#REF!</v>
      </c>
      <c r="E938" s="1" t="e">
        <f aca="false">IF(#REF!="","",VLOOKUP(#REF!,ФиКод[],9,0))</f>
        <v>#REF!</v>
      </c>
      <c r="F938" s="1" t="e">
        <f aca="false">IF(#REF!="","",VLOOKUP(#REF!,ФиКод[],10,0))</f>
        <v>#REF!</v>
      </c>
    </row>
    <row r="939" customFormat="false" ht="12.75" hidden="false" customHeight="false" outlineLevel="0" collapsed="false">
      <c r="A939" s="1" t="e">
        <f aca="false">IF(#REF!="","",VLOOKUP(#REF!,ФиКод[],8,0))</f>
        <v>#REF!</v>
      </c>
      <c r="E939" s="1" t="e">
        <f aca="false">IF(#REF!="","",VLOOKUP(#REF!,ФиКод[],9,0))</f>
        <v>#REF!</v>
      </c>
      <c r="F939" s="1" t="e">
        <f aca="false">IF(#REF!="","",VLOOKUP(#REF!,ФиКод[],10,0))</f>
        <v>#REF!</v>
      </c>
    </row>
    <row r="940" customFormat="false" ht="12.75" hidden="false" customHeight="false" outlineLevel="0" collapsed="false">
      <c r="A940" s="1" t="e">
        <f aca="false">IF(#REF!="","",VLOOKUP(#REF!,ФиКод[],8,0))</f>
        <v>#REF!</v>
      </c>
      <c r="E940" s="1" t="e">
        <f aca="false">IF(#REF!="","",VLOOKUP(#REF!,ФиКод[],9,0))</f>
        <v>#REF!</v>
      </c>
      <c r="F940" s="1" t="e">
        <f aca="false">IF(#REF!="","",VLOOKUP(#REF!,ФиКод[],10,0))</f>
        <v>#REF!</v>
      </c>
    </row>
    <row r="941" customFormat="false" ht="12.75" hidden="false" customHeight="false" outlineLevel="0" collapsed="false">
      <c r="A941" s="1" t="e">
        <f aca="false">IF(#REF!="","",VLOOKUP(#REF!,ФиКод[],8,0))</f>
        <v>#REF!</v>
      </c>
      <c r="E941" s="1" t="e">
        <f aca="false">IF(#REF!="","",VLOOKUP(#REF!,ФиКод[],9,0))</f>
        <v>#REF!</v>
      </c>
      <c r="F941" s="1" t="e">
        <f aca="false">IF(#REF!="","",VLOOKUP(#REF!,ФиКод[],10,0))</f>
        <v>#REF!</v>
      </c>
    </row>
    <row r="942" customFormat="false" ht="12.75" hidden="false" customHeight="false" outlineLevel="0" collapsed="false">
      <c r="A942" s="1" t="e">
        <f aca="false">IF(#REF!="","",VLOOKUP(#REF!,ФиКод[],8,0))</f>
        <v>#REF!</v>
      </c>
      <c r="E942" s="1" t="e">
        <f aca="false">IF(#REF!="","",VLOOKUP(#REF!,ФиКод[],9,0))</f>
        <v>#REF!</v>
      </c>
      <c r="F942" s="1" t="e">
        <f aca="false">IF(#REF!="","",VLOOKUP(#REF!,ФиКод[],10,0))</f>
        <v>#REF!</v>
      </c>
    </row>
    <row r="943" customFormat="false" ht="12.75" hidden="false" customHeight="false" outlineLevel="0" collapsed="false">
      <c r="A943" s="1" t="e">
        <f aca="false">IF(#REF!="","",VLOOKUP(#REF!,ФиКод[],8,0))</f>
        <v>#REF!</v>
      </c>
      <c r="E943" s="1" t="e">
        <f aca="false">IF(#REF!="","",VLOOKUP(#REF!,ФиКод[],9,0))</f>
        <v>#REF!</v>
      </c>
      <c r="F943" s="1" t="e">
        <f aca="false">IF(#REF!="","",VLOOKUP(#REF!,ФиКод[],10,0))</f>
        <v>#REF!</v>
      </c>
    </row>
    <row r="944" customFormat="false" ht="12.75" hidden="false" customHeight="false" outlineLevel="0" collapsed="false">
      <c r="A944" s="1" t="e">
        <f aca="false">IF(#REF!="","",VLOOKUP(#REF!,ФиКод[],8,0))</f>
        <v>#REF!</v>
      </c>
      <c r="E944" s="1" t="e">
        <f aca="false">IF(#REF!="","",VLOOKUP(#REF!,ФиКод[],9,0))</f>
        <v>#REF!</v>
      </c>
      <c r="F944" s="1" t="e">
        <f aca="false">IF(#REF!="","",VLOOKUP(#REF!,ФиКод[],10,0))</f>
        <v>#REF!</v>
      </c>
    </row>
    <row r="945" customFormat="false" ht="12.75" hidden="false" customHeight="false" outlineLevel="0" collapsed="false">
      <c r="A945" s="1" t="e">
        <f aca="false">IF(#REF!="","",VLOOKUP(#REF!,ФиКод[],8,0))</f>
        <v>#REF!</v>
      </c>
      <c r="E945" s="1" t="e">
        <f aca="false">IF(#REF!="","",VLOOKUP(#REF!,ФиКод[],9,0))</f>
        <v>#REF!</v>
      </c>
      <c r="F945" s="1" t="e">
        <f aca="false">IF(#REF!="","",VLOOKUP(#REF!,ФиКод[],10,0))</f>
        <v>#REF!</v>
      </c>
    </row>
    <row r="946" customFormat="false" ht="12.75" hidden="false" customHeight="false" outlineLevel="0" collapsed="false">
      <c r="A946" s="1" t="e">
        <f aca="false">IF(#REF!="","",VLOOKUP(#REF!,ФиКод[],8,0))</f>
        <v>#REF!</v>
      </c>
      <c r="E946" s="1" t="e">
        <f aca="false">IF(#REF!="","",VLOOKUP(#REF!,ФиКод[],9,0))</f>
        <v>#REF!</v>
      </c>
      <c r="F946" s="1" t="e">
        <f aca="false">IF(#REF!="","",VLOOKUP(#REF!,ФиКод[],10,0))</f>
        <v>#REF!</v>
      </c>
    </row>
    <row r="947" customFormat="false" ht="12.75" hidden="false" customHeight="false" outlineLevel="0" collapsed="false">
      <c r="A947" s="1" t="e">
        <f aca="false">IF(#REF!="","",VLOOKUP(#REF!,ФиКод[],8,0))</f>
        <v>#REF!</v>
      </c>
      <c r="E947" s="1" t="e">
        <f aca="false">IF(#REF!="","",VLOOKUP(#REF!,ФиКод[],9,0))</f>
        <v>#REF!</v>
      </c>
      <c r="F947" s="1" t="e">
        <f aca="false">IF(#REF!="","",VLOOKUP(#REF!,ФиКод[],10,0))</f>
        <v>#REF!</v>
      </c>
    </row>
    <row r="948" customFormat="false" ht="12.75" hidden="false" customHeight="false" outlineLevel="0" collapsed="false">
      <c r="A948" s="1" t="e">
        <f aca="false">IF(#REF!="","",VLOOKUP(#REF!,ФиКод[],8,0))</f>
        <v>#REF!</v>
      </c>
      <c r="E948" s="1" t="e">
        <f aca="false">IF(#REF!="","",VLOOKUP(#REF!,ФиКод[],9,0))</f>
        <v>#REF!</v>
      </c>
      <c r="F948" s="1" t="e">
        <f aca="false">IF(#REF!="","",VLOOKUP(#REF!,ФиКод[],10,0))</f>
        <v>#REF!</v>
      </c>
    </row>
    <row r="949" customFormat="false" ht="12.75" hidden="false" customHeight="false" outlineLevel="0" collapsed="false">
      <c r="A949" s="1" t="e">
        <f aca="false">IF(#REF!="","",VLOOKUP(#REF!,ФиКод[],8,0))</f>
        <v>#REF!</v>
      </c>
      <c r="E949" s="1" t="e">
        <f aca="false">IF(#REF!="","",VLOOKUP(#REF!,ФиКод[],9,0))</f>
        <v>#REF!</v>
      </c>
      <c r="F949" s="1" t="e">
        <f aca="false">IF(#REF!="","",VLOOKUP(#REF!,ФиКод[],10,0))</f>
        <v>#REF!</v>
      </c>
    </row>
    <row r="950" customFormat="false" ht="12.75" hidden="false" customHeight="false" outlineLevel="0" collapsed="false">
      <c r="A950" s="1" t="e">
        <f aca="false">IF(#REF!="","",VLOOKUP(#REF!,ФиКод[],8,0))</f>
        <v>#REF!</v>
      </c>
      <c r="E950" s="1" t="e">
        <f aca="false">IF(#REF!="","",VLOOKUP(#REF!,ФиКод[],9,0))</f>
        <v>#REF!</v>
      </c>
      <c r="F950" s="1" t="e">
        <f aca="false">IF(#REF!="","",VLOOKUP(#REF!,ФиКод[],10,0))</f>
        <v>#REF!</v>
      </c>
    </row>
    <row r="951" customFormat="false" ht="12.75" hidden="false" customHeight="false" outlineLevel="0" collapsed="false">
      <c r="A951" s="1" t="e">
        <f aca="false">IF(#REF!="","",VLOOKUP(#REF!,ФиКод[],8,0))</f>
        <v>#REF!</v>
      </c>
      <c r="E951" s="1" t="e">
        <f aca="false">IF(#REF!="","",VLOOKUP(#REF!,ФиКод[],9,0))</f>
        <v>#REF!</v>
      </c>
      <c r="F951" s="1" t="e">
        <f aca="false">IF(#REF!="","",VLOOKUP(#REF!,ФиКод[],10,0))</f>
        <v>#REF!</v>
      </c>
    </row>
    <row r="952" customFormat="false" ht="12.75" hidden="false" customHeight="false" outlineLevel="0" collapsed="false">
      <c r="A952" s="1" t="e">
        <f aca="false">IF(#REF!="","",VLOOKUP(#REF!,ФиКод[],8,0))</f>
        <v>#REF!</v>
      </c>
      <c r="E952" s="1" t="e">
        <f aca="false">IF(#REF!="","",VLOOKUP(#REF!,ФиКод[],9,0))</f>
        <v>#REF!</v>
      </c>
      <c r="F952" s="1" t="e">
        <f aca="false">IF(#REF!="","",VLOOKUP(#REF!,ФиКод[],10,0))</f>
        <v>#REF!</v>
      </c>
    </row>
    <row r="953" customFormat="false" ht="12.75" hidden="false" customHeight="false" outlineLevel="0" collapsed="false">
      <c r="A953" s="1" t="e">
        <f aca="false">IF(#REF!="","",VLOOKUP(#REF!,ФиКод[],8,0))</f>
        <v>#REF!</v>
      </c>
      <c r="E953" s="1" t="e">
        <f aca="false">IF(#REF!="","",VLOOKUP(#REF!,ФиКод[],9,0))</f>
        <v>#REF!</v>
      </c>
      <c r="F953" s="1" t="e">
        <f aca="false">IF(#REF!="","",VLOOKUP(#REF!,ФиКод[],10,0))</f>
        <v>#REF!</v>
      </c>
    </row>
    <row r="954" customFormat="false" ht="12.75" hidden="false" customHeight="false" outlineLevel="0" collapsed="false">
      <c r="A954" s="1" t="e">
        <f aca="false">IF(#REF!="","",VLOOKUP(#REF!,ФиКод[],8,0))</f>
        <v>#REF!</v>
      </c>
      <c r="E954" s="1" t="e">
        <f aca="false">IF(#REF!="","",VLOOKUP(#REF!,ФиКод[],9,0))</f>
        <v>#REF!</v>
      </c>
      <c r="F954" s="1" t="e">
        <f aca="false">IF(#REF!="","",VLOOKUP(#REF!,ФиКод[],10,0))</f>
        <v>#REF!</v>
      </c>
    </row>
    <row r="955" customFormat="false" ht="12.75" hidden="false" customHeight="false" outlineLevel="0" collapsed="false">
      <c r="A955" s="1" t="e">
        <f aca="false">IF(#REF!="","",VLOOKUP(#REF!,ФиКод[],8,0))</f>
        <v>#REF!</v>
      </c>
      <c r="E955" s="1" t="e">
        <f aca="false">IF(#REF!="","",VLOOKUP(#REF!,ФиКод[],9,0))</f>
        <v>#REF!</v>
      </c>
      <c r="F955" s="1" t="e">
        <f aca="false">IF(#REF!="","",VLOOKUP(#REF!,ФиКод[],10,0))</f>
        <v>#REF!</v>
      </c>
    </row>
    <row r="956" customFormat="false" ht="12.75" hidden="false" customHeight="false" outlineLevel="0" collapsed="false">
      <c r="A956" s="1" t="e">
        <f aca="false">IF(#REF!="","",VLOOKUP(#REF!,ФиКод[],8,0))</f>
        <v>#REF!</v>
      </c>
      <c r="E956" s="1" t="e">
        <f aca="false">IF(#REF!="","",VLOOKUP(#REF!,ФиКод[],9,0))</f>
        <v>#REF!</v>
      </c>
      <c r="F956" s="1" t="e">
        <f aca="false">IF(#REF!="","",VLOOKUP(#REF!,ФиКод[],10,0))</f>
        <v>#REF!</v>
      </c>
    </row>
    <row r="957" customFormat="false" ht="12.75" hidden="false" customHeight="false" outlineLevel="0" collapsed="false">
      <c r="A957" s="1" t="e">
        <f aca="false">IF(#REF!="","",VLOOKUP(#REF!,ФиКод[],8,0))</f>
        <v>#REF!</v>
      </c>
      <c r="E957" s="1" t="e">
        <f aca="false">IF(#REF!="","",VLOOKUP(#REF!,ФиКод[],9,0))</f>
        <v>#REF!</v>
      </c>
      <c r="F957" s="1" t="e">
        <f aca="false">IF(#REF!="","",VLOOKUP(#REF!,ФиКод[],10,0))</f>
        <v>#REF!</v>
      </c>
    </row>
    <row r="958" customFormat="false" ht="12.75" hidden="false" customHeight="false" outlineLevel="0" collapsed="false">
      <c r="A958" s="1" t="e">
        <f aca="false">IF(#REF!="","",VLOOKUP(#REF!,ФиКод[],8,0))</f>
        <v>#REF!</v>
      </c>
      <c r="E958" s="1" t="e">
        <f aca="false">IF(#REF!="","",VLOOKUP(#REF!,ФиКод[],9,0))</f>
        <v>#REF!</v>
      </c>
      <c r="F958" s="1" t="e">
        <f aca="false">IF(#REF!="","",VLOOKUP(#REF!,ФиКод[],10,0))</f>
        <v>#REF!</v>
      </c>
    </row>
    <row r="959" customFormat="false" ht="12.75" hidden="false" customHeight="false" outlineLevel="0" collapsed="false">
      <c r="A959" s="1" t="e">
        <f aca="false">IF(#REF!="","",VLOOKUP(#REF!,ФиКод[],8,0))</f>
        <v>#REF!</v>
      </c>
      <c r="E959" s="1" t="e">
        <f aca="false">IF(#REF!="","",VLOOKUP(#REF!,ФиКод[],9,0))</f>
        <v>#REF!</v>
      </c>
      <c r="F959" s="1" t="e">
        <f aca="false">IF(#REF!="","",VLOOKUP(#REF!,ФиКод[],10,0))</f>
        <v>#REF!</v>
      </c>
    </row>
    <row r="960" customFormat="false" ht="12.75" hidden="false" customHeight="false" outlineLevel="0" collapsed="false">
      <c r="A960" s="1" t="e">
        <f aca="false">IF(#REF!="","",VLOOKUP(#REF!,ФиКод[],8,0))</f>
        <v>#REF!</v>
      </c>
      <c r="E960" s="1" t="e">
        <f aca="false">IF(#REF!="","",VLOOKUP(#REF!,ФиКод[],9,0))</f>
        <v>#REF!</v>
      </c>
      <c r="F960" s="1" t="e">
        <f aca="false">IF(#REF!="","",VLOOKUP(#REF!,ФиКод[],10,0))</f>
        <v>#REF!</v>
      </c>
    </row>
    <row r="961" customFormat="false" ht="12.75" hidden="false" customHeight="false" outlineLevel="0" collapsed="false">
      <c r="A961" s="1" t="e">
        <f aca="false">IF(#REF!="","",VLOOKUP(#REF!,ФиКод[],8,0))</f>
        <v>#REF!</v>
      </c>
      <c r="E961" s="1" t="e">
        <f aca="false">IF(#REF!="","",VLOOKUP(#REF!,ФиКод[],9,0))</f>
        <v>#REF!</v>
      </c>
      <c r="F961" s="1" t="e">
        <f aca="false">IF(#REF!="","",VLOOKUP(#REF!,ФиКод[],10,0))</f>
        <v>#REF!</v>
      </c>
    </row>
    <row r="962" customFormat="false" ht="12.75" hidden="false" customHeight="false" outlineLevel="0" collapsed="false">
      <c r="A962" s="1" t="e">
        <f aca="false">IF(#REF!="","",VLOOKUP(#REF!,ФиКод[],8,0))</f>
        <v>#REF!</v>
      </c>
      <c r="E962" s="1" t="e">
        <f aca="false">IF(#REF!="","",VLOOKUP(#REF!,ФиКод[],9,0))</f>
        <v>#REF!</v>
      </c>
      <c r="F962" s="1" t="e">
        <f aca="false">IF(#REF!="","",VLOOKUP(#REF!,ФиКод[],10,0))</f>
        <v>#REF!</v>
      </c>
    </row>
    <row r="963" customFormat="false" ht="12.75" hidden="false" customHeight="false" outlineLevel="0" collapsed="false">
      <c r="A963" s="1" t="e">
        <f aca="false">IF(#REF!="","",VLOOKUP(#REF!,ФиКод[],8,0))</f>
        <v>#REF!</v>
      </c>
      <c r="E963" s="1" t="e">
        <f aca="false">IF(#REF!="","",VLOOKUP(#REF!,ФиКод[],9,0))</f>
        <v>#REF!</v>
      </c>
      <c r="F963" s="1" t="e">
        <f aca="false">IF(#REF!="","",VLOOKUP(#REF!,ФиКод[],10,0))</f>
        <v>#REF!</v>
      </c>
    </row>
    <row r="964" customFormat="false" ht="12.75" hidden="false" customHeight="false" outlineLevel="0" collapsed="false">
      <c r="A964" s="1" t="e">
        <f aca="false">IF(#REF!="","",VLOOKUP(#REF!,ФиКод[],8,0))</f>
        <v>#REF!</v>
      </c>
      <c r="E964" s="1" t="e">
        <f aca="false">IF(#REF!="","",VLOOKUP(#REF!,ФиКод[],9,0))</f>
        <v>#REF!</v>
      </c>
      <c r="F964" s="1" t="e">
        <f aca="false">IF(#REF!="","",VLOOKUP(#REF!,ФиКод[],10,0))</f>
        <v>#REF!</v>
      </c>
    </row>
    <row r="965" customFormat="false" ht="12.75" hidden="false" customHeight="false" outlineLevel="0" collapsed="false">
      <c r="A965" s="1" t="e">
        <f aca="false">IF(#REF!="","",VLOOKUP(#REF!,ФиКод[],8,0))</f>
        <v>#REF!</v>
      </c>
      <c r="E965" s="1" t="e">
        <f aca="false">IF(#REF!="","",VLOOKUP(#REF!,ФиКод[],9,0))</f>
        <v>#REF!</v>
      </c>
      <c r="F965" s="1" t="e">
        <f aca="false">IF(#REF!="","",VLOOKUP(#REF!,ФиКод[],10,0))</f>
        <v>#REF!</v>
      </c>
    </row>
    <row r="966" customFormat="false" ht="12.75" hidden="false" customHeight="false" outlineLevel="0" collapsed="false">
      <c r="A966" s="1" t="e">
        <f aca="false">IF(#REF!="","",VLOOKUP(#REF!,ФиКод[],8,0))</f>
        <v>#REF!</v>
      </c>
      <c r="E966" s="1" t="e">
        <f aca="false">IF(#REF!="","",VLOOKUP(#REF!,ФиКод[],9,0))</f>
        <v>#REF!</v>
      </c>
      <c r="F966" s="1" t="e">
        <f aca="false">IF(#REF!="","",VLOOKUP(#REF!,ФиКод[],10,0))</f>
        <v>#REF!</v>
      </c>
    </row>
    <row r="967" customFormat="false" ht="12.75" hidden="false" customHeight="false" outlineLevel="0" collapsed="false">
      <c r="A967" s="1" t="e">
        <f aca="false">IF(#REF!="","",VLOOKUP(#REF!,ФиКод[],8,0))</f>
        <v>#REF!</v>
      </c>
      <c r="E967" s="1" t="e">
        <f aca="false">IF(#REF!="","",VLOOKUP(#REF!,ФиКод[],9,0))</f>
        <v>#REF!</v>
      </c>
      <c r="F967" s="1" t="e">
        <f aca="false">IF(#REF!="","",VLOOKUP(#REF!,ФиКод[],10,0))</f>
        <v>#REF!</v>
      </c>
    </row>
    <row r="968" customFormat="false" ht="12.75" hidden="false" customHeight="false" outlineLevel="0" collapsed="false">
      <c r="A968" s="1" t="e">
        <f aca="false">IF(#REF!="","",VLOOKUP(#REF!,ФиКод[],8,0))</f>
        <v>#REF!</v>
      </c>
      <c r="E968" s="1" t="e">
        <f aca="false">IF(#REF!="","",VLOOKUP(#REF!,ФиКод[],9,0))</f>
        <v>#REF!</v>
      </c>
      <c r="F968" s="1" t="e">
        <f aca="false">IF(#REF!="","",VLOOKUP(#REF!,ФиКод[],10,0))</f>
        <v>#REF!</v>
      </c>
    </row>
    <row r="969" customFormat="false" ht="12.75" hidden="false" customHeight="false" outlineLevel="0" collapsed="false">
      <c r="A969" s="1" t="e">
        <f aca="false">IF(#REF!="","",VLOOKUP(#REF!,ФиКод[],8,0))</f>
        <v>#REF!</v>
      </c>
      <c r="E969" s="1" t="e">
        <f aca="false">IF(#REF!="","",VLOOKUP(#REF!,ФиКод[],9,0))</f>
        <v>#REF!</v>
      </c>
      <c r="F969" s="1" t="e">
        <f aca="false">IF(#REF!="","",VLOOKUP(#REF!,ФиКод[],10,0))</f>
        <v>#REF!</v>
      </c>
    </row>
    <row r="970" customFormat="false" ht="12.75" hidden="false" customHeight="false" outlineLevel="0" collapsed="false">
      <c r="A970" s="1" t="e">
        <f aca="false">IF(#REF!="","",VLOOKUP(#REF!,ФиКод[],8,0))</f>
        <v>#REF!</v>
      </c>
      <c r="E970" s="1" t="e">
        <f aca="false">IF(#REF!="","",VLOOKUP(#REF!,ФиКод[],9,0))</f>
        <v>#REF!</v>
      </c>
      <c r="F970" s="1" t="e">
        <f aca="false">IF(#REF!="","",VLOOKUP(#REF!,ФиКод[],10,0))</f>
        <v>#REF!</v>
      </c>
    </row>
    <row r="971" customFormat="false" ht="12.75" hidden="false" customHeight="false" outlineLevel="0" collapsed="false">
      <c r="A971" s="1" t="e">
        <f aca="false">IF(#REF!="","",VLOOKUP(#REF!,ФиКод[],8,0))</f>
        <v>#REF!</v>
      </c>
      <c r="E971" s="1" t="e">
        <f aca="false">IF(#REF!="","",VLOOKUP(#REF!,ФиКод[],9,0))</f>
        <v>#REF!</v>
      </c>
      <c r="F971" s="1" t="e">
        <f aca="false">IF(#REF!="","",VLOOKUP(#REF!,ФиКод[],10,0))</f>
        <v>#REF!</v>
      </c>
    </row>
    <row r="972" customFormat="false" ht="12.75" hidden="false" customHeight="false" outlineLevel="0" collapsed="false">
      <c r="A972" s="1" t="e">
        <f aca="false">IF(#REF!="","",VLOOKUP(#REF!,ФиКод[],8,0))</f>
        <v>#REF!</v>
      </c>
      <c r="E972" s="1" t="e">
        <f aca="false">IF(#REF!="","",VLOOKUP(#REF!,ФиКод[],9,0))</f>
        <v>#REF!</v>
      </c>
      <c r="F972" s="1" t="e">
        <f aca="false">IF(#REF!="","",VLOOKUP(#REF!,ФиКод[],10,0))</f>
        <v>#REF!</v>
      </c>
    </row>
    <row r="973" customFormat="false" ht="12.75" hidden="false" customHeight="false" outlineLevel="0" collapsed="false">
      <c r="A973" s="1" t="e">
        <f aca="false">IF(#REF!="","",VLOOKUP(#REF!,ФиКод[],8,0))</f>
        <v>#REF!</v>
      </c>
      <c r="E973" s="1" t="e">
        <f aca="false">IF(#REF!="","",VLOOKUP(#REF!,ФиКод[],9,0))</f>
        <v>#REF!</v>
      </c>
      <c r="F973" s="1" t="e">
        <f aca="false">IF(#REF!="","",VLOOKUP(#REF!,ФиКод[],10,0))</f>
        <v>#REF!</v>
      </c>
    </row>
    <row r="974" customFormat="false" ht="12.75" hidden="false" customHeight="false" outlineLevel="0" collapsed="false">
      <c r="A974" s="1" t="e">
        <f aca="false">IF(#REF!="","",VLOOKUP(#REF!,ФиКод[],8,0))</f>
        <v>#REF!</v>
      </c>
      <c r="E974" s="1" t="e">
        <f aca="false">IF(#REF!="","",VLOOKUP(#REF!,ФиКод[],9,0))</f>
        <v>#REF!</v>
      </c>
      <c r="F974" s="1" t="e">
        <f aca="false">IF(#REF!="","",VLOOKUP(#REF!,ФиКод[],10,0))</f>
        <v>#REF!</v>
      </c>
    </row>
    <row r="975" customFormat="false" ht="12.75" hidden="false" customHeight="false" outlineLevel="0" collapsed="false">
      <c r="A975" s="1" t="e">
        <f aca="false">IF(#REF!="","",VLOOKUP(#REF!,ФиКод[],8,0))</f>
        <v>#REF!</v>
      </c>
      <c r="E975" s="1" t="e">
        <f aca="false">IF(#REF!="","",VLOOKUP(#REF!,ФиКод[],9,0))</f>
        <v>#REF!</v>
      </c>
      <c r="F975" s="1" t="e">
        <f aca="false">IF(#REF!="","",VLOOKUP(#REF!,ФиКод[],10,0))</f>
        <v>#REF!</v>
      </c>
    </row>
    <row r="976" customFormat="false" ht="12.75" hidden="false" customHeight="false" outlineLevel="0" collapsed="false">
      <c r="A976" s="1" t="e">
        <f aca="false">IF(#REF!="","",VLOOKUP(#REF!,ФиКод[],8,0))</f>
        <v>#REF!</v>
      </c>
      <c r="E976" s="1" t="e">
        <f aca="false">IF(#REF!="","",VLOOKUP(#REF!,ФиКод[],9,0))</f>
        <v>#REF!</v>
      </c>
      <c r="F976" s="1" t="e">
        <f aca="false">IF(#REF!="","",VLOOKUP(#REF!,ФиКод[],10,0))</f>
        <v>#REF!</v>
      </c>
    </row>
    <row r="977" customFormat="false" ht="12.75" hidden="false" customHeight="false" outlineLevel="0" collapsed="false">
      <c r="A977" s="1" t="e">
        <f aca="false">IF(#REF!="","",VLOOKUP(#REF!,ФиКод[],8,0))</f>
        <v>#REF!</v>
      </c>
      <c r="E977" s="1" t="e">
        <f aca="false">IF(#REF!="","",VLOOKUP(#REF!,ФиКод[],9,0))</f>
        <v>#REF!</v>
      </c>
      <c r="F977" s="1" t="e">
        <f aca="false">IF(#REF!="","",VLOOKUP(#REF!,ФиКод[],10,0))</f>
        <v>#REF!</v>
      </c>
    </row>
    <row r="978" customFormat="false" ht="12.75" hidden="false" customHeight="false" outlineLevel="0" collapsed="false">
      <c r="A978" s="1" t="e">
        <f aca="false">IF(#REF!="","",VLOOKUP(#REF!,ФиКод[],8,0))</f>
        <v>#REF!</v>
      </c>
      <c r="E978" s="1" t="e">
        <f aca="false">IF(#REF!="","",VLOOKUP(#REF!,ФиКод[],9,0))</f>
        <v>#REF!</v>
      </c>
      <c r="F978" s="1" t="e">
        <f aca="false">IF(#REF!="","",VLOOKUP(#REF!,ФиКод[],10,0))</f>
        <v>#REF!</v>
      </c>
    </row>
    <row r="979" customFormat="false" ht="12.75" hidden="false" customHeight="false" outlineLevel="0" collapsed="false">
      <c r="A979" s="1" t="e">
        <f aca="false">IF(#REF!="","",VLOOKUP(#REF!,ФиКод[],8,0))</f>
        <v>#REF!</v>
      </c>
      <c r="E979" s="1" t="e">
        <f aca="false">IF(#REF!="","",VLOOKUP(#REF!,ФиКод[],9,0))</f>
        <v>#REF!</v>
      </c>
      <c r="F979" s="1" t="e">
        <f aca="false">IF(#REF!="","",VLOOKUP(#REF!,ФиКод[],10,0))</f>
        <v>#REF!</v>
      </c>
    </row>
    <row r="980" customFormat="false" ht="12.75" hidden="false" customHeight="false" outlineLevel="0" collapsed="false">
      <c r="A980" s="1" t="e">
        <f aca="false">IF(#REF!="","",VLOOKUP(#REF!,ФиКод[],8,0))</f>
        <v>#REF!</v>
      </c>
      <c r="E980" s="1" t="e">
        <f aca="false">IF(#REF!="","",VLOOKUP(#REF!,ФиКод[],9,0))</f>
        <v>#REF!</v>
      </c>
      <c r="F980" s="1" t="e">
        <f aca="false">IF(#REF!="","",VLOOKUP(#REF!,ФиКод[],10,0))</f>
        <v>#REF!</v>
      </c>
    </row>
    <row r="981" customFormat="false" ht="12.75" hidden="false" customHeight="false" outlineLevel="0" collapsed="false">
      <c r="A981" s="1" t="e">
        <f aca="false">IF(#REF!="","",VLOOKUP(#REF!,ФиКод[],8,0))</f>
        <v>#REF!</v>
      </c>
      <c r="E981" s="1" t="e">
        <f aca="false">IF(#REF!="","",VLOOKUP(#REF!,ФиКод[],9,0))</f>
        <v>#REF!</v>
      </c>
      <c r="F981" s="1" t="e">
        <f aca="false">IF(#REF!="","",VLOOKUP(#REF!,ФиКод[],10,0))</f>
        <v>#REF!</v>
      </c>
    </row>
    <row r="982" customFormat="false" ht="12.75" hidden="false" customHeight="false" outlineLevel="0" collapsed="false">
      <c r="A982" s="1" t="e">
        <f aca="false">IF(#REF!="","",VLOOKUP(#REF!,ФиКод[],8,0))</f>
        <v>#REF!</v>
      </c>
      <c r="E982" s="1" t="e">
        <f aca="false">IF(#REF!="","",VLOOKUP(#REF!,ФиКод[],9,0))</f>
        <v>#REF!</v>
      </c>
      <c r="F982" s="1" t="e">
        <f aca="false">IF(#REF!="","",VLOOKUP(#REF!,ФиКод[],10,0))</f>
        <v>#REF!</v>
      </c>
    </row>
    <row r="983" customFormat="false" ht="12.75" hidden="false" customHeight="false" outlineLevel="0" collapsed="false">
      <c r="A983" s="1" t="e">
        <f aca="false">IF(#REF!="","",VLOOKUP(#REF!,ФиКод[],8,0))</f>
        <v>#REF!</v>
      </c>
      <c r="E983" s="1" t="e">
        <f aca="false">IF(#REF!="","",VLOOKUP(#REF!,ФиКод[],9,0))</f>
        <v>#REF!</v>
      </c>
      <c r="F983" s="1" t="e">
        <f aca="false">IF(#REF!="","",VLOOKUP(#REF!,ФиКод[],10,0))</f>
        <v>#REF!</v>
      </c>
    </row>
    <row r="984" customFormat="false" ht="12.75" hidden="false" customHeight="false" outlineLevel="0" collapsed="false">
      <c r="A984" s="1" t="e">
        <f aca="false">IF(#REF!="","",VLOOKUP(#REF!,ФиКод[],8,0))</f>
        <v>#REF!</v>
      </c>
      <c r="E984" s="1" t="e">
        <f aca="false">IF(#REF!="","",VLOOKUP(#REF!,ФиКод[],9,0))</f>
        <v>#REF!</v>
      </c>
      <c r="F984" s="1" t="e">
        <f aca="false">IF(#REF!="","",VLOOKUP(#REF!,ФиКод[],10,0))</f>
        <v>#REF!</v>
      </c>
    </row>
    <row r="985" customFormat="false" ht="12.75" hidden="false" customHeight="false" outlineLevel="0" collapsed="false">
      <c r="A985" s="1" t="e">
        <f aca="false">IF(#REF!="","",VLOOKUP(#REF!,ФиКод[],8,0))</f>
        <v>#REF!</v>
      </c>
      <c r="E985" s="1" t="e">
        <f aca="false">IF(#REF!="","",VLOOKUP(#REF!,ФиКод[],9,0))</f>
        <v>#REF!</v>
      </c>
      <c r="F985" s="1" t="e">
        <f aca="false">IF(#REF!="","",VLOOKUP(#REF!,ФиКод[],10,0))</f>
        <v>#REF!</v>
      </c>
    </row>
    <row r="986" customFormat="false" ht="12.75" hidden="false" customHeight="false" outlineLevel="0" collapsed="false">
      <c r="A986" s="1" t="e">
        <f aca="false">IF(#REF!="","",VLOOKUP(#REF!,ФиКод[],8,0))</f>
        <v>#REF!</v>
      </c>
      <c r="E986" s="1" t="e">
        <f aca="false">IF(#REF!="","",VLOOKUP(#REF!,ФиКод[],9,0))</f>
        <v>#REF!</v>
      </c>
      <c r="F986" s="1" t="e">
        <f aca="false">IF(#REF!="","",VLOOKUP(#REF!,ФиКод[],10,0))</f>
        <v>#REF!</v>
      </c>
    </row>
    <row r="987" customFormat="false" ht="12.75" hidden="false" customHeight="false" outlineLevel="0" collapsed="false">
      <c r="A987" s="1" t="e">
        <f aca="false">IF(#REF!="","",VLOOKUP(#REF!,ФиКод[],8,0))</f>
        <v>#REF!</v>
      </c>
      <c r="E987" s="1" t="e">
        <f aca="false">IF(#REF!="","",VLOOKUP(#REF!,ФиКод[],9,0))</f>
        <v>#REF!</v>
      </c>
      <c r="F987" s="1" t="e">
        <f aca="false">IF(#REF!="","",VLOOKUP(#REF!,ФиКод[],10,0))</f>
        <v>#REF!</v>
      </c>
    </row>
    <row r="988" customFormat="false" ht="12.75" hidden="false" customHeight="false" outlineLevel="0" collapsed="false">
      <c r="A988" s="1" t="e">
        <f aca="false">IF(#REF!="","",VLOOKUP(#REF!,ФиКод[],8,0))</f>
        <v>#REF!</v>
      </c>
      <c r="E988" s="1" t="e">
        <f aca="false">IF(#REF!="","",VLOOKUP(#REF!,ФиКод[],9,0))</f>
        <v>#REF!</v>
      </c>
      <c r="F988" s="1" t="e">
        <f aca="false">IF(#REF!="","",VLOOKUP(#REF!,ФиКод[],10,0))</f>
        <v>#REF!</v>
      </c>
    </row>
    <row r="989" customFormat="false" ht="12.75" hidden="false" customHeight="false" outlineLevel="0" collapsed="false">
      <c r="A989" s="1" t="e">
        <f aca="false">IF(#REF!="","",VLOOKUP(#REF!,ФиКод[],8,0))</f>
        <v>#REF!</v>
      </c>
      <c r="E989" s="1" t="e">
        <f aca="false">IF(#REF!="","",VLOOKUP(#REF!,ФиКод[],9,0))</f>
        <v>#REF!</v>
      </c>
      <c r="F989" s="1" t="e">
        <f aca="false">IF(#REF!="","",VLOOKUP(#REF!,ФиКод[],10,0))</f>
        <v>#REF!</v>
      </c>
    </row>
    <row r="990" customFormat="false" ht="12.75" hidden="false" customHeight="false" outlineLevel="0" collapsed="false">
      <c r="A990" s="1" t="e">
        <f aca="false">IF(#REF!="","",VLOOKUP(#REF!,ФиКод[],8,0))</f>
        <v>#REF!</v>
      </c>
      <c r="E990" s="1" t="e">
        <f aca="false">IF(#REF!="","",VLOOKUP(#REF!,ФиКод[],9,0))</f>
        <v>#REF!</v>
      </c>
      <c r="F990" s="1" t="e">
        <f aca="false">IF(#REF!="","",VLOOKUP(#REF!,ФиКод[],10,0))</f>
        <v>#REF!</v>
      </c>
    </row>
    <row r="991" customFormat="false" ht="12.75" hidden="false" customHeight="false" outlineLevel="0" collapsed="false">
      <c r="A991" s="1" t="e">
        <f aca="false">IF(#REF!="","",VLOOKUP(#REF!,ФиКод[],8,0))</f>
        <v>#REF!</v>
      </c>
      <c r="E991" s="1" t="e">
        <f aca="false">IF(#REF!="","",VLOOKUP(#REF!,ФиКод[],9,0))</f>
        <v>#REF!</v>
      </c>
      <c r="F991" s="1" t="e">
        <f aca="false">IF(#REF!="","",VLOOKUP(#REF!,ФиКод[],10,0))</f>
        <v>#REF!</v>
      </c>
    </row>
    <row r="992" customFormat="false" ht="12.75" hidden="false" customHeight="false" outlineLevel="0" collapsed="false">
      <c r="A992" s="1" t="e">
        <f aca="false">IF(#REF!="","",VLOOKUP(#REF!,ФиКод[],8,0))</f>
        <v>#REF!</v>
      </c>
      <c r="E992" s="1" t="e">
        <f aca="false">IF(#REF!="","",VLOOKUP(#REF!,ФиКод[],9,0))</f>
        <v>#REF!</v>
      </c>
      <c r="F992" s="1" t="e">
        <f aca="false">IF(#REF!="","",VLOOKUP(#REF!,ФиКод[],10,0))</f>
        <v>#REF!</v>
      </c>
    </row>
    <row r="993" customFormat="false" ht="12.75" hidden="false" customHeight="false" outlineLevel="0" collapsed="false">
      <c r="A993" s="1" t="e">
        <f aca="false">IF(#REF!="","",VLOOKUP(#REF!,ФиКод[],8,0))</f>
        <v>#REF!</v>
      </c>
      <c r="E993" s="1" t="e">
        <f aca="false">IF(#REF!="","",VLOOKUP(#REF!,ФиКод[],9,0))</f>
        <v>#REF!</v>
      </c>
      <c r="F993" s="1" t="e">
        <f aca="false">IF(#REF!="","",VLOOKUP(#REF!,ФиКод[],10,0))</f>
        <v>#REF!</v>
      </c>
    </row>
    <row r="994" customFormat="false" ht="12.75" hidden="false" customHeight="false" outlineLevel="0" collapsed="false">
      <c r="A994" s="1" t="e">
        <f aca="false">IF(#REF!="","",VLOOKUP(#REF!,ФиКод[],8,0))</f>
        <v>#REF!</v>
      </c>
      <c r="E994" s="1" t="e">
        <f aca="false">IF(#REF!="","",VLOOKUP(#REF!,ФиКод[],9,0))</f>
        <v>#REF!</v>
      </c>
      <c r="F994" s="1" t="e">
        <f aca="false">IF(#REF!="","",VLOOKUP(#REF!,ФиКод[],10,0))</f>
        <v>#REF!</v>
      </c>
    </row>
    <row r="995" customFormat="false" ht="12.75" hidden="false" customHeight="false" outlineLevel="0" collapsed="false">
      <c r="A995" s="1" t="e">
        <f aca="false">IF(#REF!="","",VLOOKUP(#REF!,ФиКод[],8,0))</f>
        <v>#REF!</v>
      </c>
      <c r="E995" s="1" t="e">
        <f aca="false">IF(#REF!="","",VLOOKUP(#REF!,ФиКод[],9,0))</f>
        <v>#REF!</v>
      </c>
      <c r="F995" s="1" t="e">
        <f aca="false">IF(#REF!="","",VLOOKUP(#REF!,ФиКод[],10,0))</f>
        <v>#REF!</v>
      </c>
    </row>
    <row r="996" customFormat="false" ht="12.75" hidden="false" customHeight="false" outlineLevel="0" collapsed="false">
      <c r="A996" s="1" t="e">
        <f aca="false">IF(#REF!="","",VLOOKUP(#REF!,ФиКод[],8,0))</f>
        <v>#REF!</v>
      </c>
      <c r="E996" s="1" t="e">
        <f aca="false">IF(#REF!="","",VLOOKUP(#REF!,ФиКод[],9,0))</f>
        <v>#REF!</v>
      </c>
      <c r="F996" s="1" t="e">
        <f aca="false">IF(#REF!="","",VLOOKUP(#REF!,ФиКод[],10,0))</f>
        <v>#REF!</v>
      </c>
    </row>
    <row r="997" customFormat="false" ht="12.75" hidden="false" customHeight="false" outlineLevel="0" collapsed="false">
      <c r="A997" s="1" t="e">
        <f aca="false">IF(#REF!="","",VLOOKUP(#REF!,ФиКод[],8,0))</f>
        <v>#REF!</v>
      </c>
      <c r="E997" s="1" t="e">
        <f aca="false">IF(#REF!="","",VLOOKUP(#REF!,ФиКод[],9,0))</f>
        <v>#REF!</v>
      </c>
      <c r="F997" s="1" t="e">
        <f aca="false">IF(#REF!="","",VLOOKUP(#REF!,ФиКод[],10,0))</f>
        <v>#REF!</v>
      </c>
    </row>
    <row r="998" customFormat="false" ht="12.75" hidden="false" customHeight="false" outlineLevel="0" collapsed="false">
      <c r="A998" s="1" t="e">
        <f aca="false">IF(#REF!="","",VLOOKUP(#REF!,ФиКод[],8,0))</f>
        <v>#REF!</v>
      </c>
      <c r="E998" s="1" t="e">
        <f aca="false">IF(#REF!="","",VLOOKUP(#REF!,ФиКод[],9,0))</f>
        <v>#REF!</v>
      </c>
      <c r="F998" s="1" t="e">
        <f aca="false">IF(#REF!="","",VLOOKUP(#REF!,ФиКод[],10,0))</f>
        <v>#REF!</v>
      </c>
    </row>
    <row r="999" customFormat="false" ht="12.75" hidden="false" customHeight="false" outlineLevel="0" collapsed="false">
      <c r="A999" s="1" t="e">
        <f aca="false">IF(#REF!="","",VLOOKUP(#REF!,ФиКод[],8,0))</f>
        <v>#REF!</v>
      </c>
      <c r="E999" s="1" t="e">
        <f aca="false">IF(#REF!="","",VLOOKUP(#REF!,ФиКод[],9,0))</f>
        <v>#REF!</v>
      </c>
      <c r="F999" s="1" t="e">
        <f aca="false">IF(#REF!="","",VLOOKUP(#REF!,ФиКод[],10,0))</f>
        <v>#REF!</v>
      </c>
    </row>
    <row r="1000" customFormat="false" ht="12.75" hidden="false" customHeight="false" outlineLevel="0" collapsed="false">
      <c r="A1000" s="1" t="e">
        <f aca="false">IF(#REF!="","",VLOOKUP(#REF!,ФиКод[],8,0))</f>
        <v>#REF!</v>
      </c>
      <c r="E1000" s="1" t="e">
        <f aca="false">IF(#REF!="","",VLOOKUP(#REF!,ФиКод[],9,0))</f>
        <v>#REF!</v>
      </c>
      <c r="F1000" s="1" t="e">
        <f aca="false">IF(#REF!="","",VLOOKUP(#REF!,ФиКод[],10,0))</f>
        <v>#REF!</v>
      </c>
    </row>
    <row r="1001" customFormat="false" ht="12.75" hidden="false" customHeight="false" outlineLevel="0" collapsed="false">
      <c r="A1001" s="1" t="e">
        <f aca="false">IF(#REF!="","",VLOOKUP(#REF!,ФиКод[],8,0))</f>
        <v>#REF!</v>
      </c>
      <c r="E1001" s="1" t="e">
        <f aca="false">IF(#REF!="","",VLOOKUP(#REF!,ФиКод[],9,0))</f>
        <v>#REF!</v>
      </c>
      <c r="F1001" s="1" t="e">
        <f aca="false">IF(#REF!="","",VLOOKUP(#REF!,ФиКод[],10,0))</f>
        <v>#REF!</v>
      </c>
    </row>
    <row r="1002" customFormat="false" ht="12.75" hidden="false" customHeight="false" outlineLevel="0" collapsed="false">
      <c r="A1002" s="1" t="e">
        <f aca="false">IF(#REF!="","",VLOOKUP(#REF!,ФиКод[],8,0))</f>
        <v>#REF!</v>
      </c>
      <c r="E1002" s="1" t="e">
        <f aca="false">IF(#REF!="","",VLOOKUP(#REF!,ФиКод[],9,0))</f>
        <v>#REF!</v>
      </c>
      <c r="F1002" s="1" t="e">
        <f aca="false">IF(#REF!="","",VLOOKUP(#REF!,ФиКод[],10,0))</f>
        <v>#REF!</v>
      </c>
    </row>
    <row r="1003" customFormat="false" ht="12.75" hidden="false" customHeight="false" outlineLevel="0" collapsed="false">
      <c r="A1003" s="1" t="e">
        <f aca="false">IF(#REF!="","",VLOOKUP(#REF!,ФиКод[],8,0))</f>
        <v>#REF!</v>
      </c>
      <c r="E1003" s="1" t="e">
        <f aca="false">IF(#REF!="","",VLOOKUP(#REF!,ФиКод[],9,0))</f>
        <v>#REF!</v>
      </c>
      <c r="F1003" s="1" t="e">
        <f aca="false">IF(#REF!="","",VLOOKUP(#REF!,ФиКод[],10,0))</f>
        <v>#REF!</v>
      </c>
    </row>
    <row r="1004" customFormat="false" ht="12.75" hidden="false" customHeight="false" outlineLevel="0" collapsed="false">
      <c r="A1004" s="1" t="e">
        <f aca="false">IF(#REF!="","",VLOOKUP(#REF!,ФиКод[],8,0))</f>
        <v>#REF!</v>
      </c>
      <c r="E1004" s="1" t="e">
        <f aca="false">IF(#REF!="","",VLOOKUP(#REF!,ФиКод[],9,0))</f>
        <v>#REF!</v>
      </c>
      <c r="F1004" s="1" t="e">
        <f aca="false">IF(#REF!="","",VLOOKUP(#REF!,ФиКод[],10,0))</f>
        <v>#REF!</v>
      </c>
    </row>
    <row r="1005" customFormat="false" ht="12.75" hidden="false" customHeight="false" outlineLevel="0" collapsed="false">
      <c r="A1005" s="1" t="e">
        <f aca="false">IF(#REF!="","",VLOOKUP(#REF!,ФиКод[],8,0))</f>
        <v>#REF!</v>
      </c>
      <c r="E1005" s="1" t="e">
        <f aca="false">IF(#REF!="","",VLOOKUP(#REF!,ФиКод[],9,0))</f>
        <v>#REF!</v>
      </c>
      <c r="F1005" s="1" t="e">
        <f aca="false">IF(#REF!="","",VLOOKUP(#REF!,ФиКод[],10,0))</f>
        <v>#REF!</v>
      </c>
    </row>
    <row r="1006" customFormat="false" ht="12.75" hidden="false" customHeight="false" outlineLevel="0" collapsed="false">
      <c r="A1006" s="1" t="e">
        <f aca="false">IF(#REF!="","",VLOOKUP(#REF!,ФиКод[],8,0))</f>
        <v>#REF!</v>
      </c>
      <c r="E1006" s="1" t="e">
        <f aca="false">IF(#REF!="","",VLOOKUP(#REF!,ФиКод[],9,0))</f>
        <v>#REF!</v>
      </c>
      <c r="F1006" s="1" t="e">
        <f aca="false">IF(#REF!="","",VLOOKUP(#REF!,ФиКод[],10,0))</f>
        <v>#REF!</v>
      </c>
    </row>
    <row r="1007" customFormat="false" ht="12.75" hidden="false" customHeight="false" outlineLevel="0" collapsed="false">
      <c r="A1007" s="1" t="e">
        <f aca="false">IF(#REF!="","",VLOOKUP(#REF!,ФиКод[],8,0))</f>
        <v>#REF!</v>
      </c>
      <c r="E1007" s="1" t="e">
        <f aca="false">IF(#REF!="","",VLOOKUP(#REF!,ФиКод[],9,0))</f>
        <v>#REF!</v>
      </c>
      <c r="F1007" s="1" t="e">
        <f aca="false">IF(#REF!="","",VLOOKUP(#REF!,ФиКод[],10,0))</f>
        <v>#REF!</v>
      </c>
    </row>
    <row r="1008" customFormat="false" ht="12.75" hidden="false" customHeight="false" outlineLevel="0" collapsed="false">
      <c r="A1008" s="1" t="e">
        <f aca="false">IF(#REF!="","",VLOOKUP(#REF!,ФиКод[],8,0))</f>
        <v>#REF!</v>
      </c>
      <c r="E1008" s="1" t="e">
        <f aca="false">IF(#REF!="","",VLOOKUP(#REF!,ФиКод[],9,0))</f>
        <v>#REF!</v>
      </c>
      <c r="F1008" s="1" t="e">
        <f aca="false">IF(#REF!="","",VLOOKUP(#REF!,ФиКод[],10,0))</f>
        <v>#REF!</v>
      </c>
    </row>
    <row r="1009" customFormat="false" ht="12.75" hidden="false" customHeight="false" outlineLevel="0" collapsed="false">
      <c r="A1009" s="1" t="e">
        <f aca="false">IF(#REF!="","",VLOOKUP(#REF!,ФиКод[],8,0))</f>
        <v>#REF!</v>
      </c>
      <c r="E1009" s="1" t="e">
        <f aca="false">IF(#REF!="","",VLOOKUP(#REF!,ФиКод[],9,0))</f>
        <v>#REF!</v>
      </c>
      <c r="F1009" s="1" t="e">
        <f aca="false">IF(#REF!="","",VLOOKUP(#REF!,ФиКод[],10,0))</f>
        <v>#REF!</v>
      </c>
    </row>
    <row r="1010" customFormat="false" ht="12.75" hidden="false" customHeight="false" outlineLevel="0" collapsed="false">
      <c r="A1010" s="1" t="e">
        <f aca="false">IF(#REF!="","",VLOOKUP(#REF!,ФиКод[],8,0))</f>
        <v>#REF!</v>
      </c>
      <c r="E1010" s="1" t="e">
        <f aca="false">IF(#REF!="","",VLOOKUP(#REF!,ФиКод[],9,0))</f>
        <v>#REF!</v>
      </c>
      <c r="F1010" s="1" t="e">
        <f aca="false">IF(#REF!="","",VLOOKUP(#REF!,ФиКод[],10,0))</f>
        <v>#REF!</v>
      </c>
    </row>
    <row r="1011" customFormat="false" ht="12.75" hidden="false" customHeight="false" outlineLevel="0" collapsed="false">
      <c r="A1011" s="1" t="e">
        <f aca="false">IF(#REF!="","",VLOOKUP(#REF!,ФиКод[],8,0))</f>
        <v>#REF!</v>
      </c>
      <c r="E1011" s="1" t="e">
        <f aca="false">IF(#REF!="","",VLOOKUP(#REF!,ФиКод[],9,0))</f>
        <v>#REF!</v>
      </c>
      <c r="F1011" s="1" t="e">
        <f aca="false">IF(#REF!="","",VLOOKUP(#REF!,ФиКод[],10,0))</f>
        <v>#REF!</v>
      </c>
    </row>
    <row r="1012" customFormat="false" ht="12.75" hidden="false" customHeight="false" outlineLevel="0" collapsed="false">
      <c r="A1012" s="1" t="e">
        <f aca="false">IF(#REF!="","",VLOOKUP(#REF!,ФиКод[],8,0))</f>
        <v>#REF!</v>
      </c>
      <c r="E1012" s="1" t="e">
        <f aca="false">IF(#REF!="","",VLOOKUP(#REF!,ФиКод[],9,0))</f>
        <v>#REF!</v>
      </c>
      <c r="F1012" s="1" t="e">
        <f aca="false">IF(#REF!="","",VLOOKUP(#REF!,ФиКод[],10,0))</f>
        <v>#REF!</v>
      </c>
    </row>
    <row r="1013" customFormat="false" ht="12.75" hidden="false" customHeight="false" outlineLevel="0" collapsed="false">
      <c r="A1013" s="1" t="e">
        <f aca="false">IF(#REF!="","",VLOOKUP(#REF!,ФиКод[],8,0))</f>
        <v>#REF!</v>
      </c>
      <c r="E1013" s="1" t="e">
        <f aca="false">IF(#REF!="","",VLOOKUP(#REF!,ФиКод[],9,0))</f>
        <v>#REF!</v>
      </c>
      <c r="F1013" s="1" t="e">
        <f aca="false">IF(#REF!="","",VLOOKUP(#REF!,ФиКод[],10,0))</f>
        <v>#REF!</v>
      </c>
    </row>
    <row r="1014" customFormat="false" ht="12.75" hidden="false" customHeight="false" outlineLevel="0" collapsed="false">
      <c r="A1014" s="1" t="e">
        <f aca="false">IF(#REF!="","",VLOOKUP(#REF!,ФиКод[],8,0))</f>
        <v>#REF!</v>
      </c>
      <c r="E1014" s="1" t="e">
        <f aca="false">IF(#REF!="","",VLOOKUP(#REF!,ФиКод[],9,0))</f>
        <v>#REF!</v>
      </c>
      <c r="F1014" s="1" t="e">
        <f aca="false">IF(#REF!="","",VLOOKUP(#REF!,ФиКод[],10,0))</f>
        <v>#REF!</v>
      </c>
    </row>
    <row r="1015" customFormat="false" ht="12.75" hidden="false" customHeight="false" outlineLevel="0" collapsed="false">
      <c r="A1015" s="1" t="e">
        <f aca="false">IF(#REF!="","",VLOOKUP(#REF!,ФиКод[],8,0))</f>
        <v>#REF!</v>
      </c>
      <c r="E1015" s="1" t="e">
        <f aca="false">IF(#REF!="","",VLOOKUP(#REF!,ФиКод[],9,0))</f>
        <v>#REF!</v>
      </c>
      <c r="F1015" s="1" t="e">
        <f aca="false">IF(#REF!="","",VLOOKUP(#REF!,ФиКод[],10,0))</f>
        <v>#REF!</v>
      </c>
    </row>
    <row r="1016" customFormat="false" ht="12.75" hidden="false" customHeight="false" outlineLevel="0" collapsed="false">
      <c r="A1016" s="1" t="e">
        <f aca="false">IF(#REF!="","",VLOOKUP(#REF!,ФиКод[],8,0))</f>
        <v>#REF!</v>
      </c>
      <c r="E1016" s="1" t="e">
        <f aca="false">IF(#REF!="","",VLOOKUP(#REF!,ФиКод[],9,0))</f>
        <v>#REF!</v>
      </c>
      <c r="F1016" s="1" t="e">
        <f aca="false">IF(#REF!="","",VLOOKUP(#REF!,ФиКод[],10,0))</f>
        <v>#REF!</v>
      </c>
    </row>
    <row r="1017" customFormat="false" ht="12.75" hidden="false" customHeight="false" outlineLevel="0" collapsed="false">
      <c r="A1017" s="1" t="e">
        <f aca="false">IF(#REF!="","",VLOOKUP(#REF!,ФиКод[],8,0))</f>
        <v>#REF!</v>
      </c>
      <c r="E1017" s="1" t="e">
        <f aca="false">IF(#REF!="","",VLOOKUP(#REF!,ФиКод[],9,0))</f>
        <v>#REF!</v>
      </c>
      <c r="F1017" s="1" t="e">
        <f aca="false">IF(#REF!="","",VLOOKUP(#REF!,ФиКод[],10,0))</f>
        <v>#REF!</v>
      </c>
    </row>
    <row r="1018" customFormat="false" ht="12.75" hidden="false" customHeight="false" outlineLevel="0" collapsed="false">
      <c r="A1018" s="1" t="e">
        <f aca="false">IF(#REF!="","",VLOOKUP(#REF!,ФиКод[],8,0))</f>
        <v>#REF!</v>
      </c>
      <c r="E1018" s="1" t="e">
        <f aca="false">IF(#REF!="","",VLOOKUP(#REF!,ФиКод[],9,0))</f>
        <v>#REF!</v>
      </c>
      <c r="F1018" s="1" t="e">
        <f aca="false">IF(#REF!="","",VLOOKUP(#REF!,ФиКод[],10,0))</f>
        <v>#REF!</v>
      </c>
    </row>
    <row r="1019" customFormat="false" ht="12.75" hidden="false" customHeight="false" outlineLevel="0" collapsed="false">
      <c r="A1019" s="1" t="e">
        <f aca="false">IF(#REF!="","",VLOOKUP(#REF!,ФиКод[],8,0))</f>
        <v>#REF!</v>
      </c>
      <c r="E1019" s="1" t="e">
        <f aca="false">IF(#REF!="","",VLOOKUP(#REF!,ФиКод[],9,0))</f>
        <v>#REF!</v>
      </c>
      <c r="F1019" s="1" t="e">
        <f aca="false">IF(#REF!="","",VLOOKUP(#REF!,ФиКод[],10,0))</f>
        <v>#REF!</v>
      </c>
    </row>
    <row r="1020" customFormat="false" ht="12.75" hidden="false" customHeight="false" outlineLevel="0" collapsed="false">
      <c r="A1020" s="1" t="e">
        <f aca="false">IF(#REF!="","",VLOOKUP(#REF!,ФиКод[],8,0))</f>
        <v>#REF!</v>
      </c>
      <c r="E1020" s="1" t="e">
        <f aca="false">IF(#REF!="","",VLOOKUP(#REF!,ФиКод[],9,0))</f>
        <v>#REF!</v>
      </c>
      <c r="F1020" s="1" t="e">
        <f aca="false">IF(#REF!="","",VLOOKUP(#REF!,ФиКод[],10,0))</f>
        <v>#REF!</v>
      </c>
    </row>
    <row r="1021" customFormat="false" ht="12.75" hidden="false" customHeight="false" outlineLevel="0" collapsed="false">
      <c r="A1021" s="1" t="e">
        <f aca="false">IF(#REF!="","",VLOOKUP(#REF!,ФиКод[],8,0))</f>
        <v>#REF!</v>
      </c>
      <c r="E1021" s="1" t="e">
        <f aca="false">IF(#REF!="","",VLOOKUP(#REF!,ФиКод[],9,0))</f>
        <v>#REF!</v>
      </c>
      <c r="F1021" s="1" t="e">
        <f aca="false">IF(#REF!="","",VLOOKUP(#REF!,ФиКод[],10,0))</f>
        <v>#REF!</v>
      </c>
    </row>
    <row r="1022" customFormat="false" ht="12.75" hidden="false" customHeight="false" outlineLevel="0" collapsed="false">
      <c r="A1022" s="1" t="e">
        <f aca="false">IF(#REF!="","",VLOOKUP(#REF!,ФиКод[],8,0))</f>
        <v>#REF!</v>
      </c>
      <c r="E1022" s="1" t="e">
        <f aca="false">IF(#REF!="","",VLOOKUP(#REF!,ФиКод[],9,0))</f>
        <v>#REF!</v>
      </c>
      <c r="F1022" s="1" t="e">
        <f aca="false">IF(#REF!="","",VLOOKUP(#REF!,ФиКод[],10,0))</f>
        <v>#REF!</v>
      </c>
    </row>
    <row r="1023" customFormat="false" ht="12.75" hidden="false" customHeight="false" outlineLevel="0" collapsed="false">
      <c r="A1023" s="1" t="e">
        <f aca="false">IF(#REF!="","",VLOOKUP(#REF!,ФиКод[],8,0))</f>
        <v>#REF!</v>
      </c>
      <c r="E1023" s="1" t="e">
        <f aca="false">IF(#REF!="","",VLOOKUP(#REF!,ФиКод[],9,0))</f>
        <v>#REF!</v>
      </c>
      <c r="F1023" s="1" t="e">
        <f aca="false">IF(#REF!="","",VLOOKUP(#REF!,ФиКод[],10,0))</f>
        <v>#REF!</v>
      </c>
    </row>
    <row r="1024" customFormat="false" ht="12.75" hidden="false" customHeight="false" outlineLevel="0" collapsed="false">
      <c r="A1024" s="1" t="e">
        <f aca="false">IF(#REF!="","",VLOOKUP(#REF!,ФиКод[],8,0))</f>
        <v>#REF!</v>
      </c>
      <c r="E1024" s="1" t="e">
        <f aca="false">IF(#REF!="","",VLOOKUP(#REF!,ФиКод[],9,0))</f>
        <v>#REF!</v>
      </c>
      <c r="F1024" s="1" t="e">
        <f aca="false">IF(#REF!="","",VLOOKUP(#REF!,ФиКод[],10,0))</f>
        <v>#REF!</v>
      </c>
    </row>
    <row r="1025" customFormat="false" ht="12.75" hidden="false" customHeight="false" outlineLevel="0" collapsed="false">
      <c r="A1025" s="1" t="e">
        <f aca="false">IF(#REF!="","",VLOOKUP(#REF!,ФиКод[],8,0))</f>
        <v>#REF!</v>
      </c>
      <c r="E1025" s="1" t="e">
        <f aca="false">IF(#REF!="","",VLOOKUP(#REF!,ФиКод[],9,0))</f>
        <v>#REF!</v>
      </c>
      <c r="F1025" s="1" t="e">
        <f aca="false">IF(#REF!="","",VLOOKUP(#REF!,ФиКод[],10,0))</f>
        <v>#REF!</v>
      </c>
    </row>
    <row r="1026" customFormat="false" ht="12.75" hidden="false" customHeight="false" outlineLevel="0" collapsed="false">
      <c r="A1026" s="1" t="e">
        <f aca="false">IF(#REF!="","",VLOOKUP(#REF!,ФиКод[],8,0))</f>
        <v>#REF!</v>
      </c>
      <c r="E1026" s="1" t="e">
        <f aca="false">IF(#REF!="","",VLOOKUP(#REF!,ФиКод[],9,0))</f>
        <v>#REF!</v>
      </c>
      <c r="F1026" s="1" t="e">
        <f aca="false">IF(#REF!="","",VLOOKUP(#REF!,ФиКод[],10,0))</f>
        <v>#REF!</v>
      </c>
    </row>
    <row r="1027" customFormat="false" ht="12.75" hidden="false" customHeight="false" outlineLevel="0" collapsed="false">
      <c r="A1027" s="1" t="e">
        <f aca="false">IF(#REF!="","",VLOOKUP(#REF!,ФиКод[],8,0))</f>
        <v>#REF!</v>
      </c>
      <c r="E1027" s="1" t="e">
        <f aca="false">IF(#REF!="","",VLOOKUP(#REF!,ФиКод[],9,0))</f>
        <v>#REF!</v>
      </c>
      <c r="F1027" s="1" t="e">
        <f aca="false">IF(#REF!="","",VLOOKUP(#REF!,ФиКод[],10,0))</f>
        <v>#REF!</v>
      </c>
    </row>
    <row r="1028" customFormat="false" ht="12.75" hidden="false" customHeight="false" outlineLevel="0" collapsed="false">
      <c r="A1028" s="1" t="e">
        <f aca="false">IF(#REF!="","",VLOOKUP(#REF!,ФиКод[],8,0))</f>
        <v>#REF!</v>
      </c>
      <c r="E1028" s="1" t="e">
        <f aca="false">IF(#REF!="","",VLOOKUP(#REF!,ФиКод[],9,0))</f>
        <v>#REF!</v>
      </c>
      <c r="F1028" s="1" t="e">
        <f aca="false">IF(#REF!="","",VLOOKUP(#REF!,ФиКод[],10,0))</f>
        <v>#REF!</v>
      </c>
    </row>
    <row r="1029" customFormat="false" ht="12.75" hidden="false" customHeight="false" outlineLevel="0" collapsed="false">
      <c r="A1029" s="1" t="e">
        <f aca="false">IF(#REF!="","",VLOOKUP(#REF!,ФиКод[],8,0))</f>
        <v>#REF!</v>
      </c>
      <c r="E1029" s="1" t="e">
        <f aca="false">IF(#REF!="","",VLOOKUP(#REF!,ФиКод[],9,0))</f>
        <v>#REF!</v>
      </c>
      <c r="F1029" s="1" t="e">
        <f aca="false">IF(#REF!="","",VLOOKUP(#REF!,ФиКод[],10,0))</f>
        <v>#REF!</v>
      </c>
    </row>
    <row r="1030" customFormat="false" ht="12.75" hidden="false" customHeight="false" outlineLevel="0" collapsed="false">
      <c r="A1030" s="1" t="e">
        <f aca="false">IF(#REF!="","",VLOOKUP(#REF!,ФиКод[],8,0))</f>
        <v>#REF!</v>
      </c>
      <c r="E1030" s="1" t="e">
        <f aca="false">IF(#REF!="","",VLOOKUP(#REF!,ФиКод[],9,0))</f>
        <v>#REF!</v>
      </c>
      <c r="F1030" s="1" t="e">
        <f aca="false">IF(#REF!="","",VLOOKUP(#REF!,ФиКод[],10,0))</f>
        <v>#REF!</v>
      </c>
    </row>
    <row r="1031" customFormat="false" ht="12.75" hidden="false" customHeight="false" outlineLevel="0" collapsed="false">
      <c r="A1031" s="1" t="e">
        <f aca="false">IF(#REF!="","",VLOOKUP(#REF!,ФиКод[],8,0))</f>
        <v>#REF!</v>
      </c>
      <c r="E1031" s="1" t="e">
        <f aca="false">IF(#REF!="","",VLOOKUP(#REF!,ФиКод[],9,0))</f>
        <v>#REF!</v>
      </c>
      <c r="F1031" s="1" t="e">
        <f aca="false">IF(#REF!="","",VLOOKUP(#REF!,ФиКод[],10,0))</f>
        <v>#REF!</v>
      </c>
    </row>
    <row r="1032" customFormat="false" ht="12.75" hidden="false" customHeight="false" outlineLevel="0" collapsed="false">
      <c r="A1032" s="1" t="e">
        <f aca="false">IF(#REF!="","",VLOOKUP(#REF!,ФиКод[],8,0))</f>
        <v>#REF!</v>
      </c>
      <c r="E1032" s="1" t="e">
        <f aca="false">IF(#REF!="","",VLOOKUP(#REF!,ФиКод[],9,0))</f>
        <v>#REF!</v>
      </c>
      <c r="F1032" s="1" t="e">
        <f aca="false">IF(#REF!="","",VLOOKUP(#REF!,ФиКод[],10,0))</f>
        <v>#REF!</v>
      </c>
    </row>
    <row r="1033" customFormat="false" ht="12.75" hidden="false" customHeight="false" outlineLevel="0" collapsed="false">
      <c r="A1033" s="1" t="e">
        <f aca="false">IF(#REF!="","",VLOOKUP(#REF!,ФиКод[],8,0))</f>
        <v>#REF!</v>
      </c>
      <c r="E1033" s="1" t="e">
        <f aca="false">IF(#REF!="","",VLOOKUP(#REF!,ФиКод[],9,0))</f>
        <v>#REF!</v>
      </c>
      <c r="F1033" s="1" t="e">
        <f aca="false">IF(#REF!="","",VLOOKUP(#REF!,ФиКод[],10,0))</f>
        <v>#REF!</v>
      </c>
    </row>
    <row r="1034" customFormat="false" ht="12.75" hidden="false" customHeight="false" outlineLevel="0" collapsed="false">
      <c r="A1034" s="1" t="e">
        <f aca="false">IF(#REF!="","",VLOOKUP(#REF!,ФиКод[],8,0))</f>
        <v>#REF!</v>
      </c>
      <c r="E1034" s="1" t="e">
        <f aca="false">IF(#REF!="","",VLOOKUP(#REF!,ФиКод[],9,0))</f>
        <v>#REF!</v>
      </c>
      <c r="F1034" s="1" t="e">
        <f aca="false">IF(#REF!="","",VLOOKUP(#REF!,ФиКод[],10,0))</f>
        <v>#REF!</v>
      </c>
    </row>
    <row r="1035" customFormat="false" ht="12.75" hidden="false" customHeight="false" outlineLevel="0" collapsed="false">
      <c r="A1035" s="1" t="e">
        <f aca="false">IF(#REF!="","",VLOOKUP(#REF!,ФиКод[],8,0))</f>
        <v>#REF!</v>
      </c>
      <c r="E1035" s="1" t="e">
        <f aca="false">IF(#REF!="","",VLOOKUP(#REF!,ФиКод[],9,0))</f>
        <v>#REF!</v>
      </c>
      <c r="F1035" s="1" t="e">
        <f aca="false">IF(#REF!="","",VLOOKUP(#REF!,ФиКод[],10,0))</f>
        <v>#REF!</v>
      </c>
    </row>
    <row r="1036" customFormat="false" ht="12.75" hidden="false" customHeight="false" outlineLevel="0" collapsed="false">
      <c r="A1036" s="1" t="e">
        <f aca="false">IF(#REF!="","",VLOOKUP(#REF!,ФиКод[],8,0))</f>
        <v>#REF!</v>
      </c>
      <c r="E1036" s="1" t="e">
        <f aca="false">IF(#REF!="","",VLOOKUP(#REF!,ФиКод[],9,0))</f>
        <v>#REF!</v>
      </c>
      <c r="F1036" s="1" t="e">
        <f aca="false">IF(#REF!="","",VLOOKUP(#REF!,ФиКод[],10,0))</f>
        <v>#REF!</v>
      </c>
    </row>
    <row r="1037" customFormat="false" ht="12.75" hidden="false" customHeight="false" outlineLevel="0" collapsed="false">
      <c r="A1037" s="1" t="e">
        <f aca="false">IF(#REF!="","",VLOOKUP(#REF!,ФиКод[],8,0))</f>
        <v>#REF!</v>
      </c>
      <c r="E1037" s="1" t="e">
        <f aca="false">IF(#REF!="","",VLOOKUP(#REF!,ФиКод[],9,0))</f>
        <v>#REF!</v>
      </c>
      <c r="F1037" s="1" t="e">
        <f aca="false">IF(#REF!="","",VLOOKUP(#REF!,ФиКод[],10,0))</f>
        <v>#REF!</v>
      </c>
    </row>
    <row r="1038" customFormat="false" ht="12.75" hidden="false" customHeight="false" outlineLevel="0" collapsed="false">
      <c r="A1038" s="1" t="e">
        <f aca="false">IF(#REF!="","",VLOOKUP(#REF!,ФиКод[],8,0))</f>
        <v>#REF!</v>
      </c>
      <c r="E1038" s="1" t="e">
        <f aca="false">IF(#REF!="","",VLOOKUP(#REF!,ФиКод[],9,0))</f>
        <v>#REF!</v>
      </c>
      <c r="F1038" s="1" t="e">
        <f aca="false">IF(#REF!="","",VLOOKUP(#REF!,ФиКод[],10,0))</f>
        <v>#REF!</v>
      </c>
    </row>
    <row r="1039" customFormat="false" ht="12.75" hidden="false" customHeight="false" outlineLevel="0" collapsed="false">
      <c r="A1039" s="1" t="e">
        <f aca="false">IF(#REF!="","",VLOOKUP(#REF!,ФиКод[],8,0))</f>
        <v>#REF!</v>
      </c>
      <c r="E1039" s="1" t="e">
        <f aca="false">IF(#REF!="","",VLOOKUP(#REF!,ФиКод[],9,0))</f>
        <v>#REF!</v>
      </c>
      <c r="F1039" s="1" t="e">
        <f aca="false">IF(#REF!="","",VLOOKUP(#REF!,ФиКод[],10,0))</f>
        <v>#REF!</v>
      </c>
    </row>
    <row r="1040" customFormat="false" ht="12.75" hidden="false" customHeight="false" outlineLevel="0" collapsed="false">
      <c r="A1040" s="1" t="e">
        <f aca="false">IF(#REF!="","",VLOOKUP(#REF!,ФиКод[],8,0))</f>
        <v>#REF!</v>
      </c>
      <c r="E1040" s="1" t="e">
        <f aca="false">IF(#REF!="","",VLOOKUP(#REF!,ФиКод[],9,0))</f>
        <v>#REF!</v>
      </c>
      <c r="F1040" s="1" t="e">
        <f aca="false">IF(#REF!="","",VLOOKUP(#REF!,ФиКод[],10,0))</f>
        <v>#REF!</v>
      </c>
    </row>
    <row r="1041" customFormat="false" ht="12.75" hidden="false" customHeight="false" outlineLevel="0" collapsed="false">
      <c r="A1041" s="1" t="e">
        <f aca="false">IF(#REF!="","",VLOOKUP(#REF!,ФиКод[],8,0))</f>
        <v>#REF!</v>
      </c>
      <c r="E1041" s="1" t="e">
        <f aca="false">IF(#REF!="","",VLOOKUP(#REF!,ФиКод[],9,0))</f>
        <v>#REF!</v>
      </c>
      <c r="F1041" s="1" t="e">
        <f aca="false">IF(#REF!="","",VLOOKUP(#REF!,ФиКод[],10,0))</f>
        <v>#REF!</v>
      </c>
    </row>
    <row r="1042" customFormat="false" ht="12.75" hidden="false" customHeight="false" outlineLevel="0" collapsed="false">
      <c r="A1042" s="1" t="e">
        <f aca="false">IF(#REF!="","",VLOOKUP(#REF!,ФиКод[],8,0))</f>
        <v>#REF!</v>
      </c>
      <c r="E1042" s="1" t="e">
        <f aca="false">IF(#REF!="","",VLOOKUP(#REF!,ФиКод[],9,0))</f>
        <v>#REF!</v>
      </c>
      <c r="F1042" s="1" t="e">
        <f aca="false">IF(#REF!="","",VLOOKUP(#REF!,ФиКод[],10,0))</f>
        <v>#REF!</v>
      </c>
    </row>
    <row r="1043" customFormat="false" ht="12.75" hidden="false" customHeight="false" outlineLevel="0" collapsed="false">
      <c r="A1043" s="1" t="e">
        <f aca="false">IF(#REF!="","",VLOOKUP(#REF!,ФиКод[],8,0))</f>
        <v>#REF!</v>
      </c>
      <c r="E1043" s="1" t="e">
        <f aca="false">IF(#REF!="","",VLOOKUP(#REF!,ФиКод[],9,0))</f>
        <v>#REF!</v>
      </c>
      <c r="F1043" s="1" t="e">
        <f aca="false">IF(#REF!="","",VLOOKUP(#REF!,ФиКод[],10,0))</f>
        <v>#REF!</v>
      </c>
    </row>
    <row r="1044" customFormat="false" ht="12.75" hidden="false" customHeight="false" outlineLevel="0" collapsed="false">
      <c r="A1044" s="1" t="e">
        <f aca="false">IF(#REF!="","",VLOOKUP(#REF!,ФиКод[],8,0))</f>
        <v>#REF!</v>
      </c>
      <c r="E1044" s="1" t="e">
        <f aca="false">IF(#REF!="","",VLOOKUP(#REF!,ФиКод[],9,0))</f>
        <v>#REF!</v>
      </c>
      <c r="F1044" s="1" t="e">
        <f aca="false">IF(#REF!="","",VLOOKUP(#REF!,ФиКод[],10,0))</f>
        <v>#REF!</v>
      </c>
    </row>
    <row r="1045" customFormat="false" ht="12.75" hidden="false" customHeight="false" outlineLevel="0" collapsed="false">
      <c r="A1045" s="1" t="e">
        <f aca="false">IF(#REF!="","",VLOOKUP(#REF!,ФиКод[],8,0))</f>
        <v>#REF!</v>
      </c>
      <c r="E1045" s="1" t="e">
        <f aca="false">IF(#REF!="","",VLOOKUP(#REF!,ФиКод[],9,0))</f>
        <v>#REF!</v>
      </c>
      <c r="F1045" s="1" t="e">
        <f aca="false">IF(#REF!="","",VLOOKUP(#REF!,ФиКод[],10,0))</f>
        <v>#REF!</v>
      </c>
    </row>
    <row r="1046" customFormat="false" ht="12.75" hidden="false" customHeight="false" outlineLevel="0" collapsed="false">
      <c r="A1046" s="1" t="e">
        <f aca="false">IF(#REF!="","",VLOOKUP(#REF!,ФиКод[],8,0))</f>
        <v>#REF!</v>
      </c>
      <c r="E1046" s="1" t="e">
        <f aca="false">IF(#REF!="","",VLOOKUP(#REF!,ФиКод[],9,0))</f>
        <v>#REF!</v>
      </c>
      <c r="F1046" s="1" t="e">
        <f aca="false">IF(#REF!="","",VLOOKUP(#REF!,ФиКод[],10,0))</f>
        <v>#REF!</v>
      </c>
    </row>
    <row r="1047" customFormat="false" ht="12.75" hidden="false" customHeight="false" outlineLevel="0" collapsed="false">
      <c r="A1047" s="1" t="e">
        <f aca="false">IF(#REF!="","",VLOOKUP(#REF!,ФиКод[],8,0))</f>
        <v>#REF!</v>
      </c>
      <c r="E1047" s="1" t="e">
        <f aca="false">IF(#REF!="","",VLOOKUP(#REF!,ФиКод[],9,0))</f>
        <v>#REF!</v>
      </c>
      <c r="F1047" s="1" t="e">
        <f aca="false">IF(#REF!="","",VLOOKUP(#REF!,ФиКод[],10,0))</f>
        <v>#REF!</v>
      </c>
    </row>
    <row r="1048" customFormat="false" ht="12.75" hidden="false" customHeight="false" outlineLevel="0" collapsed="false">
      <c r="A1048" s="1" t="e">
        <f aca="false">IF(#REF!="","",VLOOKUP(#REF!,ФиКод[],8,0))</f>
        <v>#REF!</v>
      </c>
      <c r="E1048" s="1" t="e">
        <f aca="false">IF(#REF!="","",VLOOKUP(#REF!,ФиКод[],9,0))</f>
        <v>#REF!</v>
      </c>
      <c r="F1048" s="1" t="e">
        <f aca="false">IF(#REF!="","",VLOOKUP(#REF!,ФиКод[],10,0))</f>
        <v>#REF!</v>
      </c>
    </row>
    <row r="1049" customFormat="false" ht="12.75" hidden="false" customHeight="false" outlineLevel="0" collapsed="false">
      <c r="A1049" s="1" t="e">
        <f aca="false">IF(#REF!="","",VLOOKUP(#REF!,ФиКод[],8,0))</f>
        <v>#REF!</v>
      </c>
      <c r="E1049" s="1" t="e">
        <f aca="false">IF(#REF!="","",VLOOKUP(#REF!,ФиКод[],9,0))</f>
        <v>#REF!</v>
      </c>
      <c r="F1049" s="1" t="e">
        <f aca="false">IF(#REF!="","",VLOOKUP(#REF!,ФиКод[],10,0))</f>
        <v>#REF!</v>
      </c>
    </row>
    <row r="1050" customFormat="false" ht="12.75" hidden="false" customHeight="false" outlineLevel="0" collapsed="false">
      <c r="A1050" s="1" t="e">
        <f aca="false">IF(#REF!="","",VLOOKUP(#REF!,ФиКод[],8,0))</f>
        <v>#REF!</v>
      </c>
      <c r="E1050" s="1" t="e">
        <f aca="false">IF(#REF!="","",VLOOKUP(#REF!,ФиКод[],9,0))</f>
        <v>#REF!</v>
      </c>
      <c r="F1050" s="1" t="e">
        <f aca="false">IF(#REF!="","",VLOOKUP(#REF!,ФиКод[],10,0))</f>
        <v>#REF!</v>
      </c>
    </row>
    <row r="1051" customFormat="false" ht="12.75" hidden="false" customHeight="false" outlineLevel="0" collapsed="false">
      <c r="A1051" s="1" t="e">
        <f aca="false">IF(#REF!="","",VLOOKUP(#REF!,ФиКод[],8,0))</f>
        <v>#REF!</v>
      </c>
      <c r="E1051" s="1" t="e">
        <f aca="false">IF(#REF!="","",VLOOKUP(#REF!,ФиКод[],9,0))</f>
        <v>#REF!</v>
      </c>
      <c r="F1051" s="1" t="e">
        <f aca="false">IF(#REF!="","",VLOOKUP(#REF!,ФиКод[],10,0))</f>
        <v>#REF!</v>
      </c>
    </row>
    <row r="1052" customFormat="false" ht="12.75" hidden="false" customHeight="false" outlineLevel="0" collapsed="false">
      <c r="A1052" s="1" t="e">
        <f aca="false">IF(#REF!="","",VLOOKUP(#REF!,ФиКод[],8,0))</f>
        <v>#REF!</v>
      </c>
      <c r="E1052" s="1" t="e">
        <f aca="false">IF(#REF!="","",VLOOKUP(#REF!,ФиКод[],9,0))</f>
        <v>#REF!</v>
      </c>
      <c r="F1052" s="1" t="e">
        <f aca="false">IF(#REF!="","",VLOOKUP(#REF!,ФиКод[],10,0))</f>
        <v>#REF!</v>
      </c>
    </row>
    <row r="1053" customFormat="false" ht="12.75" hidden="false" customHeight="false" outlineLevel="0" collapsed="false">
      <c r="A1053" s="1" t="e">
        <f aca="false">IF(#REF!="","",VLOOKUP(#REF!,ФиКод[],8,0))</f>
        <v>#REF!</v>
      </c>
      <c r="E1053" s="1" t="e">
        <f aca="false">IF(#REF!="","",VLOOKUP(#REF!,ФиКод[],9,0))</f>
        <v>#REF!</v>
      </c>
      <c r="F1053" s="1" t="e">
        <f aca="false">IF(#REF!="","",VLOOKUP(#REF!,ФиКод[],10,0))</f>
        <v>#REF!</v>
      </c>
    </row>
    <row r="1054" customFormat="false" ht="12.75" hidden="false" customHeight="false" outlineLevel="0" collapsed="false">
      <c r="A1054" s="1" t="e">
        <f aca="false">IF(#REF!="","",VLOOKUP(#REF!,ФиКод[],8,0))</f>
        <v>#REF!</v>
      </c>
      <c r="E1054" s="1" t="e">
        <f aca="false">IF(#REF!="","",VLOOKUP(#REF!,ФиКод[],9,0))</f>
        <v>#REF!</v>
      </c>
      <c r="F1054" s="1" t="e">
        <f aca="false">IF(#REF!="","",VLOOKUP(#REF!,ФиКод[],10,0))</f>
        <v>#REF!</v>
      </c>
    </row>
    <row r="1055" customFormat="false" ht="12.75" hidden="false" customHeight="false" outlineLevel="0" collapsed="false">
      <c r="A1055" s="1" t="e">
        <f aca="false">IF(#REF!="","",VLOOKUP(#REF!,ФиКод[],8,0))</f>
        <v>#REF!</v>
      </c>
      <c r="E1055" s="1" t="e">
        <f aca="false">IF(#REF!="","",VLOOKUP(#REF!,ФиКод[],9,0))</f>
        <v>#REF!</v>
      </c>
      <c r="F1055" s="1" t="e">
        <f aca="false">IF(#REF!="","",VLOOKUP(#REF!,ФиКод[],10,0))</f>
        <v>#REF!</v>
      </c>
    </row>
    <row r="1056" customFormat="false" ht="12.75" hidden="false" customHeight="false" outlineLevel="0" collapsed="false">
      <c r="A1056" s="1" t="e">
        <f aca="false">IF(#REF!="","",VLOOKUP(#REF!,ФиКод[],8,0))</f>
        <v>#REF!</v>
      </c>
      <c r="E1056" s="1" t="e">
        <f aca="false">IF(#REF!="","",VLOOKUP(#REF!,ФиКод[],9,0))</f>
        <v>#REF!</v>
      </c>
      <c r="F1056" s="1" t="e">
        <f aca="false">IF(#REF!="","",VLOOKUP(#REF!,ФиКод[],10,0))</f>
        <v>#REF!</v>
      </c>
    </row>
    <row r="1057" customFormat="false" ht="12.75" hidden="false" customHeight="false" outlineLevel="0" collapsed="false">
      <c r="A1057" s="1" t="e">
        <f aca="false">IF(#REF!="","",VLOOKUP(#REF!,ФиКод[],8,0))</f>
        <v>#REF!</v>
      </c>
      <c r="E1057" s="1" t="e">
        <f aca="false">IF(#REF!="","",VLOOKUP(#REF!,ФиКод[],9,0))</f>
        <v>#REF!</v>
      </c>
      <c r="F1057" s="1" t="e">
        <f aca="false">IF(#REF!="","",VLOOKUP(#REF!,ФиКод[],10,0))</f>
        <v>#REF!</v>
      </c>
    </row>
    <row r="1058" customFormat="false" ht="12.75" hidden="false" customHeight="false" outlineLevel="0" collapsed="false">
      <c r="A1058" s="1" t="e">
        <f aca="false">IF(#REF!="","",VLOOKUP(#REF!,ФиКод[],8,0))</f>
        <v>#REF!</v>
      </c>
      <c r="E1058" s="1" t="e">
        <f aca="false">IF(#REF!="","",VLOOKUP(#REF!,ФиКод[],9,0))</f>
        <v>#REF!</v>
      </c>
      <c r="F1058" s="1" t="e">
        <f aca="false">IF(#REF!="","",VLOOKUP(#REF!,ФиКод[],10,0))</f>
        <v>#REF!</v>
      </c>
    </row>
    <row r="1059" customFormat="false" ht="12.75" hidden="false" customHeight="false" outlineLevel="0" collapsed="false">
      <c r="A1059" s="1" t="e">
        <f aca="false">IF(#REF!="","",VLOOKUP(#REF!,ФиКод[],8,0))</f>
        <v>#REF!</v>
      </c>
      <c r="E1059" s="1" t="e">
        <f aca="false">IF(#REF!="","",VLOOKUP(#REF!,ФиКод[],9,0))</f>
        <v>#REF!</v>
      </c>
      <c r="F1059" s="1" t="e">
        <f aca="false">IF(#REF!="","",VLOOKUP(#REF!,ФиКод[],10,0))</f>
        <v>#REF!</v>
      </c>
    </row>
    <row r="1060" customFormat="false" ht="12.75" hidden="false" customHeight="false" outlineLevel="0" collapsed="false">
      <c r="A1060" s="1" t="e">
        <f aca="false">IF(#REF!="","",VLOOKUP(#REF!,ФиКод[],8,0))</f>
        <v>#REF!</v>
      </c>
      <c r="E1060" s="1" t="e">
        <f aca="false">IF(#REF!="","",VLOOKUP(#REF!,ФиКод[],9,0))</f>
        <v>#REF!</v>
      </c>
      <c r="F1060" s="1" t="e">
        <f aca="false">IF(#REF!="","",VLOOKUP(#REF!,ФиКод[],10,0))</f>
        <v>#REF!</v>
      </c>
    </row>
    <row r="1061" customFormat="false" ht="12.75" hidden="false" customHeight="false" outlineLevel="0" collapsed="false">
      <c r="A1061" s="1" t="e">
        <f aca="false">IF(#REF!="","",VLOOKUP(#REF!,ФиКод[],8,0))</f>
        <v>#REF!</v>
      </c>
      <c r="E1061" s="1" t="e">
        <f aca="false">IF(#REF!="","",VLOOKUP(#REF!,ФиКод[],9,0))</f>
        <v>#REF!</v>
      </c>
      <c r="F1061" s="1" t="e">
        <f aca="false">IF(#REF!="","",VLOOKUP(#REF!,ФиКод[],10,0))</f>
        <v>#REF!</v>
      </c>
    </row>
    <row r="1062" customFormat="false" ht="12.75" hidden="false" customHeight="false" outlineLevel="0" collapsed="false">
      <c r="A1062" s="1" t="e">
        <f aca="false">IF(#REF!="","",VLOOKUP(#REF!,ФиКод[],8,0))</f>
        <v>#REF!</v>
      </c>
      <c r="E1062" s="1" t="e">
        <f aca="false">IF(#REF!="","",VLOOKUP(#REF!,ФиКод[],9,0))</f>
        <v>#REF!</v>
      </c>
      <c r="F1062" s="1" t="e">
        <f aca="false">IF(#REF!="","",VLOOKUP(#REF!,ФиКод[],10,0))</f>
        <v>#REF!</v>
      </c>
    </row>
    <row r="1063" customFormat="false" ht="12.75" hidden="false" customHeight="false" outlineLevel="0" collapsed="false">
      <c r="A1063" s="1" t="e">
        <f aca="false">IF(#REF!="","",VLOOKUP(#REF!,ФиКод[],8,0))</f>
        <v>#REF!</v>
      </c>
      <c r="E1063" s="1" t="e">
        <f aca="false">IF(#REF!="","",VLOOKUP(#REF!,ФиКод[],9,0))</f>
        <v>#REF!</v>
      </c>
      <c r="F1063" s="1" t="e">
        <f aca="false">IF(#REF!="","",VLOOKUP(#REF!,ФиКод[],10,0))</f>
        <v>#REF!</v>
      </c>
    </row>
    <row r="1064" customFormat="false" ht="12.75" hidden="false" customHeight="false" outlineLevel="0" collapsed="false">
      <c r="A1064" s="1" t="e">
        <f aca="false">IF(#REF!="","",VLOOKUP(#REF!,ФиКод[],8,0))</f>
        <v>#REF!</v>
      </c>
      <c r="E1064" s="1" t="e">
        <f aca="false">IF(#REF!="","",VLOOKUP(#REF!,ФиКод[],9,0))</f>
        <v>#REF!</v>
      </c>
      <c r="F1064" s="1" t="e">
        <f aca="false">IF(#REF!="","",VLOOKUP(#REF!,ФиКод[],10,0))</f>
        <v>#REF!</v>
      </c>
    </row>
    <row r="1065" customFormat="false" ht="12.75" hidden="false" customHeight="false" outlineLevel="0" collapsed="false">
      <c r="A1065" s="1" t="e">
        <f aca="false">IF(#REF!="","",VLOOKUP(#REF!,ФиКод[],8,0))</f>
        <v>#REF!</v>
      </c>
      <c r="E1065" s="1" t="e">
        <f aca="false">IF(#REF!="","",VLOOKUP(#REF!,ФиКод[],9,0))</f>
        <v>#REF!</v>
      </c>
      <c r="F1065" s="1" t="e">
        <f aca="false">IF(#REF!="","",VLOOKUP(#REF!,ФиКод[],10,0))</f>
        <v>#REF!</v>
      </c>
    </row>
    <row r="1066" customFormat="false" ht="12.75" hidden="false" customHeight="false" outlineLevel="0" collapsed="false">
      <c r="A1066" s="1" t="e">
        <f aca="false">IF(#REF!="","",VLOOKUP(#REF!,ФиКод[],8,0))</f>
        <v>#REF!</v>
      </c>
      <c r="E1066" s="1" t="e">
        <f aca="false">IF(#REF!="","",VLOOKUP(#REF!,ФиКод[],9,0))</f>
        <v>#REF!</v>
      </c>
      <c r="F1066" s="1" t="e">
        <f aca="false">IF(#REF!="","",VLOOKUP(#REF!,ФиКод[],10,0))</f>
        <v>#REF!</v>
      </c>
    </row>
    <row r="1067" customFormat="false" ht="12.75" hidden="false" customHeight="false" outlineLevel="0" collapsed="false">
      <c r="A1067" s="1" t="e">
        <f aca="false">IF(#REF!="","",VLOOKUP(#REF!,ФиКод[],8,0))</f>
        <v>#REF!</v>
      </c>
      <c r="E1067" s="1" t="e">
        <f aca="false">IF(#REF!="","",VLOOKUP(#REF!,ФиКод[],9,0))</f>
        <v>#REF!</v>
      </c>
      <c r="F1067" s="1" t="e">
        <f aca="false">IF(#REF!="","",VLOOKUP(#REF!,ФиКод[],10,0))</f>
        <v>#REF!</v>
      </c>
    </row>
    <row r="1068" customFormat="false" ht="12.75" hidden="false" customHeight="false" outlineLevel="0" collapsed="false">
      <c r="A1068" s="1" t="e">
        <f aca="false">IF(#REF!="","",VLOOKUP(#REF!,ФиКод[],8,0))</f>
        <v>#REF!</v>
      </c>
      <c r="E1068" s="1" t="e">
        <f aca="false">IF(#REF!="","",VLOOKUP(#REF!,ФиКод[],9,0))</f>
        <v>#REF!</v>
      </c>
      <c r="F1068" s="1" t="e">
        <f aca="false">IF(#REF!="","",VLOOKUP(#REF!,ФиКод[],10,0))</f>
        <v>#REF!</v>
      </c>
    </row>
    <row r="1069" customFormat="false" ht="12.75" hidden="false" customHeight="false" outlineLevel="0" collapsed="false">
      <c r="A1069" s="1" t="e">
        <f aca="false">IF(#REF!="","",VLOOKUP(#REF!,ФиКод[],8,0))</f>
        <v>#REF!</v>
      </c>
      <c r="E1069" s="1" t="e">
        <f aca="false">IF(#REF!="","",VLOOKUP(#REF!,ФиКод[],9,0))</f>
        <v>#REF!</v>
      </c>
      <c r="F1069" s="1" t="e">
        <f aca="false">IF(#REF!="","",VLOOKUP(#REF!,ФиКод[],10,0))</f>
        <v>#REF!</v>
      </c>
    </row>
    <row r="1070" customFormat="false" ht="12.75" hidden="false" customHeight="false" outlineLevel="0" collapsed="false">
      <c r="A1070" s="1" t="e">
        <f aca="false">IF(#REF!="","",VLOOKUP(#REF!,ФиКод[],8,0))</f>
        <v>#REF!</v>
      </c>
      <c r="E1070" s="1" t="e">
        <f aca="false">IF(#REF!="","",VLOOKUP(#REF!,ФиКод[],9,0))</f>
        <v>#REF!</v>
      </c>
      <c r="F1070" s="1" t="e">
        <f aca="false">IF(#REF!="","",VLOOKUP(#REF!,ФиКод[],10,0))</f>
        <v>#REF!</v>
      </c>
    </row>
    <row r="1071" customFormat="false" ht="12.75" hidden="false" customHeight="false" outlineLevel="0" collapsed="false">
      <c r="A1071" s="1" t="e">
        <f aca="false">IF(#REF!="","",VLOOKUP(#REF!,ФиКод[],8,0))</f>
        <v>#REF!</v>
      </c>
      <c r="E1071" s="1" t="e">
        <f aca="false">IF(#REF!="","",VLOOKUP(#REF!,ФиКод[],9,0))</f>
        <v>#REF!</v>
      </c>
      <c r="F1071" s="1" t="e">
        <f aca="false">IF(#REF!="","",VLOOKUP(#REF!,ФиКод[],10,0))</f>
        <v>#REF!</v>
      </c>
    </row>
    <row r="1072" customFormat="false" ht="12.75" hidden="false" customHeight="false" outlineLevel="0" collapsed="false">
      <c r="A1072" s="1" t="e">
        <f aca="false">IF(#REF!="","",VLOOKUP(#REF!,ФиКод[],8,0))</f>
        <v>#REF!</v>
      </c>
      <c r="E1072" s="1" t="e">
        <f aca="false">IF(#REF!="","",VLOOKUP(#REF!,ФиКод[],9,0))</f>
        <v>#REF!</v>
      </c>
      <c r="F1072" s="1" t="e">
        <f aca="false">IF(#REF!="","",VLOOKUP(#REF!,ФиКод[],10,0))</f>
        <v>#REF!</v>
      </c>
    </row>
    <row r="1073" customFormat="false" ht="12.75" hidden="false" customHeight="false" outlineLevel="0" collapsed="false">
      <c r="A1073" s="1" t="e">
        <f aca="false">IF(#REF!="","",VLOOKUP(#REF!,ФиКод[],8,0))</f>
        <v>#REF!</v>
      </c>
      <c r="E1073" s="1" t="e">
        <f aca="false">IF(#REF!="","",VLOOKUP(#REF!,ФиКод[],9,0))</f>
        <v>#REF!</v>
      </c>
      <c r="F1073" s="1" t="e">
        <f aca="false">IF(#REF!="","",VLOOKUP(#REF!,ФиКод[],10,0))</f>
        <v>#REF!</v>
      </c>
    </row>
    <row r="1074" customFormat="false" ht="12.75" hidden="false" customHeight="false" outlineLevel="0" collapsed="false">
      <c r="A1074" s="1" t="e">
        <f aca="false">IF(#REF!="","",VLOOKUP(#REF!,ФиКод[],8,0))</f>
        <v>#REF!</v>
      </c>
      <c r="E1074" s="1" t="e">
        <f aca="false">IF(#REF!="","",VLOOKUP(#REF!,ФиКод[],9,0))</f>
        <v>#REF!</v>
      </c>
      <c r="F1074" s="1" t="e">
        <f aca="false">IF(#REF!="","",VLOOKUP(#REF!,ФиКод[],10,0))</f>
        <v>#REF!</v>
      </c>
    </row>
    <row r="1075" customFormat="false" ht="12.75" hidden="false" customHeight="false" outlineLevel="0" collapsed="false">
      <c r="A1075" s="1" t="e">
        <f aca="false">IF(#REF!="","",VLOOKUP(#REF!,ФиКод[],8,0))</f>
        <v>#REF!</v>
      </c>
      <c r="E1075" s="1" t="e">
        <f aca="false">IF(#REF!="","",VLOOKUP(#REF!,ФиКод[],9,0))</f>
        <v>#REF!</v>
      </c>
      <c r="F1075" s="1" t="e">
        <f aca="false">IF(#REF!="","",VLOOKUP(#REF!,ФиКод[],10,0))</f>
        <v>#REF!</v>
      </c>
    </row>
    <row r="1076" customFormat="false" ht="12.75" hidden="false" customHeight="false" outlineLevel="0" collapsed="false">
      <c r="A1076" s="1" t="e">
        <f aca="false">IF(#REF!="","",VLOOKUP(#REF!,ФиКод[],8,0))</f>
        <v>#REF!</v>
      </c>
      <c r="E1076" s="1" t="e">
        <f aca="false">IF(#REF!="","",VLOOKUP(#REF!,ФиКод[],9,0))</f>
        <v>#REF!</v>
      </c>
      <c r="F1076" s="1" t="e">
        <f aca="false">IF(#REF!="","",VLOOKUP(#REF!,ФиКод[],10,0))</f>
        <v>#REF!</v>
      </c>
    </row>
    <row r="1077" customFormat="false" ht="12.75" hidden="false" customHeight="false" outlineLevel="0" collapsed="false">
      <c r="A1077" s="1" t="e">
        <f aca="false">IF(#REF!="","",VLOOKUP(#REF!,ФиКод[],8,0))</f>
        <v>#REF!</v>
      </c>
      <c r="E1077" s="1" t="e">
        <f aca="false">IF(#REF!="","",VLOOKUP(#REF!,ФиКод[],9,0))</f>
        <v>#REF!</v>
      </c>
      <c r="F1077" s="1" t="e">
        <f aca="false">IF(#REF!="","",VLOOKUP(#REF!,ФиКод[],10,0))</f>
        <v>#REF!</v>
      </c>
    </row>
    <row r="1078" customFormat="false" ht="12.75" hidden="false" customHeight="false" outlineLevel="0" collapsed="false">
      <c r="A1078" s="1" t="e">
        <f aca="false">IF(#REF!="","",VLOOKUP(#REF!,ФиКод[],8,0))</f>
        <v>#REF!</v>
      </c>
      <c r="E1078" s="1" t="e">
        <f aca="false">IF(#REF!="","",VLOOKUP(#REF!,ФиКод[],9,0))</f>
        <v>#REF!</v>
      </c>
      <c r="F1078" s="1" t="e">
        <f aca="false">IF(#REF!="","",VLOOKUP(#REF!,ФиКод[],10,0))</f>
        <v>#REF!</v>
      </c>
    </row>
    <row r="1079" customFormat="false" ht="12.75" hidden="false" customHeight="false" outlineLevel="0" collapsed="false">
      <c r="A1079" s="1" t="e">
        <f aca="false">IF(#REF!="","",VLOOKUP(#REF!,ФиКод[],8,0))</f>
        <v>#REF!</v>
      </c>
      <c r="E1079" s="1" t="e">
        <f aca="false">IF(#REF!="","",VLOOKUP(#REF!,ФиКод[],9,0))</f>
        <v>#REF!</v>
      </c>
      <c r="F1079" s="1" t="e">
        <f aca="false">IF(#REF!="","",VLOOKUP(#REF!,ФиКод[],10,0))</f>
        <v>#REF!</v>
      </c>
    </row>
    <row r="1080" customFormat="false" ht="12.75" hidden="false" customHeight="false" outlineLevel="0" collapsed="false">
      <c r="A1080" s="1" t="e">
        <f aca="false">IF(#REF!="","",VLOOKUP(#REF!,ФиКод[],8,0))</f>
        <v>#REF!</v>
      </c>
      <c r="E1080" s="1" t="e">
        <f aca="false">IF(#REF!="","",VLOOKUP(#REF!,ФиКод[],9,0))</f>
        <v>#REF!</v>
      </c>
      <c r="F1080" s="1" t="e">
        <f aca="false">IF(#REF!="","",VLOOKUP(#REF!,ФиКод[],10,0))</f>
        <v>#REF!</v>
      </c>
    </row>
    <row r="1081" customFormat="false" ht="12.75" hidden="false" customHeight="false" outlineLevel="0" collapsed="false">
      <c r="A1081" s="1" t="e">
        <f aca="false">IF(#REF!="","",VLOOKUP(#REF!,ФиКод[],8,0))</f>
        <v>#REF!</v>
      </c>
      <c r="E1081" s="1" t="e">
        <f aca="false">IF(#REF!="","",VLOOKUP(#REF!,ФиКод[],9,0))</f>
        <v>#REF!</v>
      </c>
      <c r="F1081" s="1" t="e">
        <f aca="false">IF(#REF!="","",VLOOKUP(#REF!,ФиКод[],10,0))</f>
        <v>#REF!</v>
      </c>
    </row>
    <row r="1082" customFormat="false" ht="12.75" hidden="false" customHeight="false" outlineLevel="0" collapsed="false">
      <c r="A1082" s="1" t="e">
        <f aca="false">IF(#REF!="","",VLOOKUP(#REF!,ФиКод[],8,0))</f>
        <v>#REF!</v>
      </c>
      <c r="E1082" s="1" t="e">
        <f aca="false">IF(#REF!="","",VLOOKUP(#REF!,ФиКод[],9,0))</f>
        <v>#REF!</v>
      </c>
      <c r="F1082" s="1" t="e">
        <f aca="false">IF(#REF!="","",VLOOKUP(#REF!,ФиКод[],10,0))</f>
        <v>#REF!</v>
      </c>
    </row>
    <row r="1083" customFormat="false" ht="12.75" hidden="false" customHeight="false" outlineLevel="0" collapsed="false">
      <c r="A1083" s="1" t="e">
        <f aca="false">IF(#REF!="","",VLOOKUP(#REF!,ФиКод[],8,0))</f>
        <v>#REF!</v>
      </c>
      <c r="E1083" s="1" t="e">
        <f aca="false">IF(#REF!="","",VLOOKUP(#REF!,ФиКод[],9,0))</f>
        <v>#REF!</v>
      </c>
      <c r="F1083" s="1" t="e">
        <f aca="false">IF(#REF!="","",VLOOKUP(#REF!,ФиКод[],10,0))</f>
        <v>#REF!</v>
      </c>
    </row>
    <row r="1084" customFormat="false" ht="12.75" hidden="false" customHeight="false" outlineLevel="0" collapsed="false">
      <c r="A1084" s="1" t="e">
        <f aca="false">IF(#REF!="","",VLOOKUP(#REF!,ФиКод[],8,0))</f>
        <v>#REF!</v>
      </c>
      <c r="E1084" s="1" t="e">
        <f aca="false">IF(#REF!="","",VLOOKUP(#REF!,ФиКод[],9,0))</f>
        <v>#REF!</v>
      </c>
      <c r="F1084" s="1" t="e">
        <f aca="false">IF(#REF!="","",VLOOKUP(#REF!,ФиКод[],10,0))</f>
        <v>#REF!</v>
      </c>
    </row>
    <row r="1085" customFormat="false" ht="12.75" hidden="false" customHeight="false" outlineLevel="0" collapsed="false">
      <c r="A1085" s="1" t="e">
        <f aca="false">IF(#REF!="","",VLOOKUP(#REF!,ФиКод[],8,0))</f>
        <v>#REF!</v>
      </c>
      <c r="E1085" s="1" t="e">
        <f aca="false">IF(#REF!="","",VLOOKUP(#REF!,ФиКод[],9,0))</f>
        <v>#REF!</v>
      </c>
      <c r="F1085" s="1" t="e">
        <f aca="false">IF(#REF!="","",VLOOKUP(#REF!,ФиКод[],10,0))</f>
        <v>#REF!</v>
      </c>
    </row>
    <row r="1086" customFormat="false" ht="12.75" hidden="false" customHeight="false" outlineLevel="0" collapsed="false">
      <c r="A1086" s="1" t="e">
        <f aca="false">IF(#REF!="","",VLOOKUP(#REF!,ФиКод[],8,0))</f>
        <v>#REF!</v>
      </c>
      <c r="E1086" s="1" t="e">
        <f aca="false">IF(#REF!="","",VLOOKUP(#REF!,ФиКод[],9,0))</f>
        <v>#REF!</v>
      </c>
      <c r="F1086" s="1" t="e">
        <f aca="false">IF(#REF!="","",VLOOKUP(#REF!,ФиКод[],10,0))</f>
        <v>#REF!</v>
      </c>
    </row>
    <row r="1087" customFormat="false" ht="12.75" hidden="false" customHeight="false" outlineLevel="0" collapsed="false">
      <c r="A1087" s="1" t="e">
        <f aca="false">IF(#REF!="","",VLOOKUP(#REF!,ФиКод[],8,0))</f>
        <v>#REF!</v>
      </c>
      <c r="E1087" s="1" t="e">
        <f aca="false">IF(#REF!="","",VLOOKUP(#REF!,ФиКод[],9,0))</f>
        <v>#REF!</v>
      </c>
      <c r="F1087" s="1" t="e">
        <f aca="false">IF(#REF!="","",VLOOKUP(#REF!,ФиКод[],10,0))</f>
        <v>#REF!</v>
      </c>
    </row>
    <row r="1088" customFormat="false" ht="12.75" hidden="false" customHeight="false" outlineLevel="0" collapsed="false">
      <c r="A1088" s="1" t="e">
        <f aca="false">IF(#REF!="","",VLOOKUP(#REF!,ФиКод[],8,0))</f>
        <v>#REF!</v>
      </c>
      <c r="E1088" s="1" t="e">
        <f aca="false">IF(#REF!="","",VLOOKUP(#REF!,ФиКод[],9,0))</f>
        <v>#REF!</v>
      </c>
      <c r="F1088" s="1" t="e">
        <f aca="false">IF(#REF!="","",VLOOKUP(#REF!,ФиКод[],10,0))</f>
        <v>#REF!</v>
      </c>
    </row>
    <row r="1089" customFormat="false" ht="12.75" hidden="false" customHeight="false" outlineLevel="0" collapsed="false">
      <c r="A1089" s="1" t="e">
        <f aca="false">IF(#REF!="","",VLOOKUP(#REF!,ФиКод[],8,0))</f>
        <v>#REF!</v>
      </c>
      <c r="E1089" s="1" t="e">
        <f aca="false">IF(#REF!="","",VLOOKUP(#REF!,ФиКод[],9,0))</f>
        <v>#REF!</v>
      </c>
      <c r="F1089" s="1" t="e">
        <f aca="false">IF(#REF!="","",VLOOKUP(#REF!,ФиКод[],10,0))</f>
        <v>#REF!</v>
      </c>
    </row>
    <row r="1090" customFormat="false" ht="12.75" hidden="false" customHeight="false" outlineLevel="0" collapsed="false">
      <c r="A1090" s="1" t="e">
        <f aca="false">IF(#REF!="","",VLOOKUP(#REF!,ФиКод[],8,0))</f>
        <v>#REF!</v>
      </c>
      <c r="E1090" s="1" t="e">
        <f aca="false">IF(#REF!="","",VLOOKUP(#REF!,ФиКод[],9,0))</f>
        <v>#REF!</v>
      </c>
      <c r="F1090" s="1" t="e">
        <f aca="false">IF(#REF!="","",VLOOKUP(#REF!,ФиКод[],10,0))</f>
        <v>#REF!</v>
      </c>
    </row>
    <row r="1091" customFormat="false" ht="12.75" hidden="false" customHeight="false" outlineLevel="0" collapsed="false">
      <c r="A1091" s="1" t="e">
        <f aca="false">IF(#REF!="","",VLOOKUP(#REF!,ФиКод[],8,0))</f>
        <v>#REF!</v>
      </c>
      <c r="E1091" s="1" t="e">
        <f aca="false">IF(#REF!="","",VLOOKUP(#REF!,ФиКод[],9,0))</f>
        <v>#REF!</v>
      </c>
      <c r="F1091" s="1" t="e">
        <f aca="false">IF(#REF!="","",VLOOKUP(#REF!,ФиКод[],10,0))</f>
        <v>#REF!</v>
      </c>
    </row>
    <row r="1092" customFormat="false" ht="12.75" hidden="false" customHeight="false" outlineLevel="0" collapsed="false">
      <c r="A1092" s="1" t="e">
        <f aca="false">IF(#REF!="","",VLOOKUP(#REF!,ФиКод[],8,0))</f>
        <v>#REF!</v>
      </c>
      <c r="E1092" s="1" t="e">
        <f aca="false">IF(#REF!="","",VLOOKUP(#REF!,ФиКод[],9,0))</f>
        <v>#REF!</v>
      </c>
      <c r="F1092" s="1" t="e">
        <f aca="false">IF(#REF!="","",VLOOKUP(#REF!,ФиКод[],10,0))</f>
        <v>#REF!</v>
      </c>
    </row>
    <row r="1093" customFormat="false" ht="12.75" hidden="false" customHeight="false" outlineLevel="0" collapsed="false">
      <c r="A1093" s="1" t="e">
        <f aca="false">IF(#REF!="","",VLOOKUP(#REF!,ФиКод[],8,0))</f>
        <v>#REF!</v>
      </c>
      <c r="E1093" s="1" t="e">
        <f aca="false">IF(#REF!="","",VLOOKUP(#REF!,ФиКод[],9,0))</f>
        <v>#REF!</v>
      </c>
      <c r="F1093" s="1" t="e">
        <f aca="false">IF(#REF!="","",VLOOKUP(#REF!,ФиКод[],10,0))</f>
        <v>#REF!</v>
      </c>
    </row>
    <row r="1094" customFormat="false" ht="12.75" hidden="false" customHeight="false" outlineLevel="0" collapsed="false">
      <c r="A1094" s="1" t="e">
        <f aca="false">IF(#REF!="","",VLOOKUP(#REF!,ФиКод[],8,0))</f>
        <v>#REF!</v>
      </c>
      <c r="E1094" s="1" t="e">
        <f aca="false">IF(#REF!="","",VLOOKUP(#REF!,ФиКод[],9,0))</f>
        <v>#REF!</v>
      </c>
      <c r="F1094" s="1" t="e">
        <f aca="false">IF(#REF!="","",VLOOKUP(#REF!,ФиКод[],10,0))</f>
        <v>#REF!</v>
      </c>
    </row>
    <row r="1095" customFormat="false" ht="12.75" hidden="false" customHeight="false" outlineLevel="0" collapsed="false">
      <c r="A1095" s="1" t="e">
        <f aca="false">IF(#REF!="","",VLOOKUP(#REF!,ФиКод[],8,0))</f>
        <v>#REF!</v>
      </c>
      <c r="E1095" s="1" t="e">
        <f aca="false">IF(#REF!="","",VLOOKUP(#REF!,ФиКод[],9,0))</f>
        <v>#REF!</v>
      </c>
      <c r="F1095" s="1" t="e">
        <f aca="false">IF(#REF!="","",VLOOKUP(#REF!,ФиКод[],10,0))</f>
        <v>#REF!</v>
      </c>
    </row>
    <row r="1096" customFormat="false" ht="12.75" hidden="false" customHeight="false" outlineLevel="0" collapsed="false">
      <c r="A1096" s="1" t="e">
        <f aca="false">IF(#REF!="","",VLOOKUP(#REF!,ФиКод[],8,0))</f>
        <v>#REF!</v>
      </c>
      <c r="E1096" s="1" t="e">
        <f aca="false">IF(#REF!="","",VLOOKUP(#REF!,ФиКод[],9,0))</f>
        <v>#REF!</v>
      </c>
      <c r="F1096" s="1" t="e">
        <f aca="false">IF(#REF!="","",VLOOKUP(#REF!,ФиКод[],10,0))</f>
        <v>#REF!</v>
      </c>
    </row>
    <row r="1097" customFormat="false" ht="12.75" hidden="false" customHeight="false" outlineLevel="0" collapsed="false">
      <c r="A1097" s="1" t="e">
        <f aca="false">IF(#REF!="","",VLOOKUP(#REF!,ФиКод[],8,0))</f>
        <v>#REF!</v>
      </c>
      <c r="E1097" s="1" t="e">
        <f aca="false">IF(#REF!="","",VLOOKUP(#REF!,ФиКод[],9,0))</f>
        <v>#REF!</v>
      </c>
      <c r="F1097" s="1" t="e">
        <f aca="false">IF(#REF!="","",VLOOKUP(#REF!,ФиКод[],10,0))</f>
        <v>#REF!</v>
      </c>
    </row>
    <row r="1098" customFormat="false" ht="12.75" hidden="false" customHeight="false" outlineLevel="0" collapsed="false">
      <c r="A1098" s="1" t="e">
        <f aca="false">IF(#REF!="","",VLOOKUP(#REF!,ФиКод[],8,0))</f>
        <v>#REF!</v>
      </c>
      <c r="E1098" s="1" t="e">
        <f aca="false">IF(#REF!="","",VLOOKUP(#REF!,ФиКод[],9,0))</f>
        <v>#REF!</v>
      </c>
      <c r="F1098" s="1" t="e">
        <f aca="false">IF(#REF!="","",VLOOKUP(#REF!,ФиКод[],10,0))</f>
        <v>#REF!</v>
      </c>
    </row>
    <row r="1099" customFormat="false" ht="12.75" hidden="false" customHeight="false" outlineLevel="0" collapsed="false">
      <c r="A1099" s="1" t="e">
        <f aca="false">IF(#REF!="","",VLOOKUP(#REF!,ФиКод[],8,0))</f>
        <v>#REF!</v>
      </c>
      <c r="E1099" s="1" t="e">
        <f aca="false">IF(#REF!="","",VLOOKUP(#REF!,ФиКод[],9,0))</f>
        <v>#REF!</v>
      </c>
      <c r="F1099" s="1" t="e">
        <f aca="false">IF(#REF!="","",VLOOKUP(#REF!,ФиКод[],10,0))</f>
        <v>#REF!</v>
      </c>
    </row>
    <row r="1100" customFormat="false" ht="12.75" hidden="false" customHeight="false" outlineLevel="0" collapsed="false">
      <c r="A1100" s="1" t="e">
        <f aca="false">IF(#REF!="","",VLOOKUP(#REF!,ФиКод[],8,0))</f>
        <v>#REF!</v>
      </c>
      <c r="E1100" s="1" t="e">
        <f aca="false">IF(#REF!="","",VLOOKUP(#REF!,ФиКод[],9,0))</f>
        <v>#REF!</v>
      </c>
      <c r="F1100" s="1" t="e">
        <f aca="false">IF(#REF!="","",VLOOKUP(#REF!,ФиКод[],10,0))</f>
        <v>#REF!</v>
      </c>
    </row>
    <row r="1101" customFormat="false" ht="12.75" hidden="false" customHeight="false" outlineLevel="0" collapsed="false">
      <c r="A1101" s="1" t="e">
        <f aca="false">IF(#REF!="","",VLOOKUP(#REF!,ФиКод[],8,0))</f>
        <v>#REF!</v>
      </c>
      <c r="E1101" s="1" t="e">
        <f aca="false">IF(#REF!="","",VLOOKUP(#REF!,ФиКод[],9,0))</f>
        <v>#REF!</v>
      </c>
      <c r="F1101" s="1" t="e">
        <f aca="false">IF(#REF!="","",VLOOKUP(#REF!,ФиКод[],10,0))</f>
        <v>#REF!</v>
      </c>
    </row>
    <row r="1102" customFormat="false" ht="12.75" hidden="false" customHeight="false" outlineLevel="0" collapsed="false">
      <c r="A1102" s="1" t="e">
        <f aca="false">IF(#REF!="","",VLOOKUP(#REF!,ФиКод[],8,0))</f>
        <v>#REF!</v>
      </c>
      <c r="E1102" s="1" t="e">
        <f aca="false">IF(#REF!="","",VLOOKUP(#REF!,ФиКод[],9,0))</f>
        <v>#REF!</v>
      </c>
      <c r="F1102" s="1" t="e">
        <f aca="false">IF(#REF!="","",VLOOKUP(#REF!,ФиКод[],10,0))</f>
        <v>#REF!</v>
      </c>
    </row>
    <row r="1103" customFormat="false" ht="12.75" hidden="false" customHeight="false" outlineLevel="0" collapsed="false">
      <c r="A1103" s="1" t="e">
        <f aca="false">IF(#REF!="","",VLOOKUP(#REF!,ФиКод[],8,0))</f>
        <v>#REF!</v>
      </c>
      <c r="E1103" s="1" t="e">
        <f aca="false">IF(#REF!="","",VLOOKUP(#REF!,ФиКод[],9,0))</f>
        <v>#REF!</v>
      </c>
      <c r="F1103" s="1" t="e">
        <f aca="false">IF(#REF!="","",VLOOKUP(#REF!,ФиКод[],10,0))</f>
        <v>#REF!</v>
      </c>
    </row>
    <row r="1104" customFormat="false" ht="12.75" hidden="false" customHeight="false" outlineLevel="0" collapsed="false">
      <c r="A1104" s="1" t="e">
        <f aca="false">IF(#REF!="","",VLOOKUP(#REF!,ФиКод[],8,0))</f>
        <v>#REF!</v>
      </c>
      <c r="E1104" s="1" t="e">
        <f aca="false">IF(#REF!="","",VLOOKUP(#REF!,ФиКод[],9,0))</f>
        <v>#REF!</v>
      </c>
      <c r="F1104" s="1" t="e">
        <f aca="false">IF(#REF!="","",VLOOKUP(#REF!,ФиКод[],10,0))</f>
        <v>#REF!</v>
      </c>
    </row>
    <row r="1105" customFormat="false" ht="12.75" hidden="false" customHeight="false" outlineLevel="0" collapsed="false">
      <c r="A1105" s="1" t="e">
        <f aca="false">IF(#REF!="","",VLOOKUP(#REF!,ФиКод[],8,0))</f>
        <v>#REF!</v>
      </c>
      <c r="E1105" s="1" t="e">
        <f aca="false">IF(#REF!="","",VLOOKUP(#REF!,ФиКод[],9,0))</f>
        <v>#REF!</v>
      </c>
      <c r="F1105" s="1" t="e">
        <f aca="false">IF(#REF!="","",VLOOKUP(#REF!,ФиКод[],10,0))</f>
        <v>#REF!</v>
      </c>
    </row>
    <row r="1106" customFormat="false" ht="12.75" hidden="false" customHeight="false" outlineLevel="0" collapsed="false">
      <c r="A1106" s="1" t="e">
        <f aca="false">IF(#REF!="","",VLOOKUP(#REF!,ФиКод[],8,0))</f>
        <v>#REF!</v>
      </c>
      <c r="E1106" s="1" t="e">
        <f aca="false">IF(#REF!="","",VLOOKUP(#REF!,ФиКод[],9,0))</f>
        <v>#REF!</v>
      </c>
      <c r="F1106" s="1" t="e">
        <f aca="false">IF(#REF!="","",VLOOKUP(#REF!,ФиКод[],10,0))</f>
        <v>#REF!</v>
      </c>
    </row>
    <row r="1107" customFormat="false" ht="12.75" hidden="false" customHeight="false" outlineLevel="0" collapsed="false">
      <c r="A1107" s="1" t="e">
        <f aca="false">IF(#REF!="","",VLOOKUP(#REF!,ФиКод[],8,0))</f>
        <v>#REF!</v>
      </c>
      <c r="E1107" s="1" t="e">
        <f aca="false">IF(#REF!="","",VLOOKUP(#REF!,ФиКод[],9,0))</f>
        <v>#REF!</v>
      </c>
      <c r="F1107" s="1" t="e">
        <f aca="false">IF(#REF!="","",VLOOKUP(#REF!,ФиКод[],10,0))</f>
        <v>#REF!</v>
      </c>
    </row>
    <row r="1108" customFormat="false" ht="12.75" hidden="false" customHeight="false" outlineLevel="0" collapsed="false">
      <c r="A1108" s="1" t="e">
        <f aca="false">IF(#REF!="","",VLOOKUP(#REF!,ФиКод[],8,0))</f>
        <v>#REF!</v>
      </c>
      <c r="E1108" s="1" t="e">
        <f aca="false">IF(#REF!="","",VLOOKUP(#REF!,ФиКод[],9,0))</f>
        <v>#REF!</v>
      </c>
      <c r="F1108" s="1" t="e">
        <f aca="false">IF(#REF!="","",VLOOKUP(#REF!,ФиКод[],10,0))</f>
        <v>#REF!</v>
      </c>
    </row>
    <row r="1109" customFormat="false" ht="12.75" hidden="false" customHeight="false" outlineLevel="0" collapsed="false">
      <c r="A1109" s="1" t="e">
        <f aca="false">IF(#REF!="","",VLOOKUP(#REF!,ФиКод[],8,0))</f>
        <v>#REF!</v>
      </c>
      <c r="E1109" s="1" t="e">
        <f aca="false">IF(#REF!="","",VLOOKUP(#REF!,ФиКод[],9,0))</f>
        <v>#REF!</v>
      </c>
      <c r="F1109" s="1" t="e">
        <f aca="false">IF(#REF!="","",VLOOKUP(#REF!,ФиКод[],10,0))</f>
        <v>#REF!</v>
      </c>
    </row>
    <row r="1110" customFormat="false" ht="12.75" hidden="false" customHeight="false" outlineLevel="0" collapsed="false">
      <c r="A1110" s="1" t="e">
        <f aca="false">IF(#REF!="","",VLOOKUP(#REF!,ФиКод[],8,0))</f>
        <v>#REF!</v>
      </c>
      <c r="E1110" s="1" t="e">
        <f aca="false">IF(#REF!="","",VLOOKUP(#REF!,ФиКод[],9,0))</f>
        <v>#REF!</v>
      </c>
      <c r="F1110" s="1" t="e">
        <f aca="false">IF(#REF!="","",VLOOKUP(#REF!,ФиКод[],10,0))</f>
        <v>#REF!</v>
      </c>
    </row>
    <row r="1111" customFormat="false" ht="12.75" hidden="false" customHeight="false" outlineLevel="0" collapsed="false">
      <c r="A1111" s="1" t="e">
        <f aca="false">IF(#REF!="","",VLOOKUP(#REF!,ФиКод[],8,0))</f>
        <v>#REF!</v>
      </c>
      <c r="E1111" s="1" t="e">
        <f aca="false">IF(#REF!="","",VLOOKUP(#REF!,ФиКод[],9,0))</f>
        <v>#REF!</v>
      </c>
      <c r="F1111" s="1" t="e">
        <f aca="false">IF(#REF!="","",VLOOKUP(#REF!,ФиКод[],10,0))</f>
        <v>#REF!</v>
      </c>
    </row>
    <row r="1112" customFormat="false" ht="12.75" hidden="false" customHeight="false" outlineLevel="0" collapsed="false">
      <c r="A1112" s="1" t="e">
        <f aca="false">IF(#REF!="","",VLOOKUP(#REF!,ФиКод[],8,0))</f>
        <v>#REF!</v>
      </c>
      <c r="E1112" s="1" t="e">
        <f aca="false">IF(#REF!="","",VLOOKUP(#REF!,ФиКод[],9,0))</f>
        <v>#REF!</v>
      </c>
      <c r="F1112" s="1" t="e">
        <f aca="false">IF(#REF!="","",VLOOKUP(#REF!,ФиКод[],10,0))</f>
        <v>#REF!</v>
      </c>
    </row>
    <row r="1113" customFormat="false" ht="12.75" hidden="false" customHeight="false" outlineLevel="0" collapsed="false">
      <c r="A1113" s="1" t="e">
        <f aca="false">IF(#REF!="","",VLOOKUP(#REF!,ФиКод[],8,0))</f>
        <v>#REF!</v>
      </c>
      <c r="E1113" s="1" t="e">
        <f aca="false">IF(#REF!="","",VLOOKUP(#REF!,ФиКод[],9,0))</f>
        <v>#REF!</v>
      </c>
      <c r="F1113" s="1" t="e">
        <f aca="false">IF(#REF!="","",VLOOKUP(#REF!,ФиКод[],10,0))</f>
        <v>#REF!</v>
      </c>
    </row>
    <row r="1114" customFormat="false" ht="12.75" hidden="false" customHeight="false" outlineLevel="0" collapsed="false">
      <c r="A1114" s="1" t="e">
        <f aca="false">IF(#REF!="","",VLOOKUP(#REF!,ФиКод[],8,0))</f>
        <v>#REF!</v>
      </c>
      <c r="E1114" s="1" t="e">
        <f aca="false">IF(#REF!="","",VLOOKUP(#REF!,ФиКод[],9,0))</f>
        <v>#REF!</v>
      </c>
      <c r="F1114" s="1" t="e">
        <f aca="false">IF(#REF!="","",VLOOKUP(#REF!,ФиКод[],10,0))</f>
        <v>#REF!</v>
      </c>
    </row>
    <row r="1115" customFormat="false" ht="12.75" hidden="false" customHeight="false" outlineLevel="0" collapsed="false">
      <c r="A1115" s="1" t="e">
        <f aca="false">IF(#REF!="","",VLOOKUP(#REF!,ФиКод[],8,0))</f>
        <v>#REF!</v>
      </c>
      <c r="E1115" s="1" t="e">
        <f aca="false">IF(#REF!="","",VLOOKUP(#REF!,ФиКод[],9,0))</f>
        <v>#REF!</v>
      </c>
      <c r="F1115" s="1" t="e">
        <f aca="false">IF(#REF!="","",VLOOKUP(#REF!,ФиКод[],10,0))</f>
        <v>#REF!</v>
      </c>
    </row>
    <row r="1116" customFormat="false" ht="12.75" hidden="false" customHeight="false" outlineLevel="0" collapsed="false">
      <c r="A1116" s="1" t="e">
        <f aca="false">IF(#REF!="","",VLOOKUP(#REF!,ФиКод[],8,0))</f>
        <v>#REF!</v>
      </c>
      <c r="E1116" s="1" t="e">
        <f aca="false">IF(#REF!="","",VLOOKUP(#REF!,ФиКод[],9,0))</f>
        <v>#REF!</v>
      </c>
      <c r="F1116" s="1" t="e">
        <f aca="false">IF(#REF!="","",VLOOKUP(#REF!,ФиКод[],10,0))</f>
        <v>#REF!</v>
      </c>
    </row>
    <row r="1117" customFormat="false" ht="12.75" hidden="false" customHeight="false" outlineLevel="0" collapsed="false">
      <c r="A1117" s="1" t="e">
        <f aca="false">IF(#REF!="","",VLOOKUP(#REF!,ФиКод[],8,0))</f>
        <v>#REF!</v>
      </c>
      <c r="E1117" s="1" t="e">
        <f aca="false">IF(#REF!="","",VLOOKUP(#REF!,ФиКод[],9,0))</f>
        <v>#REF!</v>
      </c>
      <c r="F1117" s="1" t="e">
        <f aca="false">IF(#REF!="","",VLOOKUP(#REF!,ФиКод[],10,0))</f>
        <v>#REF!</v>
      </c>
    </row>
    <row r="1118" customFormat="false" ht="12.75" hidden="false" customHeight="false" outlineLevel="0" collapsed="false">
      <c r="A1118" s="1" t="e">
        <f aca="false">IF(#REF!="","",VLOOKUP(#REF!,ФиКод[],8,0))</f>
        <v>#REF!</v>
      </c>
      <c r="E1118" s="1" t="e">
        <f aca="false">IF(#REF!="","",VLOOKUP(#REF!,ФиКод[],9,0))</f>
        <v>#REF!</v>
      </c>
      <c r="F1118" s="1" t="e">
        <f aca="false">IF(#REF!="","",VLOOKUP(#REF!,ФиКод[],10,0))</f>
        <v>#REF!</v>
      </c>
    </row>
    <row r="1119" customFormat="false" ht="12.75" hidden="false" customHeight="false" outlineLevel="0" collapsed="false">
      <c r="A1119" s="1" t="e">
        <f aca="false">IF(#REF!="","",VLOOKUP(#REF!,ФиКод[],8,0))</f>
        <v>#REF!</v>
      </c>
      <c r="E1119" s="1" t="e">
        <f aca="false">IF(#REF!="","",VLOOKUP(#REF!,ФиКод[],9,0))</f>
        <v>#REF!</v>
      </c>
      <c r="F1119" s="1" t="e">
        <f aca="false">IF(#REF!="","",VLOOKUP(#REF!,ФиКод[],10,0))</f>
        <v>#REF!</v>
      </c>
    </row>
    <row r="1120" customFormat="false" ht="12.75" hidden="false" customHeight="false" outlineLevel="0" collapsed="false">
      <c r="A1120" s="1" t="e">
        <f aca="false">IF(#REF!="","",VLOOKUP(#REF!,ФиКод[],8,0))</f>
        <v>#REF!</v>
      </c>
      <c r="E1120" s="1" t="e">
        <f aca="false">IF(#REF!="","",VLOOKUP(#REF!,ФиКод[],9,0))</f>
        <v>#REF!</v>
      </c>
      <c r="F1120" s="1" t="e">
        <f aca="false">IF(#REF!="","",VLOOKUP(#REF!,ФиКод[],10,0))</f>
        <v>#REF!</v>
      </c>
    </row>
    <row r="1121" customFormat="false" ht="12.75" hidden="false" customHeight="false" outlineLevel="0" collapsed="false">
      <c r="A1121" s="1" t="e">
        <f aca="false">IF(#REF!="","",VLOOKUP(#REF!,ФиКод[],8,0))</f>
        <v>#REF!</v>
      </c>
      <c r="E1121" s="1" t="e">
        <f aca="false">IF(#REF!="","",VLOOKUP(#REF!,ФиКод[],9,0))</f>
        <v>#REF!</v>
      </c>
      <c r="F1121" s="1" t="e">
        <f aca="false">IF(#REF!="","",VLOOKUP(#REF!,ФиКод[],10,0))</f>
        <v>#REF!</v>
      </c>
    </row>
    <row r="1122" customFormat="false" ht="12.75" hidden="false" customHeight="false" outlineLevel="0" collapsed="false">
      <c r="A1122" s="1" t="e">
        <f aca="false">IF(#REF!="","",VLOOKUP(#REF!,ФиКод[],8,0))</f>
        <v>#REF!</v>
      </c>
      <c r="E1122" s="1" t="e">
        <f aca="false">IF(#REF!="","",VLOOKUP(#REF!,ФиКод[],9,0))</f>
        <v>#REF!</v>
      </c>
      <c r="F1122" s="1" t="e">
        <f aca="false">IF(#REF!="","",VLOOKUP(#REF!,ФиКод[],10,0))</f>
        <v>#REF!</v>
      </c>
    </row>
    <row r="1123" customFormat="false" ht="12.75" hidden="false" customHeight="false" outlineLevel="0" collapsed="false">
      <c r="A1123" s="1" t="e">
        <f aca="false">IF(#REF!="","",VLOOKUP(#REF!,ФиКод[],8,0))</f>
        <v>#REF!</v>
      </c>
      <c r="E1123" s="1" t="e">
        <f aca="false">IF(#REF!="","",VLOOKUP(#REF!,ФиКод[],9,0))</f>
        <v>#REF!</v>
      </c>
      <c r="F1123" s="1" t="e">
        <f aca="false">IF(#REF!="","",VLOOKUP(#REF!,ФиКод[],10,0))</f>
        <v>#REF!</v>
      </c>
    </row>
    <row r="1124" customFormat="false" ht="12.75" hidden="false" customHeight="false" outlineLevel="0" collapsed="false">
      <c r="A1124" s="1" t="e">
        <f aca="false">IF(#REF!="","",VLOOKUP(#REF!,ФиКод[],8,0))</f>
        <v>#REF!</v>
      </c>
      <c r="E1124" s="1" t="e">
        <f aca="false">IF(#REF!="","",VLOOKUP(#REF!,ФиКод[],9,0))</f>
        <v>#REF!</v>
      </c>
      <c r="F1124" s="1" t="e">
        <f aca="false">IF(#REF!="","",VLOOKUP(#REF!,ФиКод[],10,0))</f>
        <v>#REF!</v>
      </c>
    </row>
    <row r="1125" customFormat="false" ht="12.75" hidden="false" customHeight="false" outlineLevel="0" collapsed="false">
      <c r="A1125" s="1" t="e">
        <f aca="false">IF(#REF!="","",VLOOKUP(#REF!,ФиКод[],8,0))</f>
        <v>#REF!</v>
      </c>
      <c r="E1125" s="1" t="e">
        <f aca="false">IF(#REF!="","",VLOOKUP(#REF!,ФиКод[],9,0))</f>
        <v>#REF!</v>
      </c>
      <c r="F1125" s="1" t="e">
        <f aca="false">IF(#REF!="","",VLOOKUP(#REF!,ФиКод[],10,0))</f>
        <v>#REF!</v>
      </c>
    </row>
    <row r="1126" customFormat="false" ht="12.75" hidden="false" customHeight="false" outlineLevel="0" collapsed="false">
      <c r="A1126" s="1" t="e">
        <f aca="false">IF(#REF!="","",VLOOKUP(#REF!,ФиКод[],8,0))</f>
        <v>#REF!</v>
      </c>
      <c r="E1126" s="1" t="e">
        <f aca="false">IF(#REF!="","",VLOOKUP(#REF!,ФиКод[],9,0))</f>
        <v>#REF!</v>
      </c>
      <c r="F1126" s="1" t="e">
        <f aca="false">IF(#REF!="","",VLOOKUP(#REF!,ФиКод[],10,0))</f>
        <v>#REF!</v>
      </c>
    </row>
    <row r="1127" customFormat="false" ht="12.75" hidden="false" customHeight="false" outlineLevel="0" collapsed="false">
      <c r="A1127" s="1" t="e">
        <f aca="false">IF(#REF!="","",VLOOKUP(#REF!,ФиКод[],8,0))</f>
        <v>#REF!</v>
      </c>
      <c r="E1127" s="1" t="e">
        <f aca="false">IF(#REF!="","",VLOOKUP(#REF!,ФиКод[],9,0))</f>
        <v>#REF!</v>
      </c>
      <c r="F1127" s="1" t="e">
        <f aca="false">IF(#REF!="","",VLOOKUP(#REF!,ФиКод[],10,0))</f>
        <v>#REF!</v>
      </c>
    </row>
    <row r="1128" customFormat="false" ht="12.75" hidden="false" customHeight="false" outlineLevel="0" collapsed="false">
      <c r="A1128" s="1" t="e">
        <f aca="false">IF(#REF!="","",VLOOKUP(#REF!,ФиКод[],8,0))</f>
        <v>#REF!</v>
      </c>
      <c r="E1128" s="1" t="e">
        <f aca="false">IF(#REF!="","",VLOOKUP(#REF!,ФиКод[],9,0))</f>
        <v>#REF!</v>
      </c>
      <c r="F1128" s="1" t="e">
        <f aca="false">IF(#REF!="","",VLOOKUP(#REF!,ФиКод[],10,0))</f>
        <v>#REF!</v>
      </c>
    </row>
    <row r="1129" customFormat="false" ht="12.75" hidden="false" customHeight="false" outlineLevel="0" collapsed="false">
      <c r="A1129" s="1" t="e">
        <f aca="false">IF(#REF!="","",VLOOKUP(#REF!,ФиКод[],8,0))</f>
        <v>#REF!</v>
      </c>
      <c r="E1129" s="1" t="e">
        <f aca="false">IF(#REF!="","",VLOOKUP(#REF!,ФиКод[],9,0))</f>
        <v>#REF!</v>
      </c>
      <c r="F1129" s="1" t="e">
        <f aca="false">IF(#REF!="","",VLOOKUP(#REF!,ФиКод[],10,0))</f>
        <v>#REF!</v>
      </c>
    </row>
    <row r="1130" customFormat="false" ht="12.75" hidden="false" customHeight="false" outlineLevel="0" collapsed="false">
      <c r="A1130" s="1" t="e">
        <f aca="false">IF(#REF!="","",VLOOKUP(#REF!,ФиКод[],8,0))</f>
        <v>#REF!</v>
      </c>
      <c r="E1130" s="1" t="e">
        <f aca="false">IF(#REF!="","",VLOOKUP(#REF!,ФиКод[],9,0))</f>
        <v>#REF!</v>
      </c>
      <c r="F1130" s="1" t="e">
        <f aca="false">IF(#REF!="","",VLOOKUP(#REF!,ФиКод[],10,0))</f>
        <v>#REF!</v>
      </c>
    </row>
    <row r="1131" customFormat="false" ht="12.75" hidden="false" customHeight="false" outlineLevel="0" collapsed="false">
      <c r="A1131" s="1" t="e">
        <f aca="false">IF(#REF!="","",VLOOKUP(#REF!,ФиКод[],8,0))</f>
        <v>#REF!</v>
      </c>
      <c r="E1131" s="1" t="e">
        <f aca="false">IF(#REF!="","",VLOOKUP(#REF!,ФиКод[],9,0))</f>
        <v>#REF!</v>
      </c>
      <c r="F1131" s="1" t="e">
        <f aca="false">IF(#REF!="","",VLOOKUP(#REF!,ФиКод[],10,0))</f>
        <v>#REF!</v>
      </c>
    </row>
    <row r="1132" customFormat="false" ht="12.75" hidden="false" customHeight="false" outlineLevel="0" collapsed="false">
      <c r="A1132" s="1" t="e">
        <f aca="false">IF(#REF!="","",VLOOKUP(#REF!,ФиКод[],8,0))</f>
        <v>#REF!</v>
      </c>
      <c r="E1132" s="1" t="e">
        <f aca="false">IF(#REF!="","",VLOOKUP(#REF!,ФиКод[],9,0))</f>
        <v>#REF!</v>
      </c>
      <c r="F1132" s="1" t="e">
        <f aca="false">IF(#REF!="","",VLOOKUP(#REF!,ФиКод[],10,0))</f>
        <v>#REF!</v>
      </c>
    </row>
    <row r="1133" customFormat="false" ht="12.75" hidden="false" customHeight="false" outlineLevel="0" collapsed="false">
      <c r="A1133" s="1" t="e">
        <f aca="false">IF(#REF!="","",VLOOKUP(#REF!,ФиКод[],8,0))</f>
        <v>#REF!</v>
      </c>
      <c r="E1133" s="1" t="e">
        <f aca="false">IF(#REF!="","",VLOOKUP(#REF!,ФиКод[],9,0))</f>
        <v>#REF!</v>
      </c>
      <c r="F1133" s="1" t="e">
        <f aca="false">IF(#REF!="","",VLOOKUP(#REF!,ФиКод[],10,0))</f>
        <v>#REF!</v>
      </c>
    </row>
    <row r="1134" customFormat="false" ht="12.75" hidden="false" customHeight="false" outlineLevel="0" collapsed="false">
      <c r="A1134" s="1" t="e">
        <f aca="false">IF(#REF!="","",VLOOKUP(#REF!,ФиКод[],8,0))</f>
        <v>#REF!</v>
      </c>
      <c r="E1134" s="1" t="e">
        <f aca="false">IF(#REF!="","",VLOOKUP(#REF!,ФиКод[],9,0))</f>
        <v>#REF!</v>
      </c>
      <c r="F1134" s="1" t="e">
        <f aca="false">IF(#REF!="","",VLOOKUP(#REF!,ФиКод[],10,0))</f>
        <v>#REF!</v>
      </c>
    </row>
    <row r="1135" customFormat="false" ht="12.75" hidden="false" customHeight="false" outlineLevel="0" collapsed="false">
      <c r="A1135" s="1" t="e">
        <f aca="false">IF(#REF!="","",VLOOKUP(#REF!,ФиКод[],8,0))</f>
        <v>#REF!</v>
      </c>
      <c r="E1135" s="1" t="e">
        <f aca="false">IF(#REF!="","",VLOOKUP(#REF!,ФиКод[],9,0))</f>
        <v>#REF!</v>
      </c>
      <c r="F1135" s="1" t="e">
        <f aca="false">IF(#REF!="","",VLOOKUP(#REF!,ФиКод[],10,0))</f>
        <v>#REF!</v>
      </c>
    </row>
    <row r="1136" customFormat="false" ht="12.75" hidden="false" customHeight="false" outlineLevel="0" collapsed="false">
      <c r="A1136" s="1" t="e">
        <f aca="false">IF(#REF!="","",VLOOKUP(#REF!,ФиКод[],8,0))</f>
        <v>#REF!</v>
      </c>
      <c r="E1136" s="1" t="e">
        <f aca="false">IF(#REF!="","",VLOOKUP(#REF!,ФиКод[],9,0))</f>
        <v>#REF!</v>
      </c>
      <c r="F1136" s="1" t="e">
        <f aca="false">IF(#REF!="","",VLOOKUP(#REF!,ФиКод[],10,0))</f>
        <v>#REF!</v>
      </c>
    </row>
    <row r="1137" customFormat="false" ht="12.75" hidden="false" customHeight="false" outlineLevel="0" collapsed="false">
      <c r="A1137" s="1" t="e">
        <f aca="false">IF(#REF!="","",VLOOKUP(#REF!,ФиКод[],8,0))</f>
        <v>#REF!</v>
      </c>
      <c r="E1137" s="1" t="e">
        <f aca="false">IF(#REF!="","",VLOOKUP(#REF!,ФиКод[],9,0))</f>
        <v>#REF!</v>
      </c>
      <c r="F1137" s="1" t="e">
        <f aca="false">IF(#REF!="","",VLOOKUP(#REF!,ФиКод[],10,0))</f>
        <v>#REF!</v>
      </c>
    </row>
    <row r="1138" customFormat="false" ht="12.75" hidden="false" customHeight="false" outlineLevel="0" collapsed="false">
      <c r="A1138" s="1" t="e">
        <f aca="false">IF(#REF!="","",VLOOKUP(#REF!,ФиКод[],8,0))</f>
        <v>#REF!</v>
      </c>
      <c r="E1138" s="1" t="e">
        <f aca="false">IF(#REF!="","",VLOOKUP(#REF!,ФиКод[],9,0))</f>
        <v>#REF!</v>
      </c>
      <c r="F1138" s="1" t="e">
        <f aca="false">IF(#REF!="","",VLOOKUP(#REF!,ФиКод[],10,0))</f>
        <v>#REF!</v>
      </c>
    </row>
    <row r="1139" customFormat="false" ht="12.75" hidden="false" customHeight="false" outlineLevel="0" collapsed="false">
      <c r="A1139" s="1" t="e">
        <f aca="false">IF(#REF!="","",VLOOKUP(#REF!,ФиКод[],8,0))</f>
        <v>#REF!</v>
      </c>
      <c r="E1139" s="1" t="e">
        <f aca="false">IF(#REF!="","",VLOOKUP(#REF!,ФиКод[],9,0))</f>
        <v>#REF!</v>
      </c>
      <c r="F1139" s="1" t="e">
        <f aca="false">IF(#REF!="","",VLOOKUP(#REF!,ФиКод[],10,0))</f>
        <v>#REF!</v>
      </c>
    </row>
    <row r="1140" customFormat="false" ht="12.75" hidden="false" customHeight="false" outlineLevel="0" collapsed="false">
      <c r="A1140" s="1" t="e">
        <f aca="false">IF(#REF!="","",VLOOKUP(#REF!,ФиКод[],8,0))</f>
        <v>#REF!</v>
      </c>
      <c r="E1140" s="1" t="e">
        <f aca="false">IF(#REF!="","",VLOOKUP(#REF!,ФиКод[],9,0))</f>
        <v>#REF!</v>
      </c>
      <c r="F1140" s="1" t="e">
        <f aca="false">IF(#REF!="","",VLOOKUP(#REF!,ФиКод[],10,0))</f>
        <v>#REF!</v>
      </c>
    </row>
    <row r="1141" customFormat="false" ht="12.75" hidden="false" customHeight="false" outlineLevel="0" collapsed="false">
      <c r="A1141" s="1" t="e">
        <f aca="false">IF(#REF!="","",VLOOKUP(#REF!,ФиКод[],8,0))</f>
        <v>#REF!</v>
      </c>
      <c r="E1141" s="1" t="e">
        <f aca="false">IF(#REF!="","",VLOOKUP(#REF!,ФиКод[],9,0))</f>
        <v>#REF!</v>
      </c>
      <c r="F1141" s="1" t="e">
        <f aca="false">IF(#REF!="","",VLOOKUP(#REF!,ФиКод[],10,0))</f>
        <v>#REF!</v>
      </c>
    </row>
    <row r="1142" customFormat="false" ht="12.75" hidden="false" customHeight="false" outlineLevel="0" collapsed="false">
      <c r="A1142" s="1" t="e">
        <f aca="false">IF(#REF!="","",VLOOKUP(#REF!,ФиКод[],8,0))</f>
        <v>#REF!</v>
      </c>
      <c r="E1142" s="1" t="e">
        <f aca="false">IF(#REF!="","",VLOOKUP(#REF!,ФиКод[],9,0))</f>
        <v>#REF!</v>
      </c>
      <c r="F1142" s="1" t="e">
        <f aca="false">IF(#REF!="","",VLOOKUP(#REF!,ФиКод[],10,0))</f>
        <v>#REF!</v>
      </c>
    </row>
    <row r="1143" customFormat="false" ht="12.75" hidden="false" customHeight="false" outlineLevel="0" collapsed="false">
      <c r="A1143" s="1" t="e">
        <f aca="false">IF(#REF!="","",VLOOKUP(#REF!,ФиКод[],8,0))</f>
        <v>#REF!</v>
      </c>
      <c r="E1143" s="1" t="e">
        <f aca="false">IF(#REF!="","",VLOOKUP(#REF!,ФиКод[],9,0))</f>
        <v>#REF!</v>
      </c>
      <c r="F1143" s="1" t="e">
        <f aca="false">IF(#REF!="","",VLOOKUP(#REF!,ФиКод[],10,0))</f>
        <v>#REF!</v>
      </c>
    </row>
    <row r="1144" customFormat="false" ht="12.75" hidden="false" customHeight="false" outlineLevel="0" collapsed="false">
      <c r="A1144" s="1" t="e">
        <f aca="false">IF(#REF!="","",VLOOKUP(#REF!,ФиКод[],8,0))</f>
        <v>#REF!</v>
      </c>
      <c r="E1144" s="1" t="e">
        <f aca="false">IF(#REF!="","",VLOOKUP(#REF!,ФиКод[],9,0))</f>
        <v>#REF!</v>
      </c>
      <c r="F1144" s="1" t="e">
        <f aca="false">IF(#REF!="","",VLOOKUP(#REF!,ФиКод[],10,0))</f>
        <v>#REF!</v>
      </c>
    </row>
    <row r="1145" customFormat="false" ht="12.75" hidden="false" customHeight="false" outlineLevel="0" collapsed="false">
      <c r="A1145" s="1" t="e">
        <f aca="false">IF(#REF!="","",VLOOKUP(#REF!,ФиКод[],8,0))</f>
        <v>#REF!</v>
      </c>
      <c r="E1145" s="1" t="e">
        <f aca="false">IF(#REF!="","",VLOOKUP(#REF!,ФиКод[],9,0))</f>
        <v>#REF!</v>
      </c>
      <c r="F1145" s="1" t="e">
        <f aca="false">IF(#REF!="","",VLOOKUP(#REF!,ФиКод[],10,0))</f>
        <v>#REF!</v>
      </c>
    </row>
    <row r="1146" customFormat="false" ht="12.75" hidden="false" customHeight="false" outlineLevel="0" collapsed="false">
      <c r="A1146" s="1" t="e">
        <f aca="false">IF(#REF!="","",VLOOKUP(#REF!,ФиКод[],8,0))</f>
        <v>#REF!</v>
      </c>
      <c r="E1146" s="1" t="e">
        <f aca="false">IF(#REF!="","",VLOOKUP(#REF!,ФиКод[],9,0))</f>
        <v>#REF!</v>
      </c>
      <c r="F1146" s="1" t="e">
        <f aca="false">IF(#REF!="","",VLOOKUP(#REF!,ФиКод[],10,0))</f>
        <v>#REF!</v>
      </c>
    </row>
    <row r="1147" customFormat="false" ht="12.75" hidden="false" customHeight="false" outlineLevel="0" collapsed="false">
      <c r="A1147" s="1" t="e">
        <f aca="false">IF(#REF!="","",VLOOKUP(#REF!,ФиКод[],8,0))</f>
        <v>#REF!</v>
      </c>
      <c r="E1147" s="1" t="e">
        <f aca="false">IF(#REF!="","",VLOOKUP(#REF!,ФиКод[],9,0))</f>
        <v>#REF!</v>
      </c>
      <c r="F1147" s="1" t="e">
        <f aca="false">IF(#REF!="","",VLOOKUP(#REF!,ФиКод[],10,0))</f>
        <v>#REF!</v>
      </c>
    </row>
    <row r="1148" customFormat="false" ht="12.75" hidden="false" customHeight="false" outlineLevel="0" collapsed="false">
      <c r="A1148" s="1" t="e">
        <f aca="false">IF(#REF!="","",VLOOKUP(#REF!,ФиКод[],8,0))</f>
        <v>#REF!</v>
      </c>
      <c r="E1148" s="1" t="e">
        <f aca="false">IF(#REF!="","",VLOOKUP(#REF!,ФиКод[],9,0))</f>
        <v>#REF!</v>
      </c>
      <c r="F1148" s="1" t="e">
        <f aca="false">IF(#REF!="","",VLOOKUP(#REF!,ФиКод[],10,0))</f>
        <v>#REF!</v>
      </c>
    </row>
    <row r="1149" customFormat="false" ht="12.75" hidden="false" customHeight="false" outlineLevel="0" collapsed="false">
      <c r="A1149" s="1" t="e">
        <f aca="false">IF(#REF!="","",VLOOKUP(#REF!,ФиКод[],8,0))</f>
        <v>#REF!</v>
      </c>
      <c r="E1149" s="1" t="e">
        <f aca="false">IF(#REF!="","",VLOOKUP(#REF!,ФиКод[],9,0))</f>
        <v>#REF!</v>
      </c>
      <c r="F1149" s="1" t="e">
        <f aca="false">IF(#REF!="","",VLOOKUP(#REF!,ФиКод[],10,0))</f>
        <v>#REF!</v>
      </c>
    </row>
    <row r="1150" customFormat="false" ht="12.75" hidden="false" customHeight="false" outlineLevel="0" collapsed="false">
      <c r="A1150" s="1" t="e">
        <f aca="false">IF(#REF!="","",VLOOKUP(#REF!,ФиКод[],8,0))</f>
        <v>#REF!</v>
      </c>
      <c r="E1150" s="1" t="e">
        <f aca="false">IF(#REF!="","",VLOOKUP(#REF!,ФиКод[],9,0))</f>
        <v>#REF!</v>
      </c>
      <c r="F1150" s="1" t="e">
        <f aca="false">IF(#REF!="","",VLOOKUP(#REF!,ФиКод[],10,0))</f>
        <v>#REF!</v>
      </c>
    </row>
    <row r="1151" customFormat="false" ht="12.75" hidden="false" customHeight="false" outlineLevel="0" collapsed="false">
      <c r="A1151" s="1" t="e">
        <f aca="false">IF(#REF!="","",VLOOKUP(#REF!,ФиКод[],8,0))</f>
        <v>#REF!</v>
      </c>
      <c r="E1151" s="1" t="e">
        <f aca="false">IF(#REF!="","",VLOOKUP(#REF!,ФиКод[],9,0))</f>
        <v>#REF!</v>
      </c>
      <c r="F1151" s="1" t="e">
        <f aca="false">IF(#REF!="","",VLOOKUP(#REF!,ФиКод[],10,0))</f>
        <v>#REF!</v>
      </c>
    </row>
    <row r="1152" customFormat="false" ht="12.75" hidden="false" customHeight="false" outlineLevel="0" collapsed="false">
      <c r="A1152" s="1" t="e">
        <f aca="false">IF(#REF!="","",VLOOKUP(#REF!,ФиКод[],8,0))</f>
        <v>#REF!</v>
      </c>
      <c r="E1152" s="1" t="e">
        <f aca="false">IF(#REF!="","",VLOOKUP(#REF!,ФиКод[],9,0))</f>
        <v>#REF!</v>
      </c>
      <c r="F1152" s="1" t="e">
        <f aca="false">IF(#REF!="","",VLOOKUP(#REF!,ФиКод[],10,0))</f>
        <v>#REF!</v>
      </c>
    </row>
    <row r="1153" customFormat="false" ht="12.75" hidden="false" customHeight="false" outlineLevel="0" collapsed="false">
      <c r="A1153" s="1" t="e">
        <f aca="false">IF(#REF!="","",VLOOKUP(#REF!,ФиКод[],8,0))</f>
        <v>#REF!</v>
      </c>
      <c r="E1153" s="1" t="e">
        <f aca="false">IF(#REF!="","",VLOOKUP(#REF!,ФиКод[],9,0))</f>
        <v>#REF!</v>
      </c>
      <c r="F1153" s="1" t="e">
        <f aca="false">IF(#REF!="","",VLOOKUP(#REF!,ФиКод[],10,0))</f>
        <v>#REF!</v>
      </c>
    </row>
    <row r="1154" customFormat="false" ht="12.75" hidden="false" customHeight="false" outlineLevel="0" collapsed="false">
      <c r="A1154" s="1" t="e">
        <f aca="false">IF(#REF!="","",VLOOKUP(#REF!,ФиКод[],8,0))</f>
        <v>#REF!</v>
      </c>
      <c r="E1154" s="1" t="e">
        <f aca="false">IF(#REF!="","",VLOOKUP(#REF!,ФиКод[],9,0))</f>
        <v>#REF!</v>
      </c>
      <c r="F1154" s="1" t="e">
        <f aca="false">IF(#REF!="","",VLOOKUP(#REF!,ФиКод[],10,0))</f>
        <v>#REF!</v>
      </c>
    </row>
    <row r="1155" customFormat="false" ht="12.75" hidden="false" customHeight="false" outlineLevel="0" collapsed="false">
      <c r="A1155" s="1" t="e">
        <f aca="false">IF(#REF!="","",VLOOKUP(#REF!,ФиКод[],8,0))</f>
        <v>#REF!</v>
      </c>
      <c r="E1155" s="1" t="e">
        <f aca="false">IF(#REF!="","",VLOOKUP(#REF!,ФиКод[],9,0))</f>
        <v>#REF!</v>
      </c>
      <c r="F1155" s="1" t="e">
        <f aca="false">IF(#REF!="","",VLOOKUP(#REF!,ФиКод[],10,0))</f>
        <v>#REF!</v>
      </c>
    </row>
    <row r="1156" customFormat="false" ht="12.75" hidden="false" customHeight="false" outlineLevel="0" collapsed="false">
      <c r="A1156" s="1" t="e">
        <f aca="false">IF(#REF!="","",VLOOKUP(#REF!,ФиКод[],8,0))</f>
        <v>#REF!</v>
      </c>
      <c r="E1156" s="1" t="e">
        <f aca="false">IF(#REF!="","",VLOOKUP(#REF!,ФиКод[],9,0))</f>
        <v>#REF!</v>
      </c>
      <c r="F1156" s="1" t="e">
        <f aca="false">IF(#REF!="","",VLOOKUP(#REF!,ФиКод[],10,0))</f>
        <v>#REF!</v>
      </c>
    </row>
    <row r="1157" customFormat="false" ht="12.75" hidden="false" customHeight="false" outlineLevel="0" collapsed="false">
      <c r="A1157" s="1" t="e">
        <f aca="false">IF(#REF!="","",VLOOKUP(#REF!,ФиКод[],8,0))</f>
        <v>#REF!</v>
      </c>
      <c r="E1157" s="1" t="e">
        <f aca="false">IF(#REF!="","",VLOOKUP(#REF!,ФиКод[],9,0))</f>
        <v>#REF!</v>
      </c>
      <c r="F1157" s="1" t="e">
        <f aca="false">IF(#REF!="","",VLOOKUP(#REF!,ФиКод[],10,0))</f>
        <v>#REF!</v>
      </c>
    </row>
    <row r="1158" customFormat="false" ht="12.75" hidden="false" customHeight="false" outlineLevel="0" collapsed="false">
      <c r="A1158" s="1" t="e">
        <f aca="false">IF(#REF!="","",VLOOKUP(#REF!,ФиКод[],8,0))</f>
        <v>#REF!</v>
      </c>
      <c r="E1158" s="1" t="e">
        <f aca="false">IF(#REF!="","",VLOOKUP(#REF!,ФиКод[],9,0))</f>
        <v>#REF!</v>
      </c>
      <c r="F1158" s="1" t="e">
        <f aca="false">IF(#REF!="","",VLOOKUP(#REF!,ФиКод[],10,0))</f>
        <v>#REF!</v>
      </c>
    </row>
    <row r="1159" customFormat="false" ht="12.75" hidden="false" customHeight="false" outlineLevel="0" collapsed="false">
      <c r="A1159" s="1" t="e">
        <f aca="false">IF(#REF!="","",VLOOKUP(#REF!,ФиКод[],8,0))</f>
        <v>#REF!</v>
      </c>
      <c r="E1159" s="1" t="e">
        <f aca="false">IF(#REF!="","",VLOOKUP(#REF!,ФиКод[],9,0))</f>
        <v>#REF!</v>
      </c>
      <c r="F1159" s="1" t="e">
        <f aca="false">IF(#REF!="","",VLOOKUP(#REF!,ФиКод[],10,0))</f>
        <v>#REF!</v>
      </c>
    </row>
    <row r="1160" customFormat="false" ht="12.75" hidden="false" customHeight="false" outlineLevel="0" collapsed="false">
      <c r="A1160" s="1" t="e">
        <f aca="false">IF(#REF!="","",VLOOKUP(#REF!,ФиКод[],8,0))</f>
        <v>#REF!</v>
      </c>
      <c r="E1160" s="1" t="e">
        <f aca="false">IF(#REF!="","",VLOOKUP(#REF!,ФиКод[],9,0))</f>
        <v>#REF!</v>
      </c>
      <c r="F1160" s="1" t="e">
        <f aca="false">IF(#REF!="","",VLOOKUP(#REF!,ФиКод[],10,0))</f>
        <v>#REF!</v>
      </c>
    </row>
    <row r="1161" customFormat="false" ht="12.75" hidden="false" customHeight="false" outlineLevel="0" collapsed="false">
      <c r="A1161" s="1" t="e">
        <f aca="false">IF(#REF!="","",VLOOKUP(#REF!,ФиКод[],8,0))</f>
        <v>#REF!</v>
      </c>
      <c r="E1161" s="1" t="e">
        <f aca="false">IF(#REF!="","",VLOOKUP(#REF!,ФиКод[],9,0))</f>
        <v>#REF!</v>
      </c>
      <c r="F1161" s="1" t="e">
        <f aca="false">IF(#REF!="","",VLOOKUP(#REF!,ФиКод[],10,0))</f>
        <v>#REF!</v>
      </c>
    </row>
    <row r="1162" customFormat="false" ht="12.75" hidden="false" customHeight="false" outlineLevel="0" collapsed="false">
      <c r="A1162" s="1" t="e">
        <f aca="false">IF(#REF!="","",VLOOKUP(#REF!,ФиКод[],8,0))</f>
        <v>#REF!</v>
      </c>
      <c r="E1162" s="1" t="e">
        <f aca="false">IF(#REF!="","",VLOOKUP(#REF!,ФиКод[],9,0))</f>
        <v>#REF!</v>
      </c>
      <c r="F1162" s="1" t="e">
        <f aca="false">IF(#REF!="","",VLOOKUP(#REF!,ФиКод[],10,0))</f>
        <v>#REF!</v>
      </c>
    </row>
    <row r="1163" customFormat="false" ht="12.75" hidden="false" customHeight="false" outlineLevel="0" collapsed="false">
      <c r="A1163" s="1" t="e">
        <f aca="false">IF(#REF!="","",VLOOKUP(#REF!,ФиКод[],8,0))</f>
        <v>#REF!</v>
      </c>
      <c r="E1163" s="1" t="e">
        <f aca="false">IF(#REF!="","",VLOOKUP(#REF!,ФиКод[],9,0))</f>
        <v>#REF!</v>
      </c>
      <c r="F1163" s="1" t="e">
        <f aca="false">IF(#REF!="","",VLOOKUP(#REF!,ФиКод[],10,0))</f>
        <v>#REF!</v>
      </c>
    </row>
    <row r="1164" customFormat="false" ht="12.75" hidden="false" customHeight="false" outlineLevel="0" collapsed="false">
      <c r="A1164" s="1" t="e">
        <f aca="false">IF(#REF!="","",VLOOKUP(#REF!,ФиКод[],8,0))</f>
        <v>#REF!</v>
      </c>
      <c r="E1164" s="1" t="e">
        <f aca="false">IF(#REF!="","",VLOOKUP(#REF!,ФиКод[],9,0))</f>
        <v>#REF!</v>
      </c>
      <c r="F1164" s="1" t="e">
        <f aca="false">IF(#REF!="","",VLOOKUP(#REF!,ФиКод[],10,0))</f>
        <v>#REF!</v>
      </c>
    </row>
    <row r="1165" customFormat="false" ht="12.75" hidden="false" customHeight="false" outlineLevel="0" collapsed="false">
      <c r="A1165" s="1" t="e">
        <f aca="false">IF(#REF!="","",VLOOKUP(#REF!,ФиКод[],8,0))</f>
        <v>#REF!</v>
      </c>
      <c r="E1165" s="1" t="e">
        <f aca="false">IF(#REF!="","",VLOOKUP(#REF!,ФиКод[],9,0))</f>
        <v>#REF!</v>
      </c>
      <c r="F1165" s="1" t="e">
        <f aca="false">IF(#REF!="","",VLOOKUP(#REF!,ФиКод[],10,0))</f>
        <v>#REF!</v>
      </c>
    </row>
    <row r="1166" customFormat="false" ht="12.75" hidden="false" customHeight="false" outlineLevel="0" collapsed="false">
      <c r="A1166" s="1" t="e">
        <f aca="false">IF(#REF!="","",VLOOKUP(#REF!,ФиКод[],8,0))</f>
        <v>#REF!</v>
      </c>
      <c r="E1166" s="1" t="e">
        <f aca="false">IF(#REF!="","",VLOOKUP(#REF!,ФиКод[],9,0))</f>
        <v>#REF!</v>
      </c>
      <c r="F1166" s="1" t="e">
        <f aca="false">IF(#REF!="","",VLOOKUP(#REF!,ФиКод[],10,0))</f>
        <v>#REF!</v>
      </c>
    </row>
    <row r="1167" customFormat="false" ht="12.75" hidden="false" customHeight="false" outlineLevel="0" collapsed="false">
      <c r="A1167" s="1" t="e">
        <f aca="false">IF(#REF!="","",VLOOKUP(#REF!,ФиКод[],8,0))</f>
        <v>#REF!</v>
      </c>
      <c r="E1167" s="1" t="e">
        <f aca="false">IF(#REF!="","",VLOOKUP(#REF!,ФиКод[],9,0))</f>
        <v>#REF!</v>
      </c>
      <c r="F1167" s="1" t="e">
        <f aca="false">IF(#REF!="","",VLOOKUP(#REF!,ФиКод[],10,0))</f>
        <v>#REF!</v>
      </c>
    </row>
    <row r="1168" customFormat="false" ht="12.75" hidden="false" customHeight="false" outlineLevel="0" collapsed="false">
      <c r="A1168" s="1" t="e">
        <f aca="false">IF(#REF!="","",VLOOKUP(#REF!,ФиКод[],8,0))</f>
        <v>#REF!</v>
      </c>
      <c r="E1168" s="1" t="e">
        <f aca="false">IF(#REF!="","",VLOOKUP(#REF!,ФиКод[],9,0))</f>
        <v>#REF!</v>
      </c>
      <c r="F1168" s="1" t="e">
        <f aca="false">IF(#REF!="","",VLOOKUP(#REF!,ФиКод[],10,0))</f>
        <v>#REF!</v>
      </c>
    </row>
    <row r="1169" customFormat="false" ht="12.75" hidden="false" customHeight="false" outlineLevel="0" collapsed="false">
      <c r="A1169" s="1" t="e">
        <f aca="false">IF(#REF!="","",VLOOKUP(#REF!,ФиКод[],8,0))</f>
        <v>#REF!</v>
      </c>
      <c r="E1169" s="1" t="e">
        <f aca="false">IF(#REF!="","",VLOOKUP(#REF!,ФиКод[],9,0))</f>
        <v>#REF!</v>
      </c>
      <c r="F1169" s="1" t="e">
        <f aca="false">IF(#REF!="","",VLOOKUP(#REF!,ФиКод[],10,0))</f>
        <v>#REF!</v>
      </c>
    </row>
    <row r="1170" customFormat="false" ht="12.75" hidden="false" customHeight="false" outlineLevel="0" collapsed="false">
      <c r="A1170" s="1" t="e">
        <f aca="false">IF(#REF!="","",VLOOKUP(#REF!,ФиКод[],8,0))</f>
        <v>#REF!</v>
      </c>
      <c r="E1170" s="1" t="e">
        <f aca="false">IF(#REF!="","",VLOOKUP(#REF!,ФиКод[],9,0))</f>
        <v>#REF!</v>
      </c>
      <c r="F1170" s="1" t="e">
        <f aca="false">IF(#REF!="","",VLOOKUP(#REF!,ФиКод[],10,0))</f>
        <v>#REF!</v>
      </c>
    </row>
    <row r="1171" customFormat="false" ht="12.75" hidden="false" customHeight="false" outlineLevel="0" collapsed="false">
      <c r="A1171" s="1" t="e">
        <f aca="false">IF(#REF!="","",VLOOKUP(#REF!,ФиКод[],8,0))</f>
        <v>#REF!</v>
      </c>
      <c r="E1171" s="1" t="e">
        <f aca="false">IF(#REF!="","",VLOOKUP(#REF!,ФиКод[],9,0))</f>
        <v>#REF!</v>
      </c>
      <c r="F1171" s="1" t="e">
        <f aca="false">IF(#REF!="","",VLOOKUP(#REF!,ФиКод[],10,0))</f>
        <v>#REF!</v>
      </c>
    </row>
    <row r="1172" customFormat="false" ht="12.75" hidden="false" customHeight="false" outlineLevel="0" collapsed="false">
      <c r="A1172" s="1" t="e">
        <f aca="false">IF(#REF!="","",VLOOKUP(#REF!,ФиКод[],8,0))</f>
        <v>#REF!</v>
      </c>
      <c r="E1172" s="1" t="e">
        <f aca="false">IF(#REF!="","",VLOOKUP(#REF!,ФиКод[],9,0))</f>
        <v>#REF!</v>
      </c>
      <c r="F1172" s="1" t="e">
        <f aca="false">IF(#REF!="","",VLOOKUP(#REF!,ФиКод[],10,0))</f>
        <v>#REF!</v>
      </c>
    </row>
    <row r="1173" customFormat="false" ht="12.75" hidden="false" customHeight="false" outlineLevel="0" collapsed="false">
      <c r="A1173" s="1" t="e">
        <f aca="false">IF(#REF!="","",VLOOKUP(#REF!,ФиКод[],8,0))</f>
        <v>#REF!</v>
      </c>
      <c r="E1173" s="1" t="e">
        <f aca="false">IF(#REF!="","",VLOOKUP(#REF!,ФиКод[],9,0))</f>
        <v>#REF!</v>
      </c>
      <c r="F1173" s="1" t="e">
        <f aca="false">IF(#REF!="","",VLOOKUP(#REF!,ФиКод[],10,0))</f>
        <v>#REF!</v>
      </c>
    </row>
    <row r="1174" customFormat="false" ht="12.75" hidden="false" customHeight="false" outlineLevel="0" collapsed="false">
      <c r="A1174" s="1" t="e">
        <f aca="false">IF(#REF!="","",VLOOKUP(#REF!,ФиКод[],8,0))</f>
        <v>#REF!</v>
      </c>
      <c r="E1174" s="1" t="e">
        <f aca="false">IF(#REF!="","",VLOOKUP(#REF!,ФиКод[],9,0))</f>
        <v>#REF!</v>
      </c>
      <c r="F1174" s="1" t="e">
        <f aca="false">IF(#REF!="","",VLOOKUP(#REF!,ФиКод[],10,0))</f>
        <v>#REF!</v>
      </c>
    </row>
    <row r="1175" customFormat="false" ht="12.75" hidden="false" customHeight="false" outlineLevel="0" collapsed="false">
      <c r="A1175" s="1" t="e">
        <f aca="false">IF(#REF!="","",VLOOKUP(#REF!,ФиКод[],8,0))</f>
        <v>#REF!</v>
      </c>
      <c r="E1175" s="1" t="e">
        <f aca="false">IF(#REF!="","",VLOOKUP(#REF!,ФиКод[],9,0))</f>
        <v>#REF!</v>
      </c>
      <c r="F1175" s="1" t="e">
        <f aca="false">IF(#REF!="","",VLOOKUP(#REF!,ФиКод[],10,0))</f>
        <v>#REF!</v>
      </c>
    </row>
    <row r="1176" customFormat="false" ht="12.75" hidden="false" customHeight="false" outlineLevel="0" collapsed="false">
      <c r="A1176" s="1" t="e">
        <f aca="false">IF(#REF!="","",VLOOKUP(#REF!,ФиКод[],8,0))</f>
        <v>#REF!</v>
      </c>
      <c r="E1176" s="1" t="e">
        <f aca="false">IF(#REF!="","",VLOOKUP(#REF!,ФиКод[],9,0))</f>
        <v>#REF!</v>
      </c>
      <c r="F1176" s="1" t="e">
        <f aca="false">IF(#REF!="","",VLOOKUP(#REF!,ФиКод[],10,0))</f>
        <v>#REF!</v>
      </c>
    </row>
    <row r="1177" customFormat="false" ht="12.75" hidden="false" customHeight="false" outlineLevel="0" collapsed="false">
      <c r="A1177" s="1" t="e">
        <f aca="false">IF(#REF!="","",VLOOKUP(#REF!,ФиКод[],8,0))</f>
        <v>#REF!</v>
      </c>
      <c r="E1177" s="1" t="e">
        <f aca="false">IF(#REF!="","",VLOOKUP(#REF!,ФиКод[],9,0))</f>
        <v>#REF!</v>
      </c>
      <c r="F1177" s="1" t="e">
        <f aca="false">IF(#REF!="","",VLOOKUP(#REF!,ФиКод[],10,0))</f>
        <v>#REF!</v>
      </c>
    </row>
    <row r="1178" customFormat="false" ht="12.75" hidden="false" customHeight="false" outlineLevel="0" collapsed="false">
      <c r="A1178" s="1" t="e">
        <f aca="false">IF(#REF!="","",VLOOKUP(#REF!,ФиКод[],8,0))</f>
        <v>#REF!</v>
      </c>
      <c r="E1178" s="1" t="e">
        <f aca="false">IF(#REF!="","",VLOOKUP(#REF!,ФиКод[],9,0))</f>
        <v>#REF!</v>
      </c>
      <c r="F1178" s="1" t="e">
        <f aca="false">IF(#REF!="","",VLOOKUP(#REF!,ФиКод[],10,0))</f>
        <v>#REF!</v>
      </c>
    </row>
    <row r="1179" customFormat="false" ht="12.75" hidden="false" customHeight="false" outlineLevel="0" collapsed="false">
      <c r="A1179" s="1" t="e">
        <f aca="false">IF(#REF!="","",VLOOKUP(#REF!,ФиКод[],8,0))</f>
        <v>#REF!</v>
      </c>
      <c r="E1179" s="1" t="e">
        <f aca="false">IF(#REF!="","",VLOOKUP(#REF!,ФиКод[],9,0))</f>
        <v>#REF!</v>
      </c>
      <c r="F1179" s="1" t="e">
        <f aca="false">IF(#REF!="","",VLOOKUP(#REF!,ФиКод[],10,0))</f>
        <v>#REF!</v>
      </c>
    </row>
    <row r="1180" customFormat="false" ht="12.75" hidden="false" customHeight="false" outlineLevel="0" collapsed="false">
      <c r="A1180" s="1" t="e">
        <f aca="false">IF(#REF!="","",VLOOKUP(#REF!,ФиКод[],8,0))</f>
        <v>#REF!</v>
      </c>
      <c r="E1180" s="1" t="e">
        <f aca="false">IF(#REF!="","",VLOOKUP(#REF!,ФиКод[],9,0))</f>
        <v>#REF!</v>
      </c>
      <c r="F1180" s="1" t="e">
        <f aca="false">IF(#REF!="","",VLOOKUP(#REF!,ФиКод[],10,0))</f>
        <v>#REF!</v>
      </c>
    </row>
    <row r="1181" customFormat="false" ht="12.75" hidden="false" customHeight="false" outlineLevel="0" collapsed="false">
      <c r="A1181" s="1" t="e">
        <f aca="false">IF(#REF!="","",VLOOKUP(#REF!,ФиКод[],8,0))</f>
        <v>#REF!</v>
      </c>
      <c r="E1181" s="1" t="e">
        <f aca="false">IF(#REF!="","",VLOOKUP(#REF!,ФиКод[],9,0))</f>
        <v>#REF!</v>
      </c>
      <c r="F1181" s="1" t="e">
        <f aca="false">IF(#REF!="","",VLOOKUP(#REF!,ФиКод[],10,0))</f>
        <v>#REF!</v>
      </c>
    </row>
    <row r="1182" customFormat="false" ht="12.75" hidden="false" customHeight="false" outlineLevel="0" collapsed="false">
      <c r="A1182" s="1" t="e">
        <f aca="false">IF(#REF!="","",VLOOKUP(#REF!,ФиКод[],8,0))</f>
        <v>#REF!</v>
      </c>
      <c r="E1182" s="1" t="e">
        <f aca="false">IF(#REF!="","",VLOOKUP(#REF!,ФиКод[],9,0))</f>
        <v>#REF!</v>
      </c>
      <c r="F1182" s="1" t="e">
        <f aca="false">IF(#REF!="","",VLOOKUP(#REF!,ФиКод[],10,0))</f>
        <v>#REF!</v>
      </c>
    </row>
    <row r="1183" customFormat="false" ht="12.75" hidden="false" customHeight="false" outlineLevel="0" collapsed="false">
      <c r="A1183" s="1" t="e">
        <f aca="false">IF(#REF!="","",VLOOKUP(#REF!,ФиКод[],8,0))</f>
        <v>#REF!</v>
      </c>
      <c r="E1183" s="1" t="e">
        <f aca="false">IF(#REF!="","",VLOOKUP(#REF!,ФиКод[],9,0))</f>
        <v>#REF!</v>
      </c>
      <c r="F1183" s="1" t="e">
        <f aca="false">IF(#REF!="","",VLOOKUP(#REF!,ФиКод[],10,0))</f>
        <v>#REF!</v>
      </c>
    </row>
    <row r="1184" customFormat="false" ht="12.75" hidden="false" customHeight="false" outlineLevel="0" collapsed="false">
      <c r="A1184" s="1" t="e">
        <f aca="false">IF(#REF!="","",VLOOKUP(#REF!,ФиКод[],8,0))</f>
        <v>#REF!</v>
      </c>
      <c r="E1184" s="1" t="e">
        <f aca="false">IF(#REF!="","",VLOOKUP(#REF!,ФиКод[],9,0))</f>
        <v>#REF!</v>
      </c>
      <c r="F1184" s="1" t="e">
        <f aca="false">IF(#REF!="","",VLOOKUP(#REF!,ФиКод[],10,0))</f>
        <v>#REF!</v>
      </c>
    </row>
    <row r="1185" customFormat="false" ht="12.75" hidden="false" customHeight="false" outlineLevel="0" collapsed="false">
      <c r="A1185" s="1" t="e">
        <f aca="false">IF(#REF!="","",VLOOKUP(#REF!,ФиКод[],8,0))</f>
        <v>#REF!</v>
      </c>
      <c r="E1185" s="1" t="e">
        <f aca="false">IF(#REF!="","",VLOOKUP(#REF!,ФиКод[],9,0))</f>
        <v>#REF!</v>
      </c>
      <c r="F1185" s="1" t="e">
        <f aca="false">IF(#REF!="","",VLOOKUP(#REF!,ФиКод[],10,0))</f>
        <v>#REF!</v>
      </c>
    </row>
    <row r="1186" customFormat="false" ht="12.75" hidden="false" customHeight="false" outlineLevel="0" collapsed="false">
      <c r="A1186" s="1" t="e">
        <f aca="false">IF(#REF!="","",VLOOKUP(#REF!,ФиКод[],8,0))</f>
        <v>#REF!</v>
      </c>
      <c r="E1186" s="1" t="e">
        <f aca="false">IF(#REF!="","",VLOOKUP(#REF!,ФиКод[],9,0))</f>
        <v>#REF!</v>
      </c>
      <c r="F1186" s="1" t="e">
        <f aca="false">IF(#REF!="","",VLOOKUP(#REF!,ФиКод[],10,0))</f>
        <v>#REF!</v>
      </c>
    </row>
    <row r="1187" customFormat="false" ht="12.75" hidden="false" customHeight="false" outlineLevel="0" collapsed="false">
      <c r="A1187" s="1" t="e">
        <f aca="false">IF(#REF!="","",VLOOKUP(#REF!,ФиКод[],8,0))</f>
        <v>#REF!</v>
      </c>
      <c r="E1187" s="1" t="e">
        <f aca="false">IF(#REF!="","",VLOOKUP(#REF!,ФиКод[],9,0))</f>
        <v>#REF!</v>
      </c>
      <c r="F1187" s="1" t="e">
        <f aca="false">IF(#REF!="","",VLOOKUP(#REF!,ФиКод[],10,0))</f>
        <v>#REF!</v>
      </c>
    </row>
    <row r="1188" customFormat="false" ht="12.75" hidden="false" customHeight="false" outlineLevel="0" collapsed="false">
      <c r="A1188" s="1" t="e">
        <f aca="false">IF(#REF!="","",VLOOKUP(#REF!,ФиКод[],8,0))</f>
        <v>#REF!</v>
      </c>
      <c r="E1188" s="1" t="e">
        <f aca="false">IF(#REF!="","",VLOOKUP(#REF!,ФиКод[],9,0))</f>
        <v>#REF!</v>
      </c>
      <c r="F1188" s="1" t="e">
        <f aca="false">IF(#REF!="","",VLOOKUP(#REF!,ФиКод[],10,0))</f>
        <v>#REF!</v>
      </c>
    </row>
    <row r="1189" customFormat="false" ht="12.75" hidden="false" customHeight="false" outlineLevel="0" collapsed="false">
      <c r="A1189" s="1" t="e">
        <f aca="false">IF(#REF!="","",VLOOKUP(#REF!,ФиКод[],8,0))</f>
        <v>#REF!</v>
      </c>
      <c r="E1189" s="1" t="e">
        <f aca="false">IF(#REF!="","",VLOOKUP(#REF!,ФиКод[],9,0))</f>
        <v>#REF!</v>
      </c>
      <c r="F1189" s="1" t="e">
        <f aca="false">IF(#REF!="","",VLOOKUP(#REF!,ФиКод[],10,0))</f>
        <v>#REF!</v>
      </c>
    </row>
    <row r="1190" customFormat="false" ht="12.75" hidden="false" customHeight="false" outlineLevel="0" collapsed="false">
      <c r="A1190" s="1" t="e">
        <f aca="false">IF(#REF!="","",VLOOKUP(#REF!,ФиКод[],8,0))</f>
        <v>#REF!</v>
      </c>
      <c r="E1190" s="1" t="e">
        <f aca="false">IF(#REF!="","",VLOOKUP(#REF!,ФиКод[],9,0))</f>
        <v>#REF!</v>
      </c>
      <c r="F1190" s="1" t="e">
        <f aca="false">IF(#REF!="","",VLOOKUP(#REF!,ФиКод[],10,0))</f>
        <v>#REF!</v>
      </c>
    </row>
    <row r="1191" customFormat="false" ht="12.75" hidden="false" customHeight="false" outlineLevel="0" collapsed="false">
      <c r="A1191" s="1" t="e">
        <f aca="false">IF(#REF!="","",VLOOKUP(#REF!,ФиКод[],8,0))</f>
        <v>#REF!</v>
      </c>
      <c r="E1191" s="1" t="e">
        <f aca="false">IF(#REF!="","",VLOOKUP(#REF!,ФиКод[],9,0))</f>
        <v>#REF!</v>
      </c>
      <c r="F1191" s="1" t="e">
        <f aca="false">IF(#REF!="","",VLOOKUP(#REF!,ФиКод[],10,0))</f>
        <v>#REF!</v>
      </c>
    </row>
    <row r="1192" customFormat="false" ht="12.75" hidden="false" customHeight="false" outlineLevel="0" collapsed="false">
      <c r="A1192" s="1" t="e">
        <f aca="false">IF(#REF!="","",VLOOKUP(#REF!,ФиКод[],8,0))</f>
        <v>#REF!</v>
      </c>
      <c r="E1192" s="1" t="e">
        <f aca="false">IF(#REF!="","",VLOOKUP(#REF!,ФиКод[],9,0))</f>
        <v>#REF!</v>
      </c>
      <c r="F1192" s="1" t="e">
        <f aca="false">IF(#REF!="","",VLOOKUP(#REF!,ФиКод[],10,0))</f>
        <v>#REF!</v>
      </c>
    </row>
    <row r="1193" customFormat="false" ht="12.75" hidden="false" customHeight="false" outlineLevel="0" collapsed="false">
      <c r="A1193" s="1" t="e">
        <f aca="false">IF(#REF!="","",VLOOKUP(#REF!,ФиКод[],8,0))</f>
        <v>#REF!</v>
      </c>
      <c r="E1193" s="1" t="e">
        <f aca="false">IF(#REF!="","",VLOOKUP(#REF!,ФиКод[],9,0))</f>
        <v>#REF!</v>
      </c>
      <c r="F1193" s="1" t="e">
        <f aca="false">IF(#REF!="","",VLOOKUP(#REF!,ФиКод[],10,0))</f>
        <v>#REF!</v>
      </c>
    </row>
    <row r="1194" customFormat="false" ht="12.75" hidden="false" customHeight="false" outlineLevel="0" collapsed="false">
      <c r="A1194" s="1" t="e">
        <f aca="false">IF(#REF!="","",VLOOKUP(#REF!,ФиКод[],8,0))</f>
        <v>#REF!</v>
      </c>
      <c r="E1194" s="1" t="e">
        <f aca="false">IF(#REF!="","",VLOOKUP(#REF!,ФиКод[],9,0))</f>
        <v>#REF!</v>
      </c>
      <c r="F1194" s="1" t="e">
        <f aca="false">IF(#REF!="","",VLOOKUP(#REF!,ФиКод[],10,0))</f>
        <v>#REF!</v>
      </c>
    </row>
    <row r="1195" customFormat="false" ht="12.75" hidden="false" customHeight="false" outlineLevel="0" collapsed="false">
      <c r="A1195" s="1" t="e">
        <f aca="false">IF(#REF!="","",VLOOKUP(#REF!,ФиКод[],8,0))</f>
        <v>#REF!</v>
      </c>
      <c r="E1195" s="1" t="e">
        <f aca="false">IF(#REF!="","",VLOOKUP(#REF!,ФиКод[],9,0))</f>
        <v>#REF!</v>
      </c>
      <c r="F1195" s="1" t="e">
        <f aca="false">IF(#REF!="","",VLOOKUP(#REF!,ФиКод[],10,0))</f>
        <v>#REF!</v>
      </c>
    </row>
    <row r="1196" customFormat="false" ht="12.75" hidden="false" customHeight="false" outlineLevel="0" collapsed="false">
      <c r="A1196" s="1" t="e">
        <f aca="false">IF(#REF!="","",VLOOKUP(#REF!,ФиКод[],8,0))</f>
        <v>#REF!</v>
      </c>
      <c r="E1196" s="1" t="e">
        <f aca="false">IF(#REF!="","",VLOOKUP(#REF!,ФиКод[],9,0))</f>
        <v>#REF!</v>
      </c>
      <c r="F1196" s="1" t="e">
        <f aca="false">IF(#REF!="","",VLOOKUP(#REF!,ФиКод[],10,0))</f>
        <v>#REF!</v>
      </c>
    </row>
    <row r="1197" customFormat="false" ht="12.75" hidden="false" customHeight="false" outlineLevel="0" collapsed="false">
      <c r="A1197" s="1" t="e">
        <f aca="false">IF(#REF!="","",VLOOKUP(#REF!,ФиКод[],8,0))</f>
        <v>#REF!</v>
      </c>
      <c r="E1197" s="1" t="e">
        <f aca="false">IF(#REF!="","",VLOOKUP(#REF!,ФиКод[],9,0))</f>
        <v>#REF!</v>
      </c>
      <c r="F1197" s="1" t="e">
        <f aca="false">IF(#REF!="","",VLOOKUP(#REF!,ФиКод[],10,0))</f>
        <v>#REF!</v>
      </c>
    </row>
    <row r="1198" customFormat="false" ht="12.75" hidden="false" customHeight="false" outlineLevel="0" collapsed="false">
      <c r="A1198" s="1" t="e">
        <f aca="false">IF(#REF!="","",VLOOKUP(#REF!,ФиКод[],8,0))</f>
        <v>#REF!</v>
      </c>
      <c r="E1198" s="1" t="e">
        <f aca="false">IF(#REF!="","",VLOOKUP(#REF!,ФиКод[],9,0))</f>
        <v>#REF!</v>
      </c>
      <c r="F1198" s="1" t="e">
        <f aca="false">IF(#REF!="","",VLOOKUP(#REF!,ФиКод[],10,0))</f>
        <v>#REF!</v>
      </c>
    </row>
    <row r="1199" customFormat="false" ht="12.75" hidden="false" customHeight="false" outlineLevel="0" collapsed="false">
      <c r="A1199" s="1" t="e">
        <f aca="false">IF(#REF!="","",VLOOKUP(#REF!,ФиКод[],8,0))</f>
        <v>#REF!</v>
      </c>
      <c r="E1199" s="1" t="e">
        <f aca="false">IF(#REF!="","",VLOOKUP(#REF!,ФиКод[],9,0))</f>
        <v>#REF!</v>
      </c>
      <c r="F1199" s="1" t="e">
        <f aca="false">IF(#REF!="","",VLOOKUP(#REF!,ФиКод[],10,0))</f>
        <v>#REF!</v>
      </c>
    </row>
    <row r="1200" customFormat="false" ht="12.75" hidden="false" customHeight="false" outlineLevel="0" collapsed="false">
      <c r="A1200" s="1" t="e">
        <f aca="false">IF(#REF!="","",VLOOKUP(#REF!,ФиКод[],8,0))</f>
        <v>#REF!</v>
      </c>
      <c r="E1200" s="1" t="e">
        <f aca="false">IF(#REF!="","",VLOOKUP(#REF!,ФиКод[],9,0))</f>
        <v>#REF!</v>
      </c>
      <c r="F1200" s="1" t="e">
        <f aca="false">IF(#REF!="","",VLOOKUP(#REF!,ФиКод[],10,0))</f>
        <v>#REF!</v>
      </c>
    </row>
    <row r="1201" customFormat="false" ht="12.75" hidden="false" customHeight="false" outlineLevel="0" collapsed="false">
      <c r="A1201" s="1" t="e">
        <f aca="false">IF(#REF!="","",VLOOKUP(#REF!,ФиКод[],8,0))</f>
        <v>#REF!</v>
      </c>
      <c r="E1201" s="1" t="e">
        <f aca="false">IF(#REF!="","",VLOOKUP(#REF!,ФиКод[],9,0))</f>
        <v>#REF!</v>
      </c>
      <c r="F1201" s="1" t="e">
        <f aca="false">IF(#REF!="","",VLOOKUP(#REF!,ФиКод[],10,0))</f>
        <v>#REF!</v>
      </c>
    </row>
    <row r="1202" customFormat="false" ht="12.75" hidden="false" customHeight="false" outlineLevel="0" collapsed="false">
      <c r="A1202" s="1" t="e">
        <f aca="false">IF(#REF!="","",VLOOKUP(#REF!,ФиКод[],8,0))</f>
        <v>#REF!</v>
      </c>
      <c r="E1202" s="1" t="e">
        <f aca="false">IF(#REF!="","",VLOOKUP(#REF!,ФиКод[],9,0))</f>
        <v>#REF!</v>
      </c>
      <c r="F1202" s="1" t="e">
        <f aca="false">IF(#REF!="","",VLOOKUP(#REF!,ФиКод[],10,0))</f>
        <v>#REF!</v>
      </c>
    </row>
    <row r="1203" customFormat="false" ht="12.75" hidden="false" customHeight="false" outlineLevel="0" collapsed="false">
      <c r="A1203" s="1" t="e">
        <f aca="false">IF(#REF!="","",VLOOKUP(#REF!,ФиКод[],8,0))</f>
        <v>#REF!</v>
      </c>
      <c r="E1203" s="1" t="e">
        <f aca="false">IF(#REF!="","",VLOOKUP(#REF!,ФиКод[],9,0))</f>
        <v>#REF!</v>
      </c>
      <c r="F1203" s="1" t="e">
        <f aca="false">IF(#REF!="","",VLOOKUP(#REF!,ФиКод[],10,0))</f>
        <v>#REF!</v>
      </c>
    </row>
    <row r="1204" customFormat="false" ht="12.75" hidden="false" customHeight="false" outlineLevel="0" collapsed="false">
      <c r="A1204" s="1" t="e">
        <f aca="false">IF(#REF!="","",VLOOKUP(#REF!,ФиКод[],8,0))</f>
        <v>#REF!</v>
      </c>
      <c r="E1204" s="1" t="e">
        <f aca="false">IF(#REF!="","",VLOOKUP(#REF!,ФиКод[],9,0))</f>
        <v>#REF!</v>
      </c>
      <c r="F1204" s="1" t="e">
        <f aca="false">IF(#REF!="","",VLOOKUP(#REF!,ФиКод[],10,0))</f>
        <v>#REF!</v>
      </c>
    </row>
    <row r="1205" customFormat="false" ht="12.75" hidden="false" customHeight="false" outlineLevel="0" collapsed="false">
      <c r="A1205" s="1" t="e">
        <f aca="false">IF(#REF!="","",VLOOKUP(#REF!,ФиКод[],8,0))</f>
        <v>#REF!</v>
      </c>
      <c r="E1205" s="1" t="e">
        <f aca="false">IF(#REF!="","",VLOOKUP(#REF!,ФиКод[],9,0))</f>
        <v>#REF!</v>
      </c>
      <c r="F1205" s="1" t="e">
        <f aca="false">IF(#REF!="","",VLOOKUP(#REF!,ФиКод[],10,0))</f>
        <v>#REF!</v>
      </c>
    </row>
    <row r="1206" customFormat="false" ht="12.75" hidden="false" customHeight="false" outlineLevel="0" collapsed="false">
      <c r="A1206" s="1" t="e">
        <f aca="false">IF(#REF!="","",VLOOKUP(#REF!,ФиКод[],8,0))</f>
        <v>#REF!</v>
      </c>
      <c r="E1206" s="1" t="e">
        <f aca="false">IF(#REF!="","",VLOOKUP(#REF!,ФиКод[],9,0))</f>
        <v>#REF!</v>
      </c>
      <c r="F1206" s="1" t="e">
        <f aca="false">IF(#REF!="","",VLOOKUP(#REF!,ФиКод[],10,0))</f>
        <v>#REF!</v>
      </c>
    </row>
    <row r="1207" customFormat="false" ht="12.75" hidden="false" customHeight="false" outlineLevel="0" collapsed="false">
      <c r="A1207" s="1" t="e">
        <f aca="false">IF(#REF!="","",VLOOKUP(#REF!,ФиКод[],8,0))</f>
        <v>#REF!</v>
      </c>
      <c r="E1207" s="1" t="e">
        <f aca="false">IF(#REF!="","",VLOOKUP(#REF!,ФиКод[],9,0))</f>
        <v>#REF!</v>
      </c>
      <c r="F1207" s="1" t="e">
        <f aca="false">IF(#REF!="","",VLOOKUP(#REF!,ФиКод[],10,0))</f>
        <v>#REF!</v>
      </c>
    </row>
    <row r="1208" customFormat="false" ht="12.75" hidden="false" customHeight="false" outlineLevel="0" collapsed="false">
      <c r="A1208" s="1" t="e">
        <f aca="false">IF(#REF!="","",VLOOKUP(#REF!,ФиКод[],8,0))</f>
        <v>#REF!</v>
      </c>
      <c r="E1208" s="1" t="e">
        <f aca="false">IF(#REF!="","",VLOOKUP(#REF!,ФиКод[],9,0))</f>
        <v>#REF!</v>
      </c>
      <c r="F1208" s="1" t="e">
        <f aca="false">IF(#REF!="","",VLOOKUP(#REF!,ФиКод[],10,0))</f>
        <v>#REF!</v>
      </c>
    </row>
    <row r="1209" customFormat="false" ht="12.75" hidden="false" customHeight="false" outlineLevel="0" collapsed="false">
      <c r="A1209" s="1" t="e">
        <f aca="false">IF(#REF!="","",VLOOKUP(#REF!,ФиКод[],8,0))</f>
        <v>#REF!</v>
      </c>
      <c r="E1209" s="1" t="e">
        <f aca="false">IF(#REF!="","",VLOOKUP(#REF!,ФиКод[],9,0))</f>
        <v>#REF!</v>
      </c>
      <c r="F1209" s="1" t="e">
        <f aca="false">IF(#REF!="","",VLOOKUP(#REF!,ФиКод[],10,0))</f>
        <v>#REF!</v>
      </c>
    </row>
    <row r="1210" customFormat="false" ht="12.75" hidden="false" customHeight="false" outlineLevel="0" collapsed="false">
      <c r="A1210" s="1" t="e">
        <f aca="false">IF(#REF!="","",VLOOKUP(#REF!,ФиКод[],8,0))</f>
        <v>#REF!</v>
      </c>
      <c r="E1210" s="1" t="e">
        <f aca="false">IF(#REF!="","",VLOOKUP(#REF!,ФиКод[],9,0))</f>
        <v>#REF!</v>
      </c>
      <c r="F1210" s="1" t="e">
        <f aca="false">IF(#REF!="","",VLOOKUP(#REF!,ФиКод[],10,0))</f>
        <v>#REF!</v>
      </c>
    </row>
    <row r="1211" customFormat="false" ht="12.75" hidden="false" customHeight="false" outlineLevel="0" collapsed="false">
      <c r="A1211" s="1" t="e">
        <f aca="false">IF(#REF!="","",VLOOKUP(#REF!,ФиКод[],8,0))</f>
        <v>#REF!</v>
      </c>
      <c r="E1211" s="1" t="e">
        <f aca="false">IF(#REF!="","",VLOOKUP(#REF!,ФиКод[],9,0))</f>
        <v>#REF!</v>
      </c>
      <c r="F1211" s="1" t="e">
        <f aca="false">IF(#REF!="","",VLOOKUP(#REF!,ФиКод[],10,0))</f>
        <v>#REF!</v>
      </c>
    </row>
    <row r="1212" customFormat="false" ht="12.75" hidden="false" customHeight="false" outlineLevel="0" collapsed="false">
      <c r="A1212" s="1" t="e">
        <f aca="false">IF(#REF!="","",VLOOKUP(#REF!,ФиКод[],8,0))</f>
        <v>#REF!</v>
      </c>
      <c r="E1212" s="1" t="e">
        <f aca="false">IF(#REF!="","",VLOOKUP(#REF!,ФиКод[],9,0))</f>
        <v>#REF!</v>
      </c>
      <c r="F1212" s="1" t="e">
        <f aca="false">IF(#REF!="","",VLOOKUP(#REF!,ФиКод[],10,0))</f>
        <v>#REF!</v>
      </c>
    </row>
    <row r="1213" customFormat="false" ht="12.75" hidden="false" customHeight="false" outlineLevel="0" collapsed="false">
      <c r="A1213" s="1" t="e">
        <f aca="false">IF(#REF!="","",VLOOKUP(#REF!,ФиКод[],8,0))</f>
        <v>#REF!</v>
      </c>
      <c r="E1213" s="1" t="e">
        <f aca="false">IF(#REF!="","",VLOOKUP(#REF!,ФиКод[],9,0))</f>
        <v>#REF!</v>
      </c>
      <c r="F1213" s="1" t="e">
        <f aca="false">IF(#REF!="","",VLOOKUP(#REF!,ФиКод[],10,0))</f>
        <v>#REF!</v>
      </c>
    </row>
    <row r="1214" customFormat="false" ht="12.75" hidden="false" customHeight="false" outlineLevel="0" collapsed="false">
      <c r="A1214" s="1" t="e">
        <f aca="false">IF(#REF!="","",VLOOKUP(#REF!,ФиКод[],8,0))</f>
        <v>#REF!</v>
      </c>
      <c r="E1214" s="1" t="e">
        <f aca="false">IF(#REF!="","",VLOOKUP(#REF!,ФиКод[],9,0))</f>
        <v>#REF!</v>
      </c>
      <c r="F1214" s="1" t="e">
        <f aca="false">IF(#REF!="","",VLOOKUP(#REF!,ФиКод[],10,0))</f>
        <v>#REF!</v>
      </c>
    </row>
    <row r="1215" customFormat="false" ht="12.75" hidden="false" customHeight="false" outlineLevel="0" collapsed="false">
      <c r="A1215" s="1" t="e">
        <f aca="false">IF(#REF!="","",VLOOKUP(#REF!,ФиКод[],8,0))</f>
        <v>#REF!</v>
      </c>
      <c r="E1215" s="1" t="e">
        <f aca="false">IF(#REF!="","",VLOOKUP(#REF!,ФиКод[],9,0))</f>
        <v>#REF!</v>
      </c>
      <c r="F1215" s="1" t="e">
        <f aca="false">IF(#REF!="","",VLOOKUP(#REF!,ФиКод[],10,0))</f>
        <v>#REF!</v>
      </c>
    </row>
    <row r="1216" customFormat="false" ht="12.75" hidden="false" customHeight="false" outlineLevel="0" collapsed="false">
      <c r="A1216" s="1" t="e">
        <f aca="false">IF(#REF!="","",VLOOKUP(#REF!,ФиКод[],8,0))</f>
        <v>#REF!</v>
      </c>
      <c r="E1216" s="1" t="e">
        <f aca="false">IF(#REF!="","",VLOOKUP(#REF!,ФиКод[],9,0))</f>
        <v>#REF!</v>
      </c>
      <c r="F1216" s="1" t="e">
        <f aca="false">IF(#REF!="","",VLOOKUP(#REF!,ФиКод[],10,0))</f>
        <v>#REF!</v>
      </c>
    </row>
    <row r="1217" customFormat="false" ht="12.75" hidden="false" customHeight="false" outlineLevel="0" collapsed="false">
      <c r="A1217" s="1" t="e">
        <f aca="false">IF(#REF!="","",VLOOKUP(#REF!,ФиКод[],8,0))</f>
        <v>#REF!</v>
      </c>
      <c r="E1217" s="1" t="e">
        <f aca="false">IF(#REF!="","",VLOOKUP(#REF!,ФиКод[],9,0))</f>
        <v>#REF!</v>
      </c>
      <c r="F1217" s="1" t="e">
        <f aca="false">IF(#REF!="","",VLOOKUP(#REF!,ФиКод[],10,0))</f>
        <v>#REF!</v>
      </c>
    </row>
    <row r="1218" customFormat="false" ht="12.75" hidden="false" customHeight="false" outlineLevel="0" collapsed="false">
      <c r="A1218" s="1" t="e">
        <f aca="false">IF(#REF!="","",VLOOKUP(#REF!,ФиКод[],8,0))</f>
        <v>#REF!</v>
      </c>
      <c r="E1218" s="1" t="e">
        <f aca="false">IF(#REF!="","",VLOOKUP(#REF!,ФиКод[],9,0))</f>
        <v>#REF!</v>
      </c>
      <c r="F1218" s="1" t="e">
        <f aca="false">IF(#REF!="","",VLOOKUP(#REF!,ФиКод[],10,0))</f>
        <v>#REF!</v>
      </c>
    </row>
    <row r="1219" customFormat="false" ht="12.75" hidden="false" customHeight="false" outlineLevel="0" collapsed="false">
      <c r="A1219" s="1" t="e">
        <f aca="false">IF(#REF!="","",VLOOKUP(#REF!,ФиКод[],8,0))</f>
        <v>#REF!</v>
      </c>
      <c r="E1219" s="1" t="e">
        <f aca="false">IF(#REF!="","",VLOOKUP(#REF!,ФиКод[],9,0))</f>
        <v>#REF!</v>
      </c>
      <c r="F1219" s="1" t="e">
        <f aca="false">IF(#REF!="","",VLOOKUP(#REF!,ФиКод[],10,0))</f>
        <v>#REF!</v>
      </c>
    </row>
    <row r="1220" customFormat="false" ht="12.75" hidden="false" customHeight="false" outlineLevel="0" collapsed="false">
      <c r="A1220" s="1" t="e">
        <f aca="false">IF(#REF!="","",VLOOKUP(#REF!,ФиКод[],8,0))</f>
        <v>#REF!</v>
      </c>
      <c r="E1220" s="1" t="e">
        <f aca="false">IF(#REF!="","",VLOOKUP(#REF!,ФиКод[],9,0))</f>
        <v>#REF!</v>
      </c>
      <c r="F1220" s="1" t="e">
        <f aca="false">IF(#REF!="","",VLOOKUP(#REF!,ФиКод[],10,0))</f>
        <v>#REF!</v>
      </c>
    </row>
    <row r="1221" customFormat="false" ht="12.75" hidden="false" customHeight="false" outlineLevel="0" collapsed="false">
      <c r="A1221" s="1" t="e">
        <f aca="false">IF(#REF!="","",VLOOKUP(#REF!,ФиКод[],8,0))</f>
        <v>#REF!</v>
      </c>
      <c r="E1221" s="1" t="e">
        <f aca="false">IF(#REF!="","",VLOOKUP(#REF!,ФиКод[],9,0))</f>
        <v>#REF!</v>
      </c>
      <c r="F1221" s="1" t="e">
        <f aca="false">IF(#REF!="","",VLOOKUP(#REF!,ФиКод[],10,0))</f>
        <v>#REF!</v>
      </c>
    </row>
    <row r="1222" customFormat="false" ht="12.75" hidden="false" customHeight="false" outlineLevel="0" collapsed="false">
      <c r="A1222" s="1" t="e">
        <f aca="false">IF(#REF!="","",VLOOKUP(#REF!,ФиКод[],8,0))</f>
        <v>#REF!</v>
      </c>
      <c r="E1222" s="1" t="e">
        <f aca="false">IF(#REF!="","",VLOOKUP(#REF!,ФиКод[],9,0))</f>
        <v>#REF!</v>
      </c>
      <c r="F1222" s="1" t="e">
        <f aca="false">IF(#REF!="","",VLOOKUP(#REF!,ФиКод[],10,0))</f>
        <v>#REF!</v>
      </c>
    </row>
    <row r="1223" customFormat="false" ht="12.75" hidden="false" customHeight="false" outlineLevel="0" collapsed="false">
      <c r="A1223" s="1" t="e">
        <f aca="false">IF(#REF!="","",VLOOKUP(#REF!,ФиКод[],8,0))</f>
        <v>#REF!</v>
      </c>
      <c r="E1223" s="1" t="e">
        <f aca="false">IF(#REF!="","",VLOOKUP(#REF!,ФиКод[],9,0))</f>
        <v>#REF!</v>
      </c>
      <c r="F1223" s="1" t="e">
        <f aca="false">IF(#REF!="","",VLOOKUP(#REF!,ФиКод[],10,0))</f>
        <v>#REF!</v>
      </c>
    </row>
    <row r="1224" customFormat="false" ht="12.75" hidden="false" customHeight="false" outlineLevel="0" collapsed="false">
      <c r="A1224" s="1" t="e">
        <f aca="false">IF(#REF!="","",VLOOKUP(#REF!,ФиКод[],8,0))</f>
        <v>#REF!</v>
      </c>
      <c r="E1224" s="1" t="e">
        <f aca="false">IF(#REF!="","",VLOOKUP(#REF!,ФиКод[],9,0))</f>
        <v>#REF!</v>
      </c>
      <c r="F1224" s="1" t="e">
        <f aca="false">IF(#REF!="","",VLOOKUP(#REF!,ФиКод[],10,0))</f>
        <v>#REF!</v>
      </c>
    </row>
    <row r="1225" customFormat="false" ht="12.75" hidden="false" customHeight="false" outlineLevel="0" collapsed="false">
      <c r="A1225" s="1" t="e">
        <f aca="false">IF(#REF!="","",VLOOKUP(#REF!,ФиКод[],8,0))</f>
        <v>#REF!</v>
      </c>
      <c r="E1225" s="1" t="e">
        <f aca="false">IF(#REF!="","",VLOOKUP(#REF!,ФиКод[],9,0))</f>
        <v>#REF!</v>
      </c>
      <c r="F1225" s="1" t="e">
        <f aca="false">IF(#REF!="","",VLOOKUP(#REF!,ФиКод[],10,0))</f>
        <v>#REF!</v>
      </c>
    </row>
    <row r="1226" customFormat="false" ht="12.75" hidden="false" customHeight="false" outlineLevel="0" collapsed="false">
      <c r="A1226" s="1" t="e">
        <f aca="false">IF(#REF!="","",VLOOKUP(#REF!,ФиКод[],8,0))</f>
        <v>#REF!</v>
      </c>
      <c r="E1226" s="1" t="e">
        <f aca="false">IF(#REF!="","",VLOOKUP(#REF!,ФиКод[],9,0))</f>
        <v>#REF!</v>
      </c>
      <c r="F1226" s="1" t="e">
        <f aca="false">IF(#REF!="","",VLOOKUP(#REF!,ФиКод[],10,0))</f>
        <v>#REF!</v>
      </c>
    </row>
    <row r="1227" customFormat="false" ht="12.75" hidden="false" customHeight="false" outlineLevel="0" collapsed="false">
      <c r="A1227" s="1" t="e">
        <f aca="false">IF(#REF!="","",VLOOKUP(#REF!,ФиКод[],8,0))</f>
        <v>#REF!</v>
      </c>
      <c r="E1227" s="1" t="e">
        <f aca="false">IF(#REF!="","",VLOOKUP(#REF!,ФиКод[],9,0))</f>
        <v>#REF!</v>
      </c>
      <c r="F1227" s="1" t="e">
        <f aca="false">IF(#REF!="","",VLOOKUP(#REF!,ФиКод[],10,0))</f>
        <v>#REF!</v>
      </c>
    </row>
    <row r="1228" customFormat="false" ht="12.75" hidden="false" customHeight="false" outlineLevel="0" collapsed="false">
      <c r="A1228" s="1" t="e">
        <f aca="false">IF(#REF!="","",VLOOKUP(#REF!,ФиКод[],8,0))</f>
        <v>#REF!</v>
      </c>
      <c r="E1228" s="1" t="e">
        <f aca="false">IF(#REF!="","",VLOOKUP(#REF!,ФиКод[],9,0))</f>
        <v>#REF!</v>
      </c>
      <c r="F1228" s="1" t="e">
        <f aca="false">IF(#REF!="","",VLOOKUP(#REF!,ФиКод[],10,0))</f>
        <v>#REF!</v>
      </c>
    </row>
    <row r="1229" customFormat="false" ht="12.75" hidden="false" customHeight="false" outlineLevel="0" collapsed="false">
      <c r="A1229" s="1" t="e">
        <f aca="false">IF(#REF!="","",VLOOKUP(#REF!,ФиКод[],8,0))</f>
        <v>#REF!</v>
      </c>
      <c r="E1229" s="1" t="e">
        <f aca="false">IF(#REF!="","",VLOOKUP(#REF!,ФиКод[],9,0))</f>
        <v>#REF!</v>
      </c>
      <c r="F1229" s="1" t="e">
        <f aca="false">IF(#REF!="","",VLOOKUP(#REF!,ФиКод[],10,0))</f>
        <v>#REF!</v>
      </c>
    </row>
    <row r="1230" customFormat="false" ht="12.75" hidden="false" customHeight="false" outlineLevel="0" collapsed="false">
      <c r="A1230" s="1" t="e">
        <f aca="false">IF(#REF!="","",VLOOKUP(#REF!,ФиКод[],8,0))</f>
        <v>#REF!</v>
      </c>
      <c r="E1230" s="1" t="e">
        <f aca="false">IF(#REF!="","",VLOOKUP(#REF!,ФиКод[],9,0))</f>
        <v>#REF!</v>
      </c>
      <c r="F1230" s="1" t="e">
        <f aca="false">IF(#REF!="","",VLOOKUP(#REF!,ФиКод[],10,0))</f>
        <v>#REF!</v>
      </c>
    </row>
    <row r="1231" customFormat="false" ht="12.75" hidden="false" customHeight="false" outlineLevel="0" collapsed="false">
      <c r="A1231" s="1" t="e">
        <f aca="false">IF(#REF!="","",VLOOKUP(#REF!,ФиКод[],8,0))</f>
        <v>#REF!</v>
      </c>
      <c r="E1231" s="1" t="e">
        <f aca="false">IF(#REF!="","",VLOOKUP(#REF!,ФиКод[],9,0))</f>
        <v>#REF!</v>
      </c>
      <c r="F1231" s="1" t="e">
        <f aca="false">IF(#REF!="","",VLOOKUP(#REF!,ФиКод[],10,0))</f>
        <v>#REF!</v>
      </c>
    </row>
    <row r="1232" customFormat="false" ht="12.75" hidden="false" customHeight="false" outlineLevel="0" collapsed="false">
      <c r="A1232" s="1" t="e">
        <f aca="false">IF(#REF!="","",VLOOKUP(#REF!,ФиКод[],8,0))</f>
        <v>#REF!</v>
      </c>
      <c r="E1232" s="1" t="e">
        <f aca="false">IF(#REF!="","",VLOOKUP(#REF!,ФиКод[],9,0))</f>
        <v>#REF!</v>
      </c>
      <c r="F1232" s="1" t="e">
        <f aca="false">IF(#REF!="","",VLOOKUP(#REF!,ФиКод[],10,0))</f>
        <v>#REF!</v>
      </c>
    </row>
    <row r="1233" customFormat="false" ht="12.75" hidden="false" customHeight="false" outlineLevel="0" collapsed="false">
      <c r="A1233" s="1" t="e">
        <f aca="false">IF(#REF!="","",VLOOKUP(#REF!,ФиКод[],8,0))</f>
        <v>#REF!</v>
      </c>
      <c r="E1233" s="1" t="e">
        <f aca="false">IF(#REF!="","",VLOOKUP(#REF!,ФиКод[],9,0))</f>
        <v>#REF!</v>
      </c>
      <c r="F1233" s="1" t="e">
        <f aca="false">IF(#REF!="","",VLOOKUP(#REF!,ФиКод[],10,0))</f>
        <v>#REF!</v>
      </c>
    </row>
    <row r="1234" customFormat="false" ht="12.75" hidden="false" customHeight="false" outlineLevel="0" collapsed="false">
      <c r="A1234" s="1" t="e">
        <f aca="false">IF(#REF!="","",VLOOKUP(#REF!,ФиКод[],8,0))</f>
        <v>#REF!</v>
      </c>
      <c r="E1234" s="1" t="e">
        <f aca="false">IF(#REF!="","",VLOOKUP(#REF!,ФиКод[],9,0))</f>
        <v>#REF!</v>
      </c>
      <c r="F1234" s="1" t="e">
        <f aca="false">IF(#REF!="","",VLOOKUP(#REF!,ФиКод[],10,0))</f>
        <v>#REF!</v>
      </c>
    </row>
    <row r="1235" customFormat="false" ht="12.75" hidden="false" customHeight="false" outlineLevel="0" collapsed="false">
      <c r="A1235" s="1" t="e">
        <f aca="false">IF(#REF!="","",VLOOKUP(#REF!,ФиКод[],8,0))</f>
        <v>#REF!</v>
      </c>
      <c r="E1235" s="1" t="e">
        <f aca="false">IF(#REF!="","",VLOOKUP(#REF!,ФиКод[],9,0))</f>
        <v>#REF!</v>
      </c>
      <c r="F1235" s="1" t="e">
        <f aca="false">IF(#REF!="","",VLOOKUP(#REF!,ФиКод[],10,0))</f>
        <v>#REF!</v>
      </c>
    </row>
    <row r="1236" customFormat="false" ht="12.75" hidden="false" customHeight="false" outlineLevel="0" collapsed="false">
      <c r="A1236" s="1" t="e">
        <f aca="false">IF(#REF!="","",VLOOKUP(#REF!,ФиКод[],8,0))</f>
        <v>#REF!</v>
      </c>
      <c r="E1236" s="1" t="e">
        <f aca="false">IF(#REF!="","",VLOOKUP(#REF!,ФиКод[],9,0))</f>
        <v>#REF!</v>
      </c>
      <c r="F1236" s="1" t="e">
        <f aca="false">IF(#REF!="","",VLOOKUP(#REF!,ФиКод[],10,0))</f>
        <v>#REF!</v>
      </c>
    </row>
    <row r="1237" customFormat="false" ht="12.75" hidden="false" customHeight="false" outlineLevel="0" collapsed="false">
      <c r="A1237" s="1" t="e">
        <f aca="false">IF(#REF!="","",VLOOKUP(#REF!,ФиКод[],8,0))</f>
        <v>#REF!</v>
      </c>
      <c r="E1237" s="1" t="e">
        <f aca="false">IF(#REF!="","",VLOOKUP(#REF!,ФиКод[],9,0))</f>
        <v>#REF!</v>
      </c>
      <c r="F1237" s="1" t="e">
        <f aca="false">IF(#REF!="","",VLOOKUP(#REF!,ФиКод[],10,0))</f>
        <v>#REF!</v>
      </c>
    </row>
    <row r="1238" customFormat="false" ht="12.75" hidden="false" customHeight="false" outlineLevel="0" collapsed="false">
      <c r="A1238" s="1" t="e">
        <f aca="false">IF(#REF!="","",VLOOKUP(#REF!,ФиКод[],8,0))</f>
        <v>#REF!</v>
      </c>
      <c r="E1238" s="1" t="e">
        <f aca="false">IF(#REF!="","",VLOOKUP(#REF!,ФиКод[],9,0))</f>
        <v>#REF!</v>
      </c>
      <c r="F1238" s="1" t="e">
        <f aca="false">IF(#REF!="","",VLOOKUP(#REF!,ФиКод[],10,0))</f>
        <v>#REF!</v>
      </c>
    </row>
    <row r="1239" customFormat="false" ht="12.75" hidden="false" customHeight="false" outlineLevel="0" collapsed="false">
      <c r="A1239" s="1" t="e">
        <f aca="false">IF(#REF!="","",VLOOKUP(#REF!,ФиКод[],8,0))</f>
        <v>#REF!</v>
      </c>
      <c r="E1239" s="1" t="e">
        <f aca="false">IF(#REF!="","",VLOOKUP(#REF!,ФиКод[],9,0))</f>
        <v>#REF!</v>
      </c>
      <c r="F1239" s="1" t="e">
        <f aca="false">IF(#REF!="","",VLOOKUP(#REF!,ФиКод[],10,0))</f>
        <v>#REF!</v>
      </c>
    </row>
    <row r="1240" customFormat="false" ht="12.75" hidden="false" customHeight="false" outlineLevel="0" collapsed="false">
      <c r="A1240" s="1" t="e">
        <f aca="false">IF(#REF!="","",VLOOKUP(#REF!,ФиКод[],8,0))</f>
        <v>#REF!</v>
      </c>
      <c r="E1240" s="1" t="e">
        <f aca="false">IF(#REF!="","",VLOOKUP(#REF!,ФиКод[],9,0))</f>
        <v>#REF!</v>
      </c>
      <c r="F1240" s="1" t="e">
        <f aca="false">IF(#REF!="","",VLOOKUP(#REF!,ФиКод[],10,0))</f>
        <v>#REF!</v>
      </c>
    </row>
    <row r="1241" customFormat="false" ht="12.75" hidden="false" customHeight="false" outlineLevel="0" collapsed="false">
      <c r="A1241" s="1" t="e">
        <f aca="false">IF(#REF!="","",VLOOKUP(#REF!,ФиКод[],8,0))</f>
        <v>#REF!</v>
      </c>
      <c r="E1241" s="1" t="e">
        <f aca="false">IF(#REF!="","",VLOOKUP(#REF!,ФиКод[],9,0))</f>
        <v>#REF!</v>
      </c>
      <c r="F1241" s="1" t="e">
        <f aca="false">IF(#REF!="","",VLOOKUP(#REF!,ФиКод[],10,0))</f>
        <v>#REF!</v>
      </c>
    </row>
    <row r="1242" customFormat="false" ht="12.75" hidden="false" customHeight="false" outlineLevel="0" collapsed="false">
      <c r="A1242" s="1" t="e">
        <f aca="false">IF(#REF!="","",VLOOKUP(#REF!,ФиКод[],8,0))</f>
        <v>#REF!</v>
      </c>
      <c r="E1242" s="1" t="e">
        <f aca="false">IF(#REF!="","",VLOOKUP(#REF!,ФиКод[],9,0))</f>
        <v>#REF!</v>
      </c>
      <c r="F1242" s="1" t="e">
        <f aca="false">IF(#REF!="","",VLOOKUP(#REF!,ФиКод[],10,0))</f>
        <v>#REF!</v>
      </c>
    </row>
    <row r="1243" customFormat="false" ht="12.75" hidden="false" customHeight="false" outlineLevel="0" collapsed="false">
      <c r="A1243" s="1" t="e">
        <f aca="false">IF(#REF!="","",VLOOKUP(#REF!,ФиКод[],8,0))</f>
        <v>#REF!</v>
      </c>
      <c r="E1243" s="1" t="e">
        <f aca="false">IF(#REF!="","",VLOOKUP(#REF!,ФиКод[],9,0))</f>
        <v>#REF!</v>
      </c>
      <c r="F1243" s="1" t="e">
        <f aca="false">IF(#REF!="","",VLOOKUP(#REF!,ФиКод[],10,0))</f>
        <v>#REF!</v>
      </c>
    </row>
    <row r="1244" customFormat="false" ht="12.75" hidden="false" customHeight="false" outlineLevel="0" collapsed="false">
      <c r="A1244" s="1" t="e">
        <f aca="false">IF(#REF!="","",VLOOKUP(#REF!,ФиКод[],8,0))</f>
        <v>#REF!</v>
      </c>
      <c r="E1244" s="1" t="e">
        <f aca="false">IF(#REF!="","",VLOOKUP(#REF!,ФиКод[],9,0))</f>
        <v>#REF!</v>
      </c>
      <c r="F1244" s="1" t="e">
        <f aca="false">IF(#REF!="","",VLOOKUP(#REF!,ФиКод[],10,0))</f>
        <v>#REF!</v>
      </c>
    </row>
    <row r="1245" customFormat="false" ht="12.75" hidden="false" customHeight="false" outlineLevel="0" collapsed="false">
      <c r="A1245" s="1" t="e">
        <f aca="false">IF(#REF!="","",VLOOKUP(#REF!,ФиКод[],8,0))</f>
        <v>#REF!</v>
      </c>
      <c r="E1245" s="1" t="e">
        <f aca="false">IF(#REF!="","",VLOOKUP(#REF!,ФиКод[],9,0))</f>
        <v>#REF!</v>
      </c>
      <c r="F1245" s="1" t="e">
        <f aca="false">IF(#REF!="","",VLOOKUP(#REF!,ФиКод[],10,0))</f>
        <v>#REF!</v>
      </c>
    </row>
    <row r="1246" customFormat="false" ht="12.75" hidden="false" customHeight="false" outlineLevel="0" collapsed="false">
      <c r="A1246" s="1" t="e">
        <f aca="false">IF(#REF!="","",VLOOKUP(#REF!,ФиКод[],8,0))</f>
        <v>#REF!</v>
      </c>
      <c r="E1246" s="1" t="e">
        <f aca="false">IF(#REF!="","",VLOOKUP(#REF!,ФиКод[],9,0))</f>
        <v>#REF!</v>
      </c>
      <c r="F1246" s="1" t="e">
        <f aca="false">IF(#REF!="","",VLOOKUP(#REF!,ФиКод[],10,0))</f>
        <v>#REF!</v>
      </c>
    </row>
    <row r="1247" customFormat="false" ht="12.75" hidden="false" customHeight="false" outlineLevel="0" collapsed="false">
      <c r="A1247" s="1" t="e">
        <f aca="false">IF(#REF!="","",VLOOKUP(#REF!,ФиКод[],8,0))</f>
        <v>#REF!</v>
      </c>
      <c r="E1247" s="1" t="e">
        <f aca="false">IF(#REF!="","",VLOOKUP(#REF!,ФиКод[],9,0))</f>
        <v>#REF!</v>
      </c>
      <c r="F1247" s="1" t="e">
        <f aca="false">IF(#REF!="","",VLOOKUP(#REF!,ФиКод[],10,0))</f>
        <v>#REF!</v>
      </c>
    </row>
    <row r="1248" customFormat="false" ht="12.75" hidden="false" customHeight="false" outlineLevel="0" collapsed="false">
      <c r="A1248" s="1" t="e">
        <f aca="false">IF(#REF!="","",VLOOKUP(#REF!,ФиКод[],8,0))</f>
        <v>#REF!</v>
      </c>
      <c r="E1248" s="1" t="e">
        <f aca="false">IF(#REF!="","",VLOOKUP(#REF!,ФиКод[],9,0))</f>
        <v>#REF!</v>
      </c>
      <c r="F1248" s="1" t="e">
        <f aca="false">IF(#REF!="","",VLOOKUP(#REF!,ФиКод[],10,0))</f>
        <v>#REF!</v>
      </c>
    </row>
    <row r="1249" customFormat="false" ht="12.75" hidden="false" customHeight="false" outlineLevel="0" collapsed="false">
      <c r="A1249" s="1" t="e">
        <f aca="false">IF(#REF!="","",VLOOKUP(#REF!,ФиКод[],8,0))</f>
        <v>#REF!</v>
      </c>
      <c r="E1249" s="1" t="e">
        <f aca="false">IF(#REF!="","",VLOOKUP(#REF!,ФиКод[],9,0))</f>
        <v>#REF!</v>
      </c>
      <c r="F1249" s="1" t="e">
        <f aca="false">IF(#REF!="","",VLOOKUP(#REF!,ФиКод[],10,0))</f>
        <v>#REF!</v>
      </c>
    </row>
    <row r="1250" customFormat="false" ht="12.75" hidden="false" customHeight="false" outlineLevel="0" collapsed="false">
      <c r="A1250" s="1" t="e">
        <f aca="false">IF(#REF!="","",VLOOKUP(#REF!,ФиКод[],8,0))</f>
        <v>#REF!</v>
      </c>
      <c r="E1250" s="1" t="e">
        <f aca="false">IF(#REF!="","",VLOOKUP(#REF!,ФиКод[],9,0))</f>
        <v>#REF!</v>
      </c>
      <c r="F1250" s="1" t="e">
        <f aca="false">IF(#REF!="","",VLOOKUP(#REF!,ФиКод[],10,0))</f>
        <v>#REF!</v>
      </c>
    </row>
    <row r="1251" customFormat="false" ht="12.75" hidden="false" customHeight="false" outlineLevel="0" collapsed="false">
      <c r="A1251" s="1" t="e">
        <f aca="false">IF(#REF!="","",VLOOKUP(#REF!,ФиКод[],8,0))</f>
        <v>#REF!</v>
      </c>
      <c r="E1251" s="1" t="e">
        <f aca="false">IF(#REF!="","",VLOOKUP(#REF!,ФиКод[],9,0))</f>
        <v>#REF!</v>
      </c>
      <c r="F1251" s="1" t="e">
        <f aca="false">IF(#REF!="","",VLOOKUP(#REF!,ФиКод[],10,0))</f>
        <v>#REF!</v>
      </c>
    </row>
    <row r="1252" customFormat="false" ht="12.75" hidden="false" customHeight="false" outlineLevel="0" collapsed="false">
      <c r="A1252" s="1" t="e">
        <f aca="false">IF(#REF!="","",VLOOKUP(#REF!,ФиКод[],8,0))</f>
        <v>#REF!</v>
      </c>
      <c r="E1252" s="1" t="e">
        <f aca="false">IF(#REF!="","",VLOOKUP(#REF!,ФиКод[],9,0))</f>
        <v>#REF!</v>
      </c>
      <c r="F1252" s="1" t="e">
        <f aca="false">IF(#REF!="","",VLOOKUP(#REF!,ФиКод[],10,0))</f>
        <v>#REF!</v>
      </c>
    </row>
    <row r="1253" customFormat="false" ht="12.75" hidden="false" customHeight="false" outlineLevel="0" collapsed="false">
      <c r="A1253" s="1" t="e">
        <f aca="false">IF(#REF!="","",VLOOKUP(#REF!,ФиКод[],8,0))</f>
        <v>#REF!</v>
      </c>
      <c r="E1253" s="1" t="e">
        <f aca="false">IF(#REF!="","",VLOOKUP(#REF!,ФиКод[],9,0))</f>
        <v>#REF!</v>
      </c>
      <c r="F1253" s="1" t="e">
        <f aca="false">IF(#REF!="","",VLOOKUP(#REF!,ФиКод[],10,0))</f>
        <v>#REF!</v>
      </c>
    </row>
    <row r="1254" customFormat="false" ht="12.75" hidden="false" customHeight="false" outlineLevel="0" collapsed="false">
      <c r="A1254" s="1" t="e">
        <f aca="false">IF(#REF!="","",VLOOKUP(#REF!,ФиКод[],8,0))</f>
        <v>#REF!</v>
      </c>
      <c r="E1254" s="1" t="e">
        <f aca="false">IF(#REF!="","",VLOOKUP(#REF!,ФиКод[],9,0))</f>
        <v>#REF!</v>
      </c>
      <c r="F1254" s="1" t="e">
        <f aca="false">IF(#REF!="","",VLOOKUP(#REF!,ФиКод[],10,0))</f>
        <v>#REF!</v>
      </c>
    </row>
    <row r="1255" customFormat="false" ht="12.75" hidden="false" customHeight="false" outlineLevel="0" collapsed="false">
      <c r="A1255" s="1" t="e">
        <f aca="false">IF(#REF!="","",VLOOKUP(#REF!,ФиКод[],8,0))</f>
        <v>#REF!</v>
      </c>
      <c r="E1255" s="1" t="e">
        <f aca="false">IF(#REF!="","",VLOOKUP(#REF!,ФиКод[],9,0))</f>
        <v>#REF!</v>
      </c>
      <c r="F1255" s="1" t="e">
        <f aca="false">IF(#REF!="","",VLOOKUP(#REF!,ФиКод[],10,0))</f>
        <v>#REF!</v>
      </c>
    </row>
    <row r="1256" customFormat="false" ht="12.75" hidden="false" customHeight="false" outlineLevel="0" collapsed="false">
      <c r="A1256" s="1" t="e">
        <f aca="false">IF(#REF!="","",VLOOKUP(#REF!,ФиКод[],8,0))</f>
        <v>#REF!</v>
      </c>
      <c r="E1256" s="1" t="e">
        <f aca="false">IF(#REF!="","",VLOOKUP(#REF!,ФиКод[],9,0))</f>
        <v>#REF!</v>
      </c>
      <c r="F1256" s="1" t="e">
        <f aca="false">IF(#REF!="","",VLOOKUP(#REF!,ФиКод[],10,0))</f>
        <v>#REF!</v>
      </c>
    </row>
    <row r="1257" customFormat="false" ht="12.75" hidden="false" customHeight="false" outlineLevel="0" collapsed="false">
      <c r="A1257" s="1" t="e">
        <f aca="false">IF(#REF!="","",VLOOKUP(#REF!,ФиКод[],8,0))</f>
        <v>#REF!</v>
      </c>
      <c r="E1257" s="1" t="e">
        <f aca="false">IF(#REF!="","",VLOOKUP(#REF!,ФиКод[],9,0))</f>
        <v>#REF!</v>
      </c>
      <c r="F1257" s="1" t="e">
        <f aca="false">IF(#REF!="","",VLOOKUP(#REF!,ФиКод[],10,0))</f>
        <v>#REF!</v>
      </c>
    </row>
    <row r="1258" customFormat="false" ht="12.75" hidden="false" customHeight="false" outlineLevel="0" collapsed="false">
      <c r="A1258" s="1" t="e">
        <f aca="false">IF(#REF!="","",VLOOKUP(#REF!,ФиКод[],8,0))</f>
        <v>#REF!</v>
      </c>
      <c r="E1258" s="1" t="e">
        <f aca="false">IF(#REF!="","",VLOOKUP(#REF!,ФиКод[],9,0))</f>
        <v>#REF!</v>
      </c>
      <c r="F1258" s="1" t="e">
        <f aca="false">IF(#REF!="","",VLOOKUP(#REF!,ФиКод[],10,0))</f>
        <v>#REF!</v>
      </c>
    </row>
    <row r="1259" customFormat="false" ht="12.75" hidden="false" customHeight="false" outlineLevel="0" collapsed="false">
      <c r="A1259" s="1" t="e">
        <f aca="false">IF(#REF!="","",VLOOKUP(#REF!,ФиКод[],8,0))</f>
        <v>#REF!</v>
      </c>
      <c r="E1259" s="1" t="e">
        <f aca="false">IF(#REF!="","",VLOOKUP(#REF!,ФиКод[],9,0))</f>
        <v>#REF!</v>
      </c>
      <c r="F1259" s="1" t="e">
        <f aca="false">IF(#REF!="","",VLOOKUP(#REF!,ФиКод[],10,0))</f>
        <v>#REF!</v>
      </c>
    </row>
    <row r="1260" customFormat="false" ht="12.75" hidden="false" customHeight="false" outlineLevel="0" collapsed="false">
      <c r="A1260" s="1" t="e">
        <f aca="false">IF(#REF!="","",VLOOKUP(#REF!,ФиКод[],8,0))</f>
        <v>#REF!</v>
      </c>
      <c r="E1260" s="1" t="e">
        <f aca="false">IF(#REF!="","",VLOOKUP(#REF!,ФиКод[],9,0))</f>
        <v>#REF!</v>
      </c>
      <c r="F1260" s="1" t="e">
        <f aca="false">IF(#REF!="","",VLOOKUP(#REF!,ФиКод[],10,0))</f>
        <v>#REF!</v>
      </c>
    </row>
    <row r="1261" customFormat="false" ht="12.75" hidden="false" customHeight="false" outlineLevel="0" collapsed="false">
      <c r="A1261" s="1" t="e">
        <f aca="false">IF(#REF!="","",VLOOKUP(#REF!,ФиКод[],8,0))</f>
        <v>#REF!</v>
      </c>
      <c r="E1261" s="1" t="e">
        <f aca="false">IF(#REF!="","",VLOOKUP(#REF!,ФиКод[],9,0))</f>
        <v>#REF!</v>
      </c>
      <c r="F1261" s="1" t="e">
        <f aca="false">IF(#REF!="","",VLOOKUP(#REF!,ФиКод[],10,0))</f>
        <v>#REF!</v>
      </c>
    </row>
    <row r="1262" customFormat="false" ht="12.75" hidden="false" customHeight="false" outlineLevel="0" collapsed="false">
      <c r="A1262" s="1" t="e">
        <f aca="false">IF(#REF!="","",VLOOKUP(#REF!,ФиКод[],8,0))</f>
        <v>#REF!</v>
      </c>
      <c r="E1262" s="1" t="e">
        <f aca="false">IF(#REF!="","",VLOOKUP(#REF!,ФиКод[],9,0))</f>
        <v>#REF!</v>
      </c>
      <c r="F1262" s="1" t="e">
        <f aca="false">IF(#REF!="","",VLOOKUP(#REF!,ФиКод[],10,0))</f>
        <v>#REF!</v>
      </c>
    </row>
    <row r="1263" customFormat="false" ht="12.75" hidden="false" customHeight="false" outlineLevel="0" collapsed="false">
      <c r="A1263" s="1" t="e">
        <f aca="false">IF(#REF!="","",VLOOKUP(#REF!,ФиКод[],8,0))</f>
        <v>#REF!</v>
      </c>
      <c r="E1263" s="1" t="e">
        <f aca="false">IF(#REF!="","",VLOOKUP(#REF!,ФиКод[],9,0))</f>
        <v>#REF!</v>
      </c>
      <c r="F1263" s="1" t="e">
        <f aca="false">IF(#REF!="","",VLOOKUP(#REF!,ФиКод[],10,0))</f>
        <v>#REF!</v>
      </c>
    </row>
    <row r="1264" customFormat="false" ht="12.75" hidden="false" customHeight="false" outlineLevel="0" collapsed="false">
      <c r="A1264" s="1" t="e">
        <f aca="false">IF(#REF!="","",VLOOKUP(#REF!,ФиКод[],8,0))</f>
        <v>#REF!</v>
      </c>
      <c r="E1264" s="1" t="e">
        <f aca="false">IF(#REF!="","",VLOOKUP(#REF!,ФиКод[],9,0))</f>
        <v>#REF!</v>
      </c>
      <c r="F1264" s="1" t="e">
        <f aca="false">IF(#REF!="","",VLOOKUP(#REF!,ФиКод[],10,0))</f>
        <v>#REF!</v>
      </c>
    </row>
    <row r="1265" customFormat="false" ht="12.75" hidden="false" customHeight="false" outlineLevel="0" collapsed="false">
      <c r="A1265" s="1" t="e">
        <f aca="false">IF(#REF!="","",VLOOKUP(#REF!,ФиКод[],8,0))</f>
        <v>#REF!</v>
      </c>
      <c r="E1265" s="1" t="e">
        <f aca="false">IF(#REF!="","",VLOOKUP(#REF!,ФиКод[],9,0))</f>
        <v>#REF!</v>
      </c>
      <c r="F1265" s="1" t="e">
        <f aca="false">IF(#REF!="","",VLOOKUP(#REF!,ФиКод[],10,0))</f>
        <v>#REF!</v>
      </c>
    </row>
    <row r="1266" customFormat="false" ht="12.75" hidden="false" customHeight="false" outlineLevel="0" collapsed="false">
      <c r="A1266" s="1" t="e">
        <f aca="false">IF(#REF!="","",VLOOKUP(#REF!,ФиКод[],8,0))</f>
        <v>#REF!</v>
      </c>
      <c r="E1266" s="1" t="e">
        <f aca="false">IF(#REF!="","",VLOOKUP(#REF!,ФиКод[],9,0))</f>
        <v>#REF!</v>
      </c>
      <c r="F1266" s="1" t="e">
        <f aca="false">IF(#REF!="","",VLOOKUP(#REF!,ФиКод[],10,0))</f>
        <v>#REF!</v>
      </c>
    </row>
    <row r="1267" customFormat="false" ht="12.75" hidden="false" customHeight="false" outlineLevel="0" collapsed="false">
      <c r="A1267" s="1" t="e">
        <f aca="false">IF(#REF!="","",VLOOKUP(#REF!,ФиКод[],8,0))</f>
        <v>#REF!</v>
      </c>
      <c r="E1267" s="1" t="e">
        <f aca="false">IF(#REF!="","",VLOOKUP(#REF!,ФиКод[],9,0))</f>
        <v>#REF!</v>
      </c>
      <c r="F1267" s="1" t="e">
        <f aca="false">IF(#REF!="","",VLOOKUP(#REF!,ФиКод[],10,0))</f>
        <v>#REF!</v>
      </c>
    </row>
    <row r="1268" customFormat="false" ht="12.75" hidden="false" customHeight="false" outlineLevel="0" collapsed="false">
      <c r="A1268" s="1" t="e">
        <f aca="false">IF(#REF!="","",VLOOKUP(#REF!,ФиКод[],8,0))</f>
        <v>#REF!</v>
      </c>
      <c r="E1268" s="1" t="e">
        <f aca="false">IF(#REF!="","",VLOOKUP(#REF!,ФиКод[],9,0))</f>
        <v>#REF!</v>
      </c>
      <c r="F1268" s="1" t="e">
        <f aca="false">IF(#REF!="","",VLOOKUP(#REF!,ФиКод[],10,0))</f>
        <v>#REF!</v>
      </c>
    </row>
    <row r="1269" customFormat="false" ht="12.75" hidden="false" customHeight="false" outlineLevel="0" collapsed="false">
      <c r="A1269" s="1" t="e">
        <f aca="false">IF(#REF!="","",VLOOKUP(#REF!,ФиКод[],8,0))</f>
        <v>#REF!</v>
      </c>
      <c r="E1269" s="1" t="e">
        <f aca="false">IF(#REF!="","",VLOOKUP(#REF!,ФиКод[],9,0))</f>
        <v>#REF!</v>
      </c>
      <c r="F1269" s="1" t="e">
        <f aca="false">IF(#REF!="","",VLOOKUP(#REF!,ФиКод[],10,0))</f>
        <v>#REF!</v>
      </c>
    </row>
    <row r="1270" customFormat="false" ht="12.75" hidden="false" customHeight="false" outlineLevel="0" collapsed="false">
      <c r="A1270" s="1" t="e">
        <f aca="false">IF(#REF!="","",VLOOKUP(#REF!,ФиКод[],8,0))</f>
        <v>#REF!</v>
      </c>
      <c r="E1270" s="1" t="e">
        <f aca="false">IF(#REF!="","",VLOOKUP(#REF!,ФиКод[],9,0))</f>
        <v>#REF!</v>
      </c>
      <c r="F1270" s="1" t="e">
        <f aca="false">IF(#REF!="","",VLOOKUP(#REF!,ФиКод[],10,0))</f>
        <v>#REF!</v>
      </c>
    </row>
    <row r="1271" customFormat="false" ht="12.75" hidden="false" customHeight="false" outlineLevel="0" collapsed="false">
      <c r="A1271" s="1" t="e">
        <f aca="false">IF(#REF!="","",VLOOKUP(#REF!,ФиКод[],8,0))</f>
        <v>#REF!</v>
      </c>
      <c r="E1271" s="1" t="e">
        <f aca="false">IF(#REF!="","",VLOOKUP(#REF!,ФиКод[],9,0))</f>
        <v>#REF!</v>
      </c>
      <c r="F1271" s="1" t="e">
        <f aca="false">IF(#REF!="","",VLOOKUP(#REF!,ФиКод[],10,0))</f>
        <v>#REF!</v>
      </c>
    </row>
    <row r="1272" customFormat="false" ht="12.75" hidden="false" customHeight="false" outlineLevel="0" collapsed="false">
      <c r="A1272" s="1" t="e">
        <f aca="false">IF(#REF!="","",VLOOKUP(#REF!,ФиКод[],8,0))</f>
        <v>#REF!</v>
      </c>
      <c r="E1272" s="1" t="e">
        <f aca="false">IF(#REF!="","",VLOOKUP(#REF!,ФиКод[],9,0))</f>
        <v>#REF!</v>
      </c>
      <c r="F1272" s="1" t="e">
        <f aca="false">IF(#REF!="","",VLOOKUP(#REF!,ФиКод[],10,0))</f>
        <v>#REF!</v>
      </c>
    </row>
    <row r="1273" customFormat="false" ht="12.75" hidden="false" customHeight="false" outlineLevel="0" collapsed="false">
      <c r="A1273" s="1" t="e">
        <f aca="false">IF(#REF!="","",VLOOKUP(#REF!,ФиКод[],8,0))</f>
        <v>#REF!</v>
      </c>
      <c r="E1273" s="1" t="e">
        <f aca="false">IF(#REF!="","",VLOOKUP(#REF!,ФиКод[],9,0))</f>
        <v>#REF!</v>
      </c>
      <c r="F1273" s="1" t="e">
        <f aca="false">IF(#REF!="","",VLOOKUP(#REF!,ФиКод[],10,0))</f>
        <v>#REF!</v>
      </c>
    </row>
    <row r="1274" customFormat="false" ht="12.75" hidden="false" customHeight="false" outlineLevel="0" collapsed="false">
      <c r="A1274" s="1" t="e">
        <f aca="false">IF(#REF!="","",VLOOKUP(#REF!,ФиКод[],8,0))</f>
        <v>#REF!</v>
      </c>
      <c r="E1274" s="1" t="e">
        <f aca="false">IF(#REF!="","",VLOOKUP(#REF!,ФиКод[],9,0))</f>
        <v>#REF!</v>
      </c>
      <c r="F1274" s="1" t="e">
        <f aca="false">IF(#REF!="","",VLOOKUP(#REF!,ФиКод[],10,0))</f>
        <v>#REF!</v>
      </c>
    </row>
    <row r="1275" customFormat="false" ht="12.75" hidden="false" customHeight="false" outlineLevel="0" collapsed="false">
      <c r="A1275" s="1" t="e">
        <f aca="false">IF(#REF!="","",VLOOKUP(#REF!,ФиКод[],8,0))</f>
        <v>#REF!</v>
      </c>
      <c r="E1275" s="1" t="e">
        <f aca="false">IF(#REF!="","",VLOOKUP(#REF!,ФиКод[],9,0))</f>
        <v>#REF!</v>
      </c>
      <c r="F1275" s="1" t="e">
        <f aca="false">IF(#REF!="","",VLOOKUP(#REF!,ФиКод[],10,0))</f>
        <v>#REF!</v>
      </c>
    </row>
    <row r="1276" customFormat="false" ht="12.75" hidden="false" customHeight="false" outlineLevel="0" collapsed="false">
      <c r="A1276" s="1" t="e">
        <f aca="false">IF(#REF!="","",VLOOKUP(#REF!,ФиКод[],8,0))</f>
        <v>#REF!</v>
      </c>
      <c r="E1276" s="1" t="e">
        <f aca="false">IF(#REF!="","",VLOOKUP(#REF!,ФиКод[],9,0))</f>
        <v>#REF!</v>
      </c>
      <c r="F1276" s="1" t="e">
        <f aca="false">IF(#REF!="","",VLOOKUP(#REF!,ФиКод[],10,0))</f>
        <v>#REF!</v>
      </c>
    </row>
    <row r="1277" customFormat="false" ht="12.75" hidden="false" customHeight="false" outlineLevel="0" collapsed="false">
      <c r="A1277" s="1" t="e">
        <f aca="false">IF(#REF!="","",VLOOKUP(#REF!,ФиКод[],8,0))</f>
        <v>#REF!</v>
      </c>
      <c r="E1277" s="1" t="e">
        <f aca="false">IF(#REF!="","",VLOOKUP(#REF!,ФиКод[],9,0))</f>
        <v>#REF!</v>
      </c>
      <c r="F1277" s="1" t="e">
        <f aca="false">IF(#REF!="","",VLOOKUP(#REF!,ФиКод[],10,0))</f>
        <v>#REF!</v>
      </c>
    </row>
    <row r="1278" customFormat="false" ht="12.75" hidden="false" customHeight="false" outlineLevel="0" collapsed="false">
      <c r="A1278" s="1" t="e">
        <f aca="false">IF(#REF!="","",VLOOKUP(#REF!,ФиКод[],8,0))</f>
        <v>#REF!</v>
      </c>
      <c r="E1278" s="1" t="e">
        <f aca="false">IF(#REF!="","",VLOOKUP(#REF!,ФиКод[],9,0))</f>
        <v>#REF!</v>
      </c>
      <c r="F1278" s="1" t="e">
        <f aca="false">IF(#REF!="","",VLOOKUP(#REF!,ФиКод[],10,0))</f>
        <v>#REF!</v>
      </c>
    </row>
    <row r="1279" customFormat="false" ht="12.75" hidden="false" customHeight="false" outlineLevel="0" collapsed="false">
      <c r="A1279" s="1" t="e">
        <f aca="false">IF(#REF!="","",VLOOKUP(#REF!,ФиКод[],8,0))</f>
        <v>#REF!</v>
      </c>
      <c r="E1279" s="1" t="e">
        <f aca="false">IF(#REF!="","",VLOOKUP(#REF!,ФиКод[],9,0))</f>
        <v>#REF!</v>
      </c>
      <c r="F1279" s="1" t="e">
        <f aca="false">IF(#REF!="","",VLOOKUP(#REF!,ФиКод[],10,0))</f>
        <v>#REF!</v>
      </c>
    </row>
    <row r="1280" customFormat="false" ht="12.75" hidden="false" customHeight="false" outlineLevel="0" collapsed="false">
      <c r="A1280" s="1" t="e">
        <f aca="false">IF(#REF!="","",VLOOKUP(#REF!,ФиКод[],8,0))</f>
        <v>#REF!</v>
      </c>
      <c r="E1280" s="1" t="e">
        <f aca="false">IF(#REF!="","",VLOOKUP(#REF!,ФиКод[],9,0))</f>
        <v>#REF!</v>
      </c>
      <c r="F1280" s="1" t="e">
        <f aca="false">IF(#REF!="","",VLOOKUP(#REF!,ФиКод[],10,0))</f>
        <v>#REF!</v>
      </c>
    </row>
    <row r="1281" customFormat="false" ht="12.75" hidden="false" customHeight="false" outlineLevel="0" collapsed="false">
      <c r="A1281" s="1" t="e">
        <f aca="false">IF(#REF!="","",VLOOKUP(#REF!,ФиКод[],8,0))</f>
        <v>#REF!</v>
      </c>
      <c r="E1281" s="1" t="e">
        <f aca="false">IF(#REF!="","",VLOOKUP(#REF!,ФиКод[],9,0))</f>
        <v>#REF!</v>
      </c>
      <c r="F1281" s="1" t="e">
        <f aca="false">IF(#REF!="","",VLOOKUP(#REF!,ФиКод[],10,0))</f>
        <v>#REF!</v>
      </c>
    </row>
    <row r="1282" customFormat="false" ht="12.75" hidden="false" customHeight="false" outlineLevel="0" collapsed="false">
      <c r="A1282" s="1" t="e">
        <f aca="false">IF(#REF!="","",VLOOKUP(#REF!,ФиКод[],8,0))</f>
        <v>#REF!</v>
      </c>
      <c r="E1282" s="1" t="e">
        <f aca="false">IF(#REF!="","",VLOOKUP(#REF!,ФиКод[],9,0))</f>
        <v>#REF!</v>
      </c>
      <c r="F1282" s="1" t="e">
        <f aca="false">IF(#REF!="","",VLOOKUP(#REF!,ФиКод[],10,0))</f>
        <v>#REF!</v>
      </c>
    </row>
    <row r="1283" customFormat="false" ht="12.75" hidden="false" customHeight="false" outlineLevel="0" collapsed="false">
      <c r="A1283" s="1" t="e">
        <f aca="false">IF(#REF!="","",VLOOKUP(#REF!,ФиКод[],8,0))</f>
        <v>#REF!</v>
      </c>
      <c r="E1283" s="1" t="e">
        <f aca="false">IF(#REF!="","",VLOOKUP(#REF!,ФиКод[],9,0))</f>
        <v>#REF!</v>
      </c>
      <c r="F1283" s="1" t="e">
        <f aca="false">IF(#REF!="","",VLOOKUP(#REF!,ФиКод[],10,0))</f>
        <v>#REF!</v>
      </c>
    </row>
    <row r="1284" customFormat="false" ht="12.75" hidden="false" customHeight="false" outlineLevel="0" collapsed="false">
      <c r="A1284" s="1" t="e">
        <f aca="false">IF(#REF!="","",VLOOKUP(#REF!,ФиКод[],8,0))</f>
        <v>#REF!</v>
      </c>
      <c r="E1284" s="1" t="e">
        <f aca="false">IF(#REF!="","",VLOOKUP(#REF!,ФиКод[],9,0))</f>
        <v>#REF!</v>
      </c>
      <c r="F1284" s="1" t="e">
        <f aca="false">IF(#REF!="","",VLOOKUP(#REF!,ФиКод[],10,0))</f>
        <v>#REF!</v>
      </c>
    </row>
    <row r="1285" customFormat="false" ht="12.75" hidden="false" customHeight="false" outlineLevel="0" collapsed="false">
      <c r="A1285" s="1" t="e">
        <f aca="false">IF(#REF!="","",VLOOKUP(#REF!,ФиКод[],8,0))</f>
        <v>#REF!</v>
      </c>
      <c r="E1285" s="1" t="e">
        <f aca="false">IF(#REF!="","",VLOOKUP(#REF!,ФиКод[],9,0))</f>
        <v>#REF!</v>
      </c>
      <c r="F1285" s="1" t="e">
        <f aca="false">IF(#REF!="","",VLOOKUP(#REF!,ФиКод[],10,0))</f>
        <v>#REF!</v>
      </c>
    </row>
    <row r="1286" customFormat="false" ht="12.75" hidden="false" customHeight="false" outlineLevel="0" collapsed="false">
      <c r="A1286" s="1" t="e">
        <f aca="false">IF(#REF!="","",VLOOKUP(#REF!,ФиКод[],8,0))</f>
        <v>#REF!</v>
      </c>
      <c r="E1286" s="1" t="e">
        <f aca="false">IF(#REF!="","",VLOOKUP(#REF!,ФиКод[],9,0))</f>
        <v>#REF!</v>
      </c>
      <c r="F1286" s="1" t="e">
        <f aca="false">IF(#REF!="","",VLOOKUP(#REF!,ФиКод[],10,0))</f>
        <v>#REF!</v>
      </c>
    </row>
    <row r="1287" customFormat="false" ht="12.75" hidden="false" customHeight="false" outlineLevel="0" collapsed="false">
      <c r="A1287" s="1" t="e">
        <f aca="false">IF(#REF!="","",VLOOKUP(#REF!,ФиКод[],8,0))</f>
        <v>#REF!</v>
      </c>
      <c r="E1287" s="1" t="e">
        <f aca="false">IF(#REF!="","",VLOOKUP(#REF!,ФиКод[],9,0))</f>
        <v>#REF!</v>
      </c>
      <c r="F1287" s="1" t="e">
        <f aca="false">IF(#REF!="","",VLOOKUP(#REF!,ФиКод[],10,0))</f>
        <v>#REF!</v>
      </c>
    </row>
    <row r="1288" customFormat="false" ht="12.75" hidden="false" customHeight="false" outlineLevel="0" collapsed="false">
      <c r="A1288" s="1" t="e">
        <f aca="false">IF(#REF!="","",VLOOKUP(#REF!,ФиКод[],8,0))</f>
        <v>#REF!</v>
      </c>
      <c r="E1288" s="1" t="e">
        <f aca="false">IF(#REF!="","",VLOOKUP(#REF!,ФиКод[],9,0))</f>
        <v>#REF!</v>
      </c>
      <c r="F1288" s="1" t="e">
        <f aca="false">IF(#REF!="","",VLOOKUP(#REF!,ФиКод[],10,0))</f>
        <v>#REF!</v>
      </c>
    </row>
    <row r="1289" customFormat="false" ht="12.75" hidden="false" customHeight="false" outlineLevel="0" collapsed="false">
      <c r="A1289" s="1" t="e">
        <f aca="false">IF(#REF!="","",VLOOKUP(#REF!,ФиКод[],8,0))</f>
        <v>#REF!</v>
      </c>
      <c r="E1289" s="1" t="e">
        <f aca="false">IF(#REF!="","",VLOOKUP(#REF!,ФиКод[],9,0))</f>
        <v>#REF!</v>
      </c>
      <c r="F1289" s="1" t="e">
        <f aca="false">IF(#REF!="","",VLOOKUP(#REF!,ФиКод[],10,0))</f>
        <v>#REF!</v>
      </c>
    </row>
    <row r="1290" customFormat="false" ht="12.75" hidden="false" customHeight="false" outlineLevel="0" collapsed="false">
      <c r="A1290" s="1" t="e">
        <f aca="false">IF(#REF!="","",VLOOKUP(#REF!,ФиКод[],8,0))</f>
        <v>#REF!</v>
      </c>
      <c r="E1290" s="1" t="e">
        <f aca="false">IF(#REF!="","",VLOOKUP(#REF!,ФиКод[],9,0))</f>
        <v>#REF!</v>
      </c>
      <c r="F1290" s="1" t="e">
        <f aca="false">IF(#REF!="","",VLOOKUP(#REF!,ФиКод[],10,0))</f>
        <v>#REF!</v>
      </c>
    </row>
    <row r="1291" customFormat="false" ht="12.75" hidden="false" customHeight="false" outlineLevel="0" collapsed="false">
      <c r="A1291" s="1" t="e">
        <f aca="false">IF(#REF!="","",VLOOKUP(#REF!,ФиКод[],8,0))</f>
        <v>#REF!</v>
      </c>
      <c r="E1291" s="1" t="e">
        <f aca="false">IF(#REF!="","",VLOOKUP(#REF!,ФиКод[],9,0))</f>
        <v>#REF!</v>
      </c>
      <c r="F1291" s="1" t="e">
        <f aca="false">IF(#REF!="","",VLOOKUP(#REF!,ФиКод[],10,0))</f>
        <v>#REF!</v>
      </c>
    </row>
    <row r="1292" customFormat="false" ht="12.75" hidden="false" customHeight="false" outlineLevel="0" collapsed="false">
      <c r="A1292" s="1" t="e">
        <f aca="false">IF(#REF!="","",VLOOKUP(#REF!,ФиКод[],8,0))</f>
        <v>#REF!</v>
      </c>
      <c r="E1292" s="1" t="e">
        <f aca="false">IF(#REF!="","",VLOOKUP(#REF!,ФиКод[],9,0))</f>
        <v>#REF!</v>
      </c>
      <c r="F1292" s="1" t="e">
        <f aca="false">IF(#REF!="","",VLOOKUP(#REF!,ФиКод[],10,0))</f>
        <v>#REF!</v>
      </c>
    </row>
    <row r="1293" customFormat="false" ht="12.75" hidden="false" customHeight="false" outlineLevel="0" collapsed="false">
      <c r="A1293" s="1" t="e">
        <f aca="false">IF(#REF!="","",VLOOKUP(#REF!,ФиКод[],8,0))</f>
        <v>#REF!</v>
      </c>
      <c r="E1293" s="1" t="e">
        <f aca="false">IF(#REF!="","",VLOOKUP(#REF!,ФиКод[],9,0))</f>
        <v>#REF!</v>
      </c>
      <c r="F1293" s="1" t="e">
        <f aca="false">IF(#REF!="","",VLOOKUP(#REF!,ФиКод[],10,0))</f>
        <v>#REF!</v>
      </c>
    </row>
    <row r="1294" customFormat="false" ht="12.75" hidden="false" customHeight="false" outlineLevel="0" collapsed="false">
      <c r="A1294" s="1" t="e">
        <f aca="false">IF(#REF!="","",VLOOKUP(#REF!,ФиКод[],8,0))</f>
        <v>#REF!</v>
      </c>
      <c r="E1294" s="1" t="e">
        <f aca="false">IF(#REF!="","",VLOOKUP(#REF!,ФиКод[],9,0))</f>
        <v>#REF!</v>
      </c>
      <c r="F1294" s="1" t="e">
        <f aca="false">IF(#REF!="","",VLOOKUP(#REF!,ФиКод[],10,0))</f>
        <v>#REF!</v>
      </c>
    </row>
    <row r="1295" customFormat="false" ht="12.75" hidden="false" customHeight="false" outlineLevel="0" collapsed="false">
      <c r="A1295" s="1" t="e">
        <f aca="false">IF(#REF!="","",VLOOKUP(#REF!,ФиКод[],8,0))</f>
        <v>#REF!</v>
      </c>
      <c r="E1295" s="1" t="e">
        <f aca="false">IF(#REF!="","",VLOOKUP(#REF!,ФиКод[],9,0))</f>
        <v>#REF!</v>
      </c>
      <c r="F1295" s="1" t="e">
        <f aca="false">IF(#REF!="","",VLOOKUP(#REF!,ФиКод[],10,0))</f>
        <v>#REF!</v>
      </c>
    </row>
    <row r="1296" customFormat="false" ht="12.75" hidden="false" customHeight="false" outlineLevel="0" collapsed="false">
      <c r="A1296" s="1" t="e">
        <f aca="false">IF(#REF!="","",VLOOKUP(#REF!,ФиКод[],8,0))</f>
        <v>#REF!</v>
      </c>
      <c r="E1296" s="1" t="e">
        <f aca="false">IF(#REF!="","",VLOOKUP(#REF!,ФиКод[],9,0))</f>
        <v>#REF!</v>
      </c>
      <c r="F1296" s="1" t="e">
        <f aca="false">IF(#REF!="","",VLOOKUP(#REF!,ФиКод[],10,0))</f>
        <v>#REF!</v>
      </c>
    </row>
    <row r="1297" customFormat="false" ht="12.75" hidden="false" customHeight="false" outlineLevel="0" collapsed="false">
      <c r="A1297" s="1" t="e">
        <f aca="false">IF(#REF!="","",VLOOKUP(#REF!,ФиКод[],8,0))</f>
        <v>#REF!</v>
      </c>
      <c r="E1297" s="1" t="e">
        <f aca="false">IF(#REF!="","",VLOOKUP(#REF!,ФиКод[],9,0))</f>
        <v>#REF!</v>
      </c>
      <c r="F1297" s="1" t="e">
        <f aca="false">IF(#REF!="","",VLOOKUP(#REF!,ФиКод[],10,0))</f>
        <v>#REF!</v>
      </c>
    </row>
    <row r="1298" customFormat="false" ht="12.75" hidden="false" customHeight="false" outlineLevel="0" collapsed="false">
      <c r="A1298" s="1" t="e">
        <f aca="false">IF(#REF!="","",VLOOKUP(#REF!,ФиКод[],8,0))</f>
        <v>#REF!</v>
      </c>
      <c r="E1298" s="1" t="e">
        <f aca="false">IF(#REF!="","",VLOOKUP(#REF!,ФиКод[],9,0))</f>
        <v>#REF!</v>
      </c>
      <c r="F1298" s="1" t="e">
        <f aca="false">IF(#REF!="","",VLOOKUP(#REF!,ФиКод[],10,0))</f>
        <v>#REF!</v>
      </c>
    </row>
    <row r="1299" customFormat="false" ht="12.75" hidden="false" customHeight="false" outlineLevel="0" collapsed="false">
      <c r="A1299" s="1" t="e">
        <f aca="false">IF(#REF!="","",VLOOKUP(#REF!,ФиКод[],8,0))</f>
        <v>#REF!</v>
      </c>
      <c r="E1299" s="1" t="e">
        <f aca="false">IF(#REF!="","",VLOOKUP(#REF!,ФиКод[],9,0))</f>
        <v>#REF!</v>
      </c>
      <c r="F1299" s="1" t="e">
        <f aca="false">IF(#REF!="","",VLOOKUP(#REF!,ФиКод[],10,0))</f>
        <v>#REF!</v>
      </c>
    </row>
    <row r="1300" customFormat="false" ht="12.75" hidden="false" customHeight="false" outlineLevel="0" collapsed="false">
      <c r="A1300" s="1" t="e">
        <f aca="false">IF(#REF!="","",VLOOKUP(#REF!,ФиКод[],8,0))</f>
        <v>#REF!</v>
      </c>
      <c r="E1300" s="1" t="e">
        <f aca="false">IF(#REF!="","",VLOOKUP(#REF!,ФиКод[],9,0))</f>
        <v>#REF!</v>
      </c>
      <c r="F1300" s="1" t="e">
        <f aca="false">IF(#REF!="","",VLOOKUP(#REF!,ФиКод[],10,0))</f>
        <v>#REF!</v>
      </c>
    </row>
    <row r="1301" customFormat="false" ht="12.75" hidden="false" customHeight="false" outlineLevel="0" collapsed="false">
      <c r="A1301" s="1" t="e">
        <f aca="false">IF(#REF!="","",VLOOKUP(#REF!,ФиКод[],8,0))</f>
        <v>#REF!</v>
      </c>
      <c r="E1301" s="1" t="e">
        <f aca="false">IF(#REF!="","",VLOOKUP(#REF!,ФиКод[],9,0))</f>
        <v>#REF!</v>
      </c>
      <c r="F1301" s="1" t="e">
        <f aca="false">IF(#REF!="","",VLOOKUP(#REF!,ФиКод[],10,0))</f>
        <v>#REF!</v>
      </c>
    </row>
    <row r="1302" customFormat="false" ht="12.75" hidden="false" customHeight="false" outlineLevel="0" collapsed="false">
      <c r="A1302" s="1" t="e">
        <f aca="false">IF(#REF!="","",VLOOKUP(#REF!,ФиКод[],8,0))</f>
        <v>#REF!</v>
      </c>
      <c r="E1302" s="1" t="e">
        <f aca="false">IF(#REF!="","",VLOOKUP(#REF!,ФиКод[],9,0))</f>
        <v>#REF!</v>
      </c>
      <c r="F1302" s="1" t="e">
        <f aca="false">IF(#REF!="","",VLOOKUP(#REF!,ФиКод[],10,0))</f>
        <v>#REF!</v>
      </c>
    </row>
    <row r="1303" customFormat="false" ht="12.75" hidden="false" customHeight="false" outlineLevel="0" collapsed="false">
      <c r="A1303" s="1" t="e">
        <f aca="false">IF(#REF!="","",VLOOKUP(#REF!,ФиКод[],8,0))</f>
        <v>#REF!</v>
      </c>
      <c r="E1303" s="1" t="e">
        <f aca="false">IF(#REF!="","",VLOOKUP(#REF!,ФиКод[],9,0))</f>
        <v>#REF!</v>
      </c>
      <c r="F1303" s="1" t="e">
        <f aca="false">IF(#REF!="","",VLOOKUP(#REF!,ФиКод[],10,0))</f>
        <v>#REF!</v>
      </c>
    </row>
    <row r="1304" customFormat="false" ht="12.75" hidden="false" customHeight="false" outlineLevel="0" collapsed="false">
      <c r="A1304" s="1" t="e">
        <f aca="false">IF(#REF!="","",VLOOKUP(#REF!,ФиКод[],8,0))</f>
        <v>#REF!</v>
      </c>
      <c r="E1304" s="1" t="e">
        <f aca="false">IF(#REF!="","",VLOOKUP(#REF!,ФиКод[],9,0))</f>
        <v>#REF!</v>
      </c>
      <c r="F1304" s="1" t="e">
        <f aca="false">IF(#REF!="","",VLOOKUP(#REF!,ФиКод[],10,0))</f>
        <v>#REF!</v>
      </c>
    </row>
    <row r="1305" customFormat="false" ht="12.75" hidden="false" customHeight="false" outlineLevel="0" collapsed="false">
      <c r="A1305" s="1" t="e">
        <f aca="false">IF(#REF!="","",VLOOKUP(#REF!,ФиКод[],8,0))</f>
        <v>#REF!</v>
      </c>
      <c r="E1305" s="1" t="e">
        <f aca="false">IF(#REF!="","",VLOOKUP(#REF!,ФиКод[],9,0))</f>
        <v>#REF!</v>
      </c>
      <c r="F1305" s="1" t="e">
        <f aca="false">IF(#REF!="","",VLOOKUP(#REF!,ФиКод[],10,0))</f>
        <v>#REF!</v>
      </c>
    </row>
    <row r="1306" customFormat="false" ht="12.75" hidden="false" customHeight="false" outlineLevel="0" collapsed="false">
      <c r="A1306" s="1" t="e">
        <f aca="false">IF(#REF!="","",VLOOKUP(#REF!,ФиКод[],8,0))</f>
        <v>#REF!</v>
      </c>
      <c r="E1306" s="1" t="e">
        <f aca="false">IF(#REF!="","",VLOOKUP(#REF!,ФиКод[],9,0))</f>
        <v>#REF!</v>
      </c>
      <c r="F1306" s="1" t="e">
        <f aca="false">IF(#REF!="","",VLOOKUP(#REF!,ФиКод[],10,0))</f>
        <v>#REF!</v>
      </c>
    </row>
    <row r="1307" customFormat="false" ht="12.75" hidden="false" customHeight="false" outlineLevel="0" collapsed="false">
      <c r="A1307" s="1" t="e">
        <f aca="false">IF(#REF!="","",VLOOKUP(#REF!,ФиКод[],8,0))</f>
        <v>#REF!</v>
      </c>
      <c r="E1307" s="1" t="e">
        <f aca="false">IF(#REF!="","",VLOOKUP(#REF!,ФиКод[],9,0))</f>
        <v>#REF!</v>
      </c>
      <c r="F1307" s="1" t="e">
        <f aca="false">IF(#REF!="","",VLOOKUP(#REF!,ФиКод[],10,0))</f>
        <v>#REF!</v>
      </c>
    </row>
    <row r="1308" customFormat="false" ht="12.75" hidden="false" customHeight="false" outlineLevel="0" collapsed="false">
      <c r="A1308" s="1" t="e">
        <f aca="false">IF(#REF!="","",VLOOKUP(#REF!,ФиКод[],8,0))</f>
        <v>#REF!</v>
      </c>
      <c r="E1308" s="1" t="e">
        <f aca="false">IF(#REF!="","",VLOOKUP(#REF!,ФиКод[],9,0))</f>
        <v>#REF!</v>
      </c>
      <c r="F1308" s="1" t="e">
        <f aca="false">IF(#REF!="","",VLOOKUP(#REF!,ФиКод[],10,0))</f>
        <v>#REF!</v>
      </c>
    </row>
    <row r="1309" customFormat="false" ht="12.75" hidden="false" customHeight="false" outlineLevel="0" collapsed="false">
      <c r="A1309" s="1" t="e">
        <f aca="false">IF(#REF!="","",VLOOKUP(#REF!,ФиКод[],8,0))</f>
        <v>#REF!</v>
      </c>
      <c r="E1309" s="1" t="e">
        <f aca="false">IF(#REF!="","",VLOOKUP(#REF!,ФиКод[],9,0))</f>
        <v>#REF!</v>
      </c>
      <c r="F1309" s="1" t="e">
        <f aca="false">IF(#REF!="","",VLOOKUP(#REF!,ФиКод[],10,0))</f>
        <v>#REF!</v>
      </c>
    </row>
    <row r="1310" customFormat="false" ht="12.75" hidden="false" customHeight="false" outlineLevel="0" collapsed="false">
      <c r="A1310" s="1" t="e">
        <f aca="false">IF(#REF!="","",VLOOKUP(#REF!,ФиКод[],8,0))</f>
        <v>#REF!</v>
      </c>
      <c r="E1310" s="1" t="e">
        <f aca="false">IF(#REF!="","",VLOOKUP(#REF!,ФиКод[],9,0))</f>
        <v>#REF!</v>
      </c>
      <c r="F1310" s="1" t="e">
        <f aca="false">IF(#REF!="","",VLOOKUP(#REF!,ФиКод[],10,0))</f>
        <v>#REF!</v>
      </c>
    </row>
    <row r="1311" customFormat="false" ht="12.75" hidden="false" customHeight="false" outlineLevel="0" collapsed="false">
      <c r="A1311" s="1" t="e">
        <f aca="false">IF(#REF!="","",VLOOKUP(#REF!,ФиКод[],8,0))</f>
        <v>#REF!</v>
      </c>
      <c r="E1311" s="1" t="e">
        <f aca="false">IF(#REF!="","",VLOOKUP(#REF!,ФиКод[],9,0))</f>
        <v>#REF!</v>
      </c>
      <c r="F1311" s="1" t="e">
        <f aca="false">IF(#REF!="","",VLOOKUP(#REF!,ФиКод[],10,0))</f>
        <v>#REF!</v>
      </c>
    </row>
    <row r="1312" customFormat="false" ht="12.75" hidden="false" customHeight="false" outlineLevel="0" collapsed="false">
      <c r="A1312" s="1" t="e">
        <f aca="false">IF(#REF!="","",VLOOKUP(#REF!,ФиКод[],8,0))</f>
        <v>#REF!</v>
      </c>
      <c r="E1312" s="1" t="e">
        <f aca="false">IF(#REF!="","",VLOOKUP(#REF!,ФиКод[],9,0))</f>
        <v>#REF!</v>
      </c>
      <c r="F1312" s="1" t="e">
        <f aca="false">IF(#REF!="","",VLOOKUP(#REF!,ФиКод[],10,0))</f>
        <v>#REF!</v>
      </c>
    </row>
    <row r="1313" customFormat="false" ht="12.75" hidden="false" customHeight="false" outlineLevel="0" collapsed="false">
      <c r="A1313" s="1" t="e">
        <f aca="false">IF(#REF!="","",VLOOKUP(#REF!,ФиКод[],8,0))</f>
        <v>#REF!</v>
      </c>
      <c r="E1313" s="1" t="e">
        <f aca="false">IF(#REF!="","",VLOOKUP(#REF!,ФиКод[],9,0))</f>
        <v>#REF!</v>
      </c>
      <c r="F1313" s="1" t="e">
        <f aca="false">IF(#REF!="","",VLOOKUP(#REF!,ФиКод[],10,0))</f>
        <v>#REF!</v>
      </c>
    </row>
    <row r="1314" customFormat="false" ht="12.75" hidden="false" customHeight="false" outlineLevel="0" collapsed="false">
      <c r="A1314" s="1" t="e">
        <f aca="false">IF(#REF!="","",VLOOKUP(#REF!,ФиКод[],8,0))</f>
        <v>#REF!</v>
      </c>
      <c r="E1314" s="1" t="e">
        <f aca="false">IF(#REF!="","",VLOOKUP(#REF!,ФиКод[],9,0))</f>
        <v>#REF!</v>
      </c>
      <c r="F1314" s="1" t="e">
        <f aca="false">IF(#REF!="","",VLOOKUP(#REF!,ФиКод[],10,0))</f>
        <v>#REF!</v>
      </c>
    </row>
    <row r="1315" customFormat="false" ht="12.75" hidden="false" customHeight="false" outlineLevel="0" collapsed="false">
      <c r="A1315" s="1" t="e">
        <f aca="false">IF(#REF!="","",VLOOKUP(#REF!,ФиКод[],8,0))</f>
        <v>#REF!</v>
      </c>
      <c r="E1315" s="1" t="e">
        <f aca="false">IF(#REF!="","",VLOOKUP(#REF!,ФиКод[],9,0))</f>
        <v>#REF!</v>
      </c>
      <c r="F1315" s="1" t="e">
        <f aca="false">IF(#REF!="","",VLOOKUP(#REF!,ФиКод[],10,0))</f>
        <v>#REF!</v>
      </c>
    </row>
    <row r="1316" customFormat="false" ht="12.75" hidden="false" customHeight="false" outlineLevel="0" collapsed="false">
      <c r="A1316" s="1" t="e">
        <f aca="false">IF(#REF!="","",VLOOKUP(#REF!,ФиКод[],8,0))</f>
        <v>#REF!</v>
      </c>
      <c r="E1316" s="1" t="e">
        <f aca="false">IF(#REF!="","",VLOOKUP(#REF!,ФиКод[],9,0))</f>
        <v>#REF!</v>
      </c>
      <c r="F1316" s="1" t="e">
        <f aca="false">IF(#REF!="","",VLOOKUP(#REF!,ФиКод[],10,0))</f>
        <v>#REF!</v>
      </c>
    </row>
    <row r="1317" customFormat="false" ht="12.75" hidden="false" customHeight="false" outlineLevel="0" collapsed="false">
      <c r="A1317" s="1" t="e">
        <f aca="false">IF(#REF!="","",VLOOKUP(#REF!,ФиКод[],8,0))</f>
        <v>#REF!</v>
      </c>
      <c r="E1317" s="1" t="e">
        <f aca="false">IF(#REF!="","",VLOOKUP(#REF!,ФиКод[],9,0))</f>
        <v>#REF!</v>
      </c>
      <c r="F1317" s="1" t="e">
        <f aca="false">IF(#REF!="","",VLOOKUP(#REF!,ФиКод[],10,0))</f>
        <v>#REF!</v>
      </c>
    </row>
    <row r="1318" customFormat="false" ht="12.75" hidden="false" customHeight="false" outlineLevel="0" collapsed="false">
      <c r="A1318" s="1" t="e">
        <f aca="false">IF(#REF!="","",VLOOKUP(#REF!,ФиКод[],8,0))</f>
        <v>#REF!</v>
      </c>
      <c r="E1318" s="1" t="e">
        <f aca="false">IF(#REF!="","",VLOOKUP(#REF!,ФиКод[],9,0))</f>
        <v>#REF!</v>
      </c>
      <c r="F1318" s="1" t="e">
        <f aca="false">IF(#REF!="","",VLOOKUP(#REF!,ФиКод[],10,0))</f>
        <v>#REF!</v>
      </c>
    </row>
    <row r="1319" customFormat="false" ht="12.75" hidden="false" customHeight="false" outlineLevel="0" collapsed="false">
      <c r="A1319" s="1" t="e">
        <f aca="false">IF(#REF!="","",VLOOKUP(#REF!,ФиКод[],8,0))</f>
        <v>#REF!</v>
      </c>
      <c r="E1319" s="1" t="e">
        <f aca="false">IF(#REF!="","",VLOOKUP(#REF!,ФиКод[],9,0))</f>
        <v>#REF!</v>
      </c>
      <c r="F1319" s="1" t="e">
        <f aca="false">IF(#REF!="","",VLOOKUP(#REF!,ФиКод[],10,0))</f>
        <v>#REF!</v>
      </c>
    </row>
    <row r="1320" customFormat="false" ht="12.75" hidden="false" customHeight="false" outlineLevel="0" collapsed="false">
      <c r="A1320" s="1" t="e">
        <f aca="false">IF(#REF!="","",VLOOKUP(#REF!,ФиКод[],8,0))</f>
        <v>#REF!</v>
      </c>
      <c r="E1320" s="1" t="e">
        <f aca="false">IF(#REF!="","",VLOOKUP(#REF!,ФиКод[],9,0))</f>
        <v>#REF!</v>
      </c>
      <c r="F1320" s="1" t="e">
        <f aca="false">IF(#REF!="","",VLOOKUP(#REF!,ФиКод[],10,0))</f>
        <v>#REF!</v>
      </c>
    </row>
    <row r="1321" customFormat="false" ht="12.75" hidden="false" customHeight="false" outlineLevel="0" collapsed="false">
      <c r="A1321" s="1" t="e">
        <f aca="false">IF(#REF!="","",VLOOKUP(#REF!,ФиКод[],8,0))</f>
        <v>#REF!</v>
      </c>
      <c r="E1321" s="1" t="e">
        <f aca="false">IF(#REF!="","",VLOOKUP(#REF!,ФиКод[],9,0))</f>
        <v>#REF!</v>
      </c>
      <c r="F1321" s="1" t="e">
        <f aca="false">IF(#REF!="","",VLOOKUP(#REF!,ФиКод[],10,0))</f>
        <v>#REF!</v>
      </c>
    </row>
    <row r="1322" customFormat="false" ht="12.75" hidden="false" customHeight="false" outlineLevel="0" collapsed="false">
      <c r="A1322" s="1" t="e">
        <f aca="false">IF(#REF!="","",VLOOKUP(#REF!,ФиКод[],8,0))</f>
        <v>#REF!</v>
      </c>
      <c r="E1322" s="1" t="e">
        <f aca="false">IF(#REF!="","",VLOOKUP(#REF!,ФиКод[],9,0))</f>
        <v>#REF!</v>
      </c>
      <c r="F1322" s="1" t="e">
        <f aca="false">IF(#REF!="","",VLOOKUP(#REF!,ФиКод[],10,0))</f>
        <v>#REF!</v>
      </c>
    </row>
    <row r="1323" customFormat="false" ht="12.75" hidden="false" customHeight="false" outlineLevel="0" collapsed="false">
      <c r="A1323" s="1" t="e">
        <f aca="false">IF(#REF!="","",VLOOKUP(#REF!,ФиКод[],8,0))</f>
        <v>#REF!</v>
      </c>
      <c r="E1323" s="1" t="e">
        <f aca="false">IF(#REF!="","",VLOOKUP(#REF!,ФиКод[],9,0))</f>
        <v>#REF!</v>
      </c>
      <c r="F1323" s="1" t="e">
        <f aca="false">IF(#REF!="","",VLOOKUP(#REF!,ФиКод[],10,0))</f>
        <v>#REF!</v>
      </c>
    </row>
    <row r="1324" customFormat="false" ht="12.75" hidden="false" customHeight="false" outlineLevel="0" collapsed="false">
      <c r="A1324" s="1" t="e">
        <f aca="false">IF(#REF!="","",VLOOKUP(#REF!,ФиКод[],8,0))</f>
        <v>#REF!</v>
      </c>
      <c r="E1324" s="1" t="e">
        <f aca="false">IF(#REF!="","",VLOOKUP(#REF!,ФиКод[],9,0))</f>
        <v>#REF!</v>
      </c>
      <c r="F1324" s="1" t="e">
        <f aca="false">IF(#REF!="","",VLOOKUP(#REF!,ФиКод[],10,0))</f>
        <v>#REF!</v>
      </c>
    </row>
    <row r="1325" customFormat="false" ht="12.75" hidden="false" customHeight="false" outlineLevel="0" collapsed="false">
      <c r="A1325" s="1" t="e">
        <f aca="false">IF(#REF!="","",VLOOKUP(#REF!,ФиКод[],8,0))</f>
        <v>#REF!</v>
      </c>
      <c r="E1325" s="1" t="e">
        <f aca="false">IF(#REF!="","",VLOOKUP(#REF!,ФиКод[],9,0))</f>
        <v>#REF!</v>
      </c>
      <c r="F1325" s="1" t="e">
        <f aca="false">IF(#REF!="","",VLOOKUP(#REF!,ФиКод[],10,0))</f>
        <v>#REF!</v>
      </c>
    </row>
    <row r="1326" customFormat="false" ht="12.75" hidden="false" customHeight="false" outlineLevel="0" collapsed="false">
      <c r="A1326" s="1" t="e">
        <f aca="false">IF(#REF!="","",VLOOKUP(#REF!,ФиКод[],8,0))</f>
        <v>#REF!</v>
      </c>
      <c r="E1326" s="1" t="e">
        <f aca="false">IF(#REF!="","",VLOOKUP(#REF!,ФиКод[],9,0))</f>
        <v>#REF!</v>
      </c>
      <c r="F1326" s="1" t="e">
        <f aca="false">IF(#REF!="","",VLOOKUP(#REF!,ФиКод[],10,0))</f>
        <v>#REF!</v>
      </c>
    </row>
    <row r="1327" customFormat="false" ht="12.75" hidden="false" customHeight="false" outlineLevel="0" collapsed="false">
      <c r="A1327" s="1" t="e">
        <f aca="false">IF(#REF!="","",VLOOKUP(#REF!,ФиКод[],8,0))</f>
        <v>#REF!</v>
      </c>
      <c r="E1327" s="1" t="e">
        <f aca="false">IF(#REF!="","",VLOOKUP(#REF!,ФиКод[],9,0))</f>
        <v>#REF!</v>
      </c>
      <c r="F1327" s="1" t="e">
        <f aca="false">IF(#REF!="","",VLOOKUP(#REF!,ФиКод[],10,0))</f>
        <v>#REF!</v>
      </c>
    </row>
    <row r="1328" customFormat="false" ht="12.75" hidden="false" customHeight="false" outlineLevel="0" collapsed="false">
      <c r="A1328" s="1" t="e">
        <f aca="false">IF(#REF!="","",VLOOKUP(#REF!,ФиКод[],8,0))</f>
        <v>#REF!</v>
      </c>
      <c r="E1328" s="1" t="e">
        <f aca="false">IF(#REF!="","",VLOOKUP(#REF!,ФиКод[],9,0))</f>
        <v>#REF!</v>
      </c>
      <c r="F1328" s="1" t="e">
        <f aca="false">IF(#REF!="","",VLOOKUP(#REF!,ФиКод[],10,0))</f>
        <v>#REF!</v>
      </c>
    </row>
    <row r="1329" customFormat="false" ht="12.75" hidden="false" customHeight="false" outlineLevel="0" collapsed="false">
      <c r="A1329" s="1" t="e">
        <f aca="false">IF(#REF!="","",VLOOKUP(#REF!,ФиКод[],8,0))</f>
        <v>#REF!</v>
      </c>
      <c r="E1329" s="1" t="e">
        <f aca="false">IF(#REF!="","",VLOOKUP(#REF!,ФиКод[],9,0))</f>
        <v>#REF!</v>
      </c>
      <c r="F1329" s="1" t="e">
        <f aca="false">IF(#REF!="","",VLOOKUP(#REF!,ФиКод[],10,0))</f>
        <v>#REF!</v>
      </c>
    </row>
    <row r="1330" customFormat="false" ht="12.75" hidden="false" customHeight="false" outlineLevel="0" collapsed="false">
      <c r="A1330" s="1" t="e">
        <f aca="false">IF(#REF!="","",VLOOKUP(#REF!,ФиКод[],8,0))</f>
        <v>#REF!</v>
      </c>
      <c r="E1330" s="1" t="e">
        <f aca="false">IF(#REF!="","",VLOOKUP(#REF!,ФиКод[],9,0))</f>
        <v>#REF!</v>
      </c>
      <c r="F1330" s="1" t="e">
        <f aca="false">IF(#REF!="","",VLOOKUP(#REF!,ФиКод[],10,0))</f>
        <v>#REF!</v>
      </c>
    </row>
    <row r="1331" customFormat="false" ht="12.75" hidden="false" customHeight="false" outlineLevel="0" collapsed="false">
      <c r="A1331" s="1" t="e">
        <f aca="false">IF(#REF!="","",VLOOKUP(#REF!,ФиКод[],8,0))</f>
        <v>#REF!</v>
      </c>
      <c r="E1331" s="1" t="e">
        <f aca="false">IF(#REF!="","",VLOOKUP(#REF!,ФиКод[],9,0))</f>
        <v>#REF!</v>
      </c>
      <c r="F1331" s="1" t="e">
        <f aca="false">IF(#REF!="","",VLOOKUP(#REF!,ФиКод[],10,0))</f>
        <v>#REF!</v>
      </c>
    </row>
    <row r="1332" customFormat="false" ht="12.75" hidden="false" customHeight="false" outlineLevel="0" collapsed="false">
      <c r="A1332" s="1" t="e">
        <f aca="false">IF(#REF!="","",VLOOKUP(#REF!,ФиКод[],8,0))</f>
        <v>#REF!</v>
      </c>
      <c r="E1332" s="1" t="e">
        <f aca="false">IF(#REF!="","",VLOOKUP(#REF!,ФиКод[],9,0))</f>
        <v>#REF!</v>
      </c>
      <c r="F1332" s="1" t="e">
        <f aca="false">IF(#REF!="","",VLOOKUP(#REF!,ФиКод[],10,0))</f>
        <v>#REF!</v>
      </c>
    </row>
    <row r="1333" customFormat="false" ht="12.75" hidden="false" customHeight="false" outlineLevel="0" collapsed="false">
      <c r="A1333" s="1" t="e">
        <f aca="false">IF(#REF!="","",VLOOKUP(#REF!,ФиКод[],8,0))</f>
        <v>#REF!</v>
      </c>
      <c r="E1333" s="1" t="e">
        <f aca="false">IF(#REF!="","",VLOOKUP(#REF!,ФиКод[],9,0))</f>
        <v>#REF!</v>
      </c>
      <c r="F1333" s="1" t="e">
        <f aca="false">IF(#REF!="","",VLOOKUP(#REF!,ФиКод[],10,0))</f>
        <v>#REF!</v>
      </c>
    </row>
    <row r="1334" customFormat="false" ht="12.75" hidden="false" customHeight="false" outlineLevel="0" collapsed="false">
      <c r="A1334" s="1" t="e">
        <f aca="false">IF(#REF!="","",VLOOKUP(#REF!,ФиКод[],8,0))</f>
        <v>#REF!</v>
      </c>
      <c r="E1334" s="1" t="e">
        <f aca="false">IF(#REF!="","",VLOOKUP(#REF!,ФиКод[],9,0))</f>
        <v>#REF!</v>
      </c>
      <c r="F1334" s="1" t="e">
        <f aca="false">IF(#REF!="","",VLOOKUP(#REF!,ФиКод[],10,0))</f>
        <v>#REF!</v>
      </c>
    </row>
    <row r="1335" customFormat="false" ht="12.75" hidden="false" customHeight="false" outlineLevel="0" collapsed="false">
      <c r="A1335" s="1" t="e">
        <f aca="false">IF(#REF!="","",VLOOKUP(#REF!,ФиКод[],8,0))</f>
        <v>#REF!</v>
      </c>
      <c r="E1335" s="1" t="e">
        <f aca="false">IF(#REF!="","",VLOOKUP(#REF!,ФиКод[],9,0))</f>
        <v>#REF!</v>
      </c>
      <c r="F1335" s="1" t="e">
        <f aca="false">IF(#REF!="","",VLOOKUP(#REF!,ФиКод[],10,0))</f>
        <v>#REF!</v>
      </c>
    </row>
    <row r="1336" customFormat="false" ht="12.75" hidden="false" customHeight="false" outlineLevel="0" collapsed="false">
      <c r="A1336" s="1" t="e">
        <f aca="false">IF(#REF!="","",VLOOKUP(#REF!,ФиКод[],8,0))</f>
        <v>#REF!</v>
      </c>
      <c r="E1336" s="1" t="e">
        <f aca="false">IF(#REF!="","",VLOOKUP(#REF!,ФиКод[],9,0))</f>
        <v>#REF!</v>
      </c>
      <c r="F1336" s="1" t="e">
        <f aca="false">IF(#REF!="","",VLOOKUP(#REF!,ФиКод[],10,0))</f>
        <v>#REF!</v>
      </c>
    </row>
    <row r="1337" customFormat="false" ht="12.75" hidden="false" customHeight="false" outlineLevel="0" collapsed="false">
      <c r="A1337" s="1" t="e">
        <f aca="false">IF(#REF!="","",VLOOKUP(#REF!,ФиКод[],8,0))</f>
        <v>#REF!</v>
      </c>
      <c r="E1337" s="1" t="e">
        <f aca="false">IF(#REF!="","",VLOOKUP(#REF!,ФиКод[],9,0))</f>
        <v>#REF!</v>
      </c>
      <c r="F1337" s="1" t="e">
        <f aca="false">IF(#REF!="","",VLOOKUP(#REF!,ФиКод[],10,0))</f>
        <v>#REF!</v>
      </c>
    </row>
    <row r="1338" customFormat="false" ht="12.75" hidden="false" customHeight="false" outlineLevel="0" collapsed="false">
      <c r="A1338" s="1" t="e">
        <f aca="false">IF(#REF!="","",VLOOKUP(#REF!,ФиКод[],8,0))</f>
        <v>#REF!</v>
      </c>
      <c r="E1338" s="1" t="e">
        <f aca="false">IF(#REF!="","",VLOOKUP(#REF!,ФиКод[],9,0))</f>
        <v>#REF!</v>
      </c>
      <c r="F1338" s="1" t="e">
        <f aca="false">IF(#REF!="","",VLOOKUP(#REF!,ФиКод[],10,0))</f>
        <v>#REF!</v>
      </c>
    </row>
    <row r="1339" customFormat="false" ht="12.75" hidden="false" customHeight="false" outlineLevel="0" collapsed="false">
      <c r="A1339" s="1" t="e">
        <f aca="false">IF(#REF!="","",VLOOKUP(#REF!,ФиКод[],8,0))</f>
        <v>#REF!</v>
      </c>
      <c r="E1339" s="1" t="e">
        <f aca="false">IF(#REF!="","",VLOOKUP(#REF!,ФиКод[],9,0))</f>
        <v>#REF!</v>
      </c>
      <c r="F1339" s="1" t="e">
        <f aca="false">IF(#REF!="","",VLOOKUP(#REF!,ФиКод[],10,0))</f>
        <v>#REF!</v>
      </c>
    </row>
    <row r="1340" customFormat="false" ht="12.75" hidden="false" customHeight="false" outlineLevel="0" collapsed="false">
      <c r="A1340" s="1" t="e">
        <f aca="false">IF(#REF!="","",VLOOKUP(#REF!,ФиКод[],8,0))</f>
        <v>#REF!</v>
      </c>
      <c r="E1340" s="1" t="e">
        <f aca="false">IF(#REF!="","",VLOOKUP(#REF!,ФиКод[],9,0))</f>
        <v>#REF!</v>
      </c>
      <c r="F1340" s="1" t="e">
        <f aca="false">IF(#REF!="","",VLOOKUP(#REF!,ФиКод[],10,0))</f>
        <v>#REF!</v>
      </c>
    </row>
    <row r="1341" customFormat="false" ht="12.75" hidden="false" customHeight="false" outlineLevel="0" collapsed="false">
      <c r="A1341" s="1" t="e">
        <f aca="false">IF(#REF!="","",VLOOKUP(#REF!,ФиКод[],8,0))</f>
        <v>#REF!</v>
      </c>
      <c r="E1341" s="1" t="e">
        <f aca="false">IF(#REF!="","",VLOOKUP(#REF!,ФиКод[],9,0))</f>
        <v>#REF!</v>
      </c>
      <c r="F1341" s="1" t="e">
        <f aca="false">IF(#REF!="","",VLOOKUP(#REF!,ФиКод[],10,0))</f>
        <v>#REF!</v>
      </c>
    </row>
    <row r="1342" customFormat="false" ht="12.75" hidden="false" customHeight="false" outlineLevel="0" collapsed="false">
      <c r="A1342" s="1" t="e">
        <f aca="false">IF(#REF!="","",VLOOKUP(#REF!,ФиКод[],8,0))</f>
        <v>#REF!</v>
      </c>
      <c r="E1342" s="1" t="e">
        <f aca="false">IF(#REF!="","",VLOOKUP(#REF!,ФиКод[],9,0))</f>
        <v>#REF!</v>
      </c>
      <c r="F1342" s="1" t="e">
        <f aca="false">IF(#REF!="","",VLOOKUP(#REF!,ФиКод[],10,0))</f>
        <v>#REF!</v>
      </c>
    </row>
    <row r="1343" customFormat="false" ht="12.75" hidden="false" customHeight="false" outlineLevel="0" collapsed="false">
      <c r="A1343" s="1" t="e">
        <f aca="false">IF(#REF!="","",VLOOKUP(#REF!,ФиКод[],8,0))</f>
        <v>#REF!</v>
      </c>
      <c r="E1343" s="1" t="e">
        <f aca="false">IF(#REF!="","",VLOOKUP(#REF!,ФиКод[],9,0))</f>
        <v>#REF!</v>
      </c>
      <c r="F1343" s="1" t="e">
        <f aca="false">IF(#REF!="","",VLOOKUP(#REF!,ФиКод[],10,0))</f>
        <v>#REF!</v>
      </c>
    </row>
    <row r="1344" customFormat="false" ht="12.75" hidden="false" customHeight="false" outlineLevel="0" collapsed="false">
      <c r="A1344" s="1" t="e">
        <f aca="false">IF(#REF!="","",VLOOKUP(#REF!,ФиКод[],8,0))</f>
        <v>#REF!</v>
      </c>
      <c r="E1344" s="1" t="e">
        <f aca="false">IF(#REF!="","",VLOOKUP(#REF!,ФиКод[],9,0))</f>
        <v>#REF!</v>
      </c>
      <c r="F1344" s="1" t="e">
        <f aca="false">IF(#REF!="","",VLOOKUP(#REF!,ФиКод[],10,0))</f>
        <v>#REF!</v>
      </c>
    </row>
    <row r="1345" customFormat="false" ht="12.75" hidden="false" customHeight="false" outlineLevel="0" collapsed="false">
      <c r="A1345" s="1" t="e">
        <f aca="false">IF(#REF!="","",VLOOKUP(#REF!,ФиКод[],8,0))</f>
        <v>#REF!</v>
      </c>
      <c r="E1345" s="1" t="e">
        <f aca="false">IF(#REF!="","",VLOOKUP(#REF!,ФиКод[],9,0))</f>
        <v>#REF!</v>
      </c>
      <c r="F1345" s="1" t="e">
        <f aca="false">IF(#REF!="","",VLOOKUP(#REF!,ФиКод[],10,0))</f>
        <v>#REF!</v>
      </c>
    </row>
    <row r="1346" customFormat="false" ht="12.75" hidden="false" customHeight="false" outlineLevel="0" collapsed="false">
      <c r="A1346" s="1" t="e">
        <f aca="false">IF(#REF!="","",VLOOKUP(#REF!,ФиКод[],8,0))</f>
        <v>#REF!</v>
      </c>
      <c r="E1346" s="1" t="e">
        <f aca="false">IF(#REF!="","",VLOOKUP(#REF!,ФиКод[],9,0))</f>
        <v>#REF!</v>
      </c>
      <c r="F1346" s="1" t="e">
        <f aca="false">IF(#REF!="","",VLOOKUP(#REF!,ФиКод[],10,0))</f>
        <v>#REF!</v>
      </c>
    </row>
    <row r="1347" customFormat="false" ht="12.75" hidden="false" customHeight="false" outlineLevel="0" collapsed="false">
      <c r="A1347" s="1" t="e">
        <f aca="false">IF(#REF!="","",VLOOKUP(#REF!,ФиКод[],8,0))</f>
        <v>#REF!</v>
      </c>
      <c r="E1347" s="1" t="e">
        <f aca="false">IF(#REF!="","",VLOOKUP(#REF!,ФиКод[],9,0))</f>
        <v>#REF!</v>
      </c>
      <c r="F1347" s="1" t="e">
        <f aca="false">IF(#REF!="","",VLOOKUP(#REF!,ФиКод[],10,0))</f>
        <v>#REF!</v>
      </c>
    </row>
    <row r="1348" customFormat="false" ht="12.75" hidden="false" customHeight="false" outlineLevel="0" collapsed="false">
      <c r="A1348" s="1" t="e">
        <f aca="false">IF(#REF!="","",VLOOKUP(#REF!,ФиКод[],8,0))</f>
        <v>#REF!</v>
      </c>
      <c r="E1348" s="1" t="e">
        <f aca="false">IF(#REF!="","",VLOOKUP(#REF!,ФиКод[],9,0))</f>
        <v>#REF!</v>
      </c>
      <c r="F1348" s="1" t="e">
        <f aca="false">IF(#REF!="","",VLOOKUP(#REF!,ФиКод[],10,0))</f>
        <v>#REF!</v>
      </c>
    </row>
    <row r="1349" customFormat="false" ht="12.75" hidden="false" customHeight="false" outlineLevel="0" collapsed="false">
      <c r="A1349" s="1" t="e">
        <f aca="false">IF(#REF!="","",VLOOKUP(#REF!,ФиКод[],8,0))</f>
        <v>#REF!</v>
      </c>
      <c r="E1349" s="1" t="e">
        <f aca="false">IF(#REF!="","",VLOOKUP(#REF!,ФиКод[],9,0))</f>
        <v>#REF!</v>
      </c>
      <c r="F1349" s="1" t="e">
        <f aca="false">IF(#REF!="","",VLOOKUP(#REF!,ФиКод[],10,0))</f>
        <v>#REF!</v>
      </c>
    </row>
    <row r="1350" customFormat="false" ht="12.75" hidden="false" customHeight="false" outlineLevel="0" collapsed="false">
      <c r="A1350" s="1" t="e">
        <f aca="false">IF(#REF!="","",VLOOKUP(#REF!,ФиКод[],8,0))</f>
        <v>#REF!</v>
      </c>
      <c r="E1350" s="1" t="e">
        <f aca="false">IF(#REF!="","",VLOOKUP(#REF!,ФиКод[],9,0))</f>
        <v>#REF!</v>
      </c>
      <c r="F1350" s="1" t="e">
        <f aca="false">IF(#REF!="","",VLOOKUP(#REF!,ФиКод[],10,0))</f>
        <v>#REF!</v>
      </c>
    </row>
    <row r="1351" customFormat="false" ht="12.75" hidden="false" customHeight="false" outlineLevel="0" collapsed="false">
      <c r="A1351" s="1" t="e">
        <f aca="false">IF(#REF!="","",VLOOKUP(#REF!,ФиКод[],8,0))</f>
        <v>#REF!</v>
      </c>
      <c r="E1351" s="1" t="e">
        <f aca="false">IF(#REF!="","",VLOOKUP(#REF!,ФиКод[],9,0))</f>
        <v>#REF!</v>
      </c>
      <c r="F1351" s="1" t="e">
        <f aca="false">IF(#REF!="","",VLOOKUP(#REF!,ФиКод[],10,0))</f>
        <v>#REF!</v>
      </c>
    </row>
    <row r="1352" customFormat="false" ht="12.75" hidden="false" customHeight="false" outlineLevel="0" collapsed="false">
      <c r="A1352" s="1" t="e">
        <f aca="false">IF(#REF!="","",VLOOKUP(#REF!,ФиКод[],8,0))</f>
        <v>#REF!</v>
      </c>
      <c r="E1352" s="1" t="e">
        <f aca="false">IF(#REF!="","",VLOOKUP(#REF!,ФиКод[],9,0))</f>
        <v>#REF!</v>
      </c>
      <c r="F1352" s="1" t="e">
        <f aca="false">IF(#REF!="","",VLOOKUP(#REF!,ФиКод[],10,0))</f>
        <v>#REF!</v>
      </c>
    </row>
    <row r="1353" customFormat="false" ht="12.75" hidden="false" customHeight="false" outlineLevel="0" collapsed="false">
      <c r="A1353" s="1" t="e">
        <f aca="false">IF(#REF!="","",VLOOKUP(#REF!,ФиКод[],8,0))</f>
        <v>#REF!</v>
      </c>
      <c r="E1353" s="1" t="e">
        <f aca="false">IF(#REF!="","",VLOOKUP(#REF!,ФиКод[],9,0))</f>
        <v>#REF!</v>
      </c>
      <c r="F1353" s="1" t="e">
        <f aca="false">IF(#REF!="","",VLOOKUP(#REF!,ФиКод[],10,0))</f>
        <v>#REF!</v>
      </c>
    </row>
    <row r="1354" customFormat="false" ht="12.75" hidden="false" customHeight="false" outlineLevel="0" collapsed="false">
      <c r="A1354" s="1" t="e">
        <f aca="false">IF(#REF!="","",VLOOKUP(#REF!,ФиКод[],8,0))</f>
        <v>#REF!</v>
      </c>
      <c r="E1354" s="1" t="e">
        <f aca="false">IF(#REF!="","",VLOOKUP(#REF!,ФиКод[],9,0))</f>
        <v>#REF!</v>
      </c>
      <c r="F1354" s="1" t="e">
        <f aca="false">IF(#REF!="","",VLOOKUP(#REF!,ФиКод[],10,0))</f>
        <v>#REF!</v>
      </c>
    </row>
    <row r="1355" customFormat="false" ht="12.75" hidden="false" customHeight="false" outlineLevel="0" collapsed="false">
      <c r="A1355" s="1" t="e">
        <f aca="false">IF(#REF!="","",VLOOKUP(#REF!,ФиКод[],8,0))</f>
        <v>#REF!</v>
      </c>
      <c r="E1355" s="1" t="e">
        <f aca="false">IF(#REF!="","",VLOOKUP(#REF!,ФиКод[],9,0))</f>
        <v>#REF!</v>
      </c>
      <c r="F1355" s="1" t="e">
        <f aca="false">IF(#REF!="","",VLOOKUP(#REF!,ФиКод[],10,0))</f>
        <v>#REF!</v>
      </c>
    </row>
    <row r="1356" customFormat="false" ht="12.75" hidden="false" customHeight="false" outlineLevel="0" collapsed="false">
      <c r="E1356" s="1" t="e">
        <f aca="false">IF(#REF!="","",VLOOKUP(#REF!,ФиКод[],9,0))</f>
        <v>#REF!</v>
      </c>
      <c r="F1356" s="1" t="e">
        <f aca="false">IF(#REF!="","",VLOOKUP(#REF!,ФиКод[],10,0))</f>
        <v>#REF!</v>
      </c>
    </row>
    <row r="1357" customFormat="false" ht="12.75" hidden="false" customHeight="false" outlineLevel="0" collapsed="false">
      <c r="F1357" s="1" t="e">
        <f aca="false">IF(#REF!="","",VLOOKUP(#REF!,ФиКод[],10,0))</f>
        <v>#REF!</v>
      </c>
    </row>
  </sheetData>
  <sheetProtection algorithmName="SHA-512" hashValue="gmhN88k6H3ML/eJeSH8Jg8D6vfVSajaZOHAWj4W5uBZFUcVuOfa/xMzowWw6HrX0vyzUa0XgDmWxhz1b3Wh65A==" saltValue="5zVOhZ3JwMhHTQo7jgq8gA==" spinCount="100000" sheet="true" objects="true" scenarios="true" formatCells="false" formatColumns="false" formatRows="false" insertColumns="false" insertRows="false" insertHyperlinks="false" deleteColumns="false" deleteRows="false" sort="false" autoFilter="false"/>
  <mergeCells count="2">
    <mergeCell ref="G4:H4"/>
    <mergeCell ref="I4:J4"/>
  </mergeCells>
  <conditionalFormatting sqref="E17">
    <cfRule type="cellIs" priority="2" operator="between" aboveAverage="0" equalAverage="0" bottom="0" percent="0" rank="0" text="" dxfId="5">
      <formula>"V"</formula>
      <formula>"v"</formula>
    </cfRule>
  </conditionalFormatting>
  <conditionalFormatting sqref="E5:E18">
    <cfRule type="cellIs" priority="3" operator="between" aboveAverage="0" equalAverage="0" bottom="0" percent="0" rank="0" text="" dxfId="6">
      <formula>"V"</formula>
      <formula>"v"</formula>
    </cfRule>
  </conditionalFormatting>
  <hyperlinks>
    <hyperlink ref="A2" r:id="rId1" display="mailto:5@USQ0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C7023"/>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A2" activeCellId="0" sqref="A2"/>
    </sheetView>
  </sheetViews>
  <sheetFormatPr defaultColWidth="9.1484375" defaultRowHeight="12.75" zeroHeight="false" outlineLevelRow="0" outlineLevelCol="0"/>
  <cols>
    <col collapsed="false" customWidth="true" hidden="false" outlineLevel="0" max="1" min="1" style="27" width="18.71"/>
    <col collapsed="false" customWidth="true" hidden="false" outlineLevel="0" max="2" min="2" style="27" width="45.71"/>
    <col collapsed="false" customWidth="true" hidden="false" outlineLevel="0" max="3" min="3" style="27" width="44.85"/>
    <col collapsed="false" customWidth="false" hidden="false" outlineLevel="0" max="16384" min="4" style="27" width="9.14"/>
  </cols>
  <sheetData>
    <row r="1" s="31" customFormat="true" ht="12.75" hidden="false" customHeight="false" outlineLevel="0" collapsed="false">
      <c r="A1" s="28" t="s">
        <v>0</v>
      </c>
      <c r="B1" s="29" t="s">
        <v>3</v>
      </c>
      <c r="C1" s="30" t="s">
        <v>4</v>
      </c>
    </row>
    <row r="2" customFormat="false" ht="63.75" hidden="false" customHeight="false" outlineLevel="0" collapsed="false">
      <c r="A2" s="32" t="s">
        <v>29</v>
      </c>
      <c r="B2" s="33" t="s">
        <v>30</v>
      </c>
      <c r="C2" s="34" t="s">
        <v>31</v>
      </c>
    </row>
    <row r="3" customFormat="false" ht="63.75" hidden="false" customHeight="false" outlineLevel="0" collapsed="false">
      <c r="A3" s="27" t="s">
        <v>32</v>
      </c>
      <c r="B3" s="33" t="s">
        <v>33</v>
      </c>
      <c r="C3" s="34" t="s">
        <v>31</v>
      </c>
    </row>
    <row r="4" customFormat="false" ht="63.75" hidden="false" customHeight="false" outlineLevel="0" collapsed="false">
      <c r="A4" s="27" t="s">
        <v>34</v>
      </c>
      <c r="B4" s="33" t="s">
        <v>35</v>
      </c>
      <c r="C4" s="34" t="s">
        <v>31</v>
      </c>
    </row>
    <row r="5" customFormat="false" ht="63.75" hidden="false" customHeight="false" outlineLevel="0" collapsed="false">
      <c r="A5" s="35" t="s">
        <v>36</v>
      </c>
      <c r="B5" s="33" t="s">
        <v>37</v>
      </c>
      <c r="C5" s="34" t="s">
        <v>31</v>
      </c>
    </row>
    <row r="6" customFormat="false" ht="38.25" hidden="false" customHeight="false" outlineLevel="0" collapsed="false">
      <c r="A6" s="35" t="s">
        <v>38</v>
      </c>
      <c r="B6" s="33" t="s">
        <v>39</v>
      </c>
      <c r="C6" s="34" t="s">
        <v>40</v>
      </c>
    </row>
    <row r="7" customFormat="false" ht="38.25" hidden="false" customHeight="false" outlineLevel="0" collapsed="false">
      <c r="A7" s="35" t="s">
        <v>41</v>
      </c>
      <c r="B7" s="33" t="s">
        <v>42</v>
      </c>
      <c r="C7" s="34" t="s">
        <v>43</v>
      </c>
    </row>
    <row r="8" customFormat="false" ht="38.25" hidden="false" customHeight="false" outlineLevel="0" collapsed="false">
      <c r="A8" s="35" t="s">
        <v>44</v>
      </c>
      <c r="B8" s="33" t="s">
        <v>45</v>
      </c>
      <c r="C8" s="34" t="s">
        <v>40</v>
      </c>
    </row>
    <row r="9" customFormat="false" ht="38.25" hidden="false" customHeight="false" outlineLevel="0" collapsed="false">
      <c r="A9" s="35" t="s">
        <v>46</v>
      </c>
      <c r="B9" s="33" t="s">
        <v>47</v>
      </c>
      <c r="C9" s="34" t="s">
        <v>48</v>
      </c>
    </row>
    <row r="10" customFormat="false" ht="38.25" hidden="false" customHeight="false" outlineLevel="0" collapsed="false">
      <c r="A10" s="35" t="s">
        <v>49</v>
      </c>
      <c r="B10" s="33" t="s">
        <v>50</v>
      </c>
      <c r="C10" s="34" t="s">
        <v>51</v>
      </c>
    </row>
    <row r="11" customFormat="false" ht="38.25" hidden="false" customHeight="false" outlineLevel="0" collapsed="false">
      <c r="A11" s="35" t="s">
        <v>52</v>
      </c>
      <c r="B11" s="33" t="s">
        <v>53</v>
      </c>
      <c r="C11" s="34" t="s">
        <v>51</v>
      </c>
    </row>
    <row r="12" customFormat="false" ht="25.5" hidden="false" customHeight="false" outlineLevel="0" collapsed="false">
      <c r="A12" s="35" t="s">
        <v>54</v>
      </c>
      <c r="B12" s="33" t="s">
        <v>55</v>
      </c>
      <c r="C12" s="34" t="s">
        <v>56</v>
      </c>
    </row>
    <row r="13" customFormat="false" ht="25.5" hidden="false" customHeight="false" outlineLevel="0" collapsed="false">
      <c r="A13" s="35" t="s">
        <v>57</v>
      </c>
      <c r="B13" s="33" t="s">
        <v>58</v>
      </c>
      <c r="C13" s="34" t="s">
        <v>56</v>
      </c>
    </row>
    <row r="14" customFormat="false" ht="25.5" hidden="false" customHeight="false" outlineLevel="0" collapsed="false">
      <c r="A14" s="35" t="s">
        <v>59</v>
      </c>
      <c r="B14" s="33" t="s">
        <v>60</v>
      </c>
      <c r="C14" s="34" t="s">
        <v>51</v>
      </c>
    </row>
    <row r="15" customFormat="false" ht="38.25" hidden="false" customHeight="false" outlineLevel="0" collapsed="false">
      <c r="A15" s="35" t="s">
        <v>61</v>
      </c>
      <c r="B15" s="33" t="s">
        <v>62</v>
      </c>
      <c r="C15" s="34" t="s">
        <v>51</v>
      </c>
    </row>
    <row r="16" customFormat="false" ht="38.25" hidden="false" customHeight="false" outlineLevel="0" collapsed="false">
      <c r="A16" s="35" t="s">
        <v>63</v>
      </c>
      <c r="B16" s="33" t="s">
        <v>64</v>
      </c>
      <c r="C16" s="34" t="s">
        <v>51</v>
      </c>
    </row>
    <row r="17" customFormat="false" ht="38.25" hidden="false" customHeight="false" outlineLevel="0" collapsed="false">
      <c r="A17" s="35" t="s">
        <v>65</v>
      </c>
      <c r="B17" s="33" t="s">
        <v>66</v>
      </c>
      <c r="C17" s="34" t="s">
        <v>51</v>
      </c>
    </row>
    <row r="18" customFormat="false" ht="38.25" hidden="false" customHeight="false" outlineLevel="0" collapsed="false">
      <c r="A18" s="35" t="s">
        <v>67</v>
      </c>
      <c r="B18" s="33" t="s">
        <v>68</v>
      </c>
      <c r="C18" s="34" t="s">
        <v>51</v>
      </c>
    </row>
    <row r="19" customFormat="false" ht="25.5" hidden="false" customHeight="false" outlineLevel="0" collapsed="false">
      <c r="A19" s="35" t="s">
        <v>69</v>
      </c>
      <c r="B19" s="34" t="s">
        <v>70</v>
      </c>
      <c r="C19" s="36" t="s">
        <v>51</v>
      </c>
    </row>
    <row r="20" customFormat="false" ht="25.5" hidden="false" customHeight="false" outlineLevel="0" collapsed="false">
      <c r="A20" s="37" t="s">
        <v>71</v>
      </c>
      <c r="B20" s="34" t="s">
        <v>72</v>
      </c>
      <c r="C20" s="34" t="s">
        <v>73</v>
      </c>
    </row>
    <row r="21" customFormat="false" ht="38.25" hidden="false" customHeight="false" outlineLevel="0" collapsed="false">
      <c r="A21" s="37" t="s">
        <v>74</v>
      </c>
      <c r="B21" s="34" t="s">
        <v>75</v>
      </c>
      <c r="C21" s="34" t="s">
        <v>73</v>
      </c>
    </row>
    <row r="22" customFormat="false" ht="25.5" hidden="false" customHeight="false" outlineLevel="0" collapsed="false">
      <c r="A22" s="37" t="s">
        <v>76</v>
      </c>
      <c r="B22" s="34" t="s">
        <v>77</v>
      </c>
      <c r="C22" s="34" t="s">
        <v>73</v>
      </c>
    </row>
    <row r="23" customFormat="false" ht="38.25" hidden="false" customHeight="false" outlineLevel="0" collapsed="false">
      <c r="A23" s="37" t="s">
        <v>78</v>
      </c>
      <c r="B23" s="34" t="s">
        <v>79</v>
      </c>
      <c r="C23" s="34" t="s">
        <v>73</v>
      </c>
    </row>
    <row r="24" customFormat="false" ht="25.5" hidden="false" customHeight="false" outlineLevel="0" collapsed="false">
      <c r="A24" s="37" t="s">
        <v>80</v>
      </c>
      <c r="B24" s="34" t="s">
        <v>81</v>
      </c>
      <c r="C24" s="34" t="s">
        <v>73</v>
      </c>
    </row>
    <row r="25" customFormat="false" ht="25.5" hidden="false" customHeight="false" outlineLevel="0" collapsed="false">
      <c r="A25" s="38" t="s">
        <v>82</v>
      </c>
      <c r="B25" s="34" t="s">
        <v>83</v>
      </c>
      <c r="C25" s="34" t="s">
        <v>73</v>
      </c>
    </row>
    <row r="26" customFormat="false" ht="25.5" hidden="false" customHeight="false" outlineLevel="0" collapsed="false">
      <c r="A26" s="38" t="s">
        <v>84</v>
      </c>
      <c r="B26" s="34" t="s">
        <v>85</v>
      </c>
      <c r="C26" s="34" t="s">
        <v>73</v>
      </c>
    </row>
    <row r="27" customFormat="false" ht="25.5" hidden="false" customHeight="false" outlineLevel="0" collapsed="false">
      <c r="A27" s="37" t="s">
        <v>86</v>
      </c>
      <c r="B27" s="34" t="s">
        <v>87</v>
      </c>
      <c r="C27" s="34" t="s">
        <v>73</v>
      </c>
    </row>
    <row r="28" customFormat="false" ht="38.25" hidden="false" customHeight="false" outlineLevel="0" collapsed="false">
      <c r="A28" s="37" t="s">
        <v>88</v>
      </c>
      <c r="B28" s="34" t="s">
        <v>89</v>
      </c>
      <c r="C28" s="34" t="s">
        <v>73</v>
      </c>
    </row>
    <row r="29" customFormat="false" ht="25.5" hidden="false" customHeight="false" outlineLevel="0" collapsed="false">
      <c r="A29" s="37" t="s">
        <v>90</v>
      </c>
      <c r="B29" s="34" t="s">
        <v>91</v>
      </c>
      <c r="C29" s="34" t="s">
        <v>73</v>
      </c>
    </row>
    <row r="30" customFormat="false" ht="25.5" hidden="false" customHeight="false" outlineLevel="0" collapsed="false">
      <c r="A30" s="37" t="s">
        <v>92</v>
      </c>
      <c r="B30" s="34" t="s">
        <v>93</v>
      </c>
      <c r="C30" s="34" t="s">
        <v>73</v>
      </c>
    </row>
    <row r="31" customFormat="false" ht="102" hidden="false" customHeight="false" outlineLevel="0" collapsed="false">
      <c r="A31" s="37" t="n">
        <v>5102100</v>
      </c>
      <c r="B31" s="34" t="s">
        <v>94</v>
      </c>
      <c r="C31" s="34" t="s">
        <v>95</v>
      </c>
    </row>
    <row r="32" customFormat="false" ht="102" hidden="false" customHeight="false" outlineLevel="0" collapsed="false">
      <c r="A32" s="37" t="n">
        <v>5102200</v>
      </c>
      <c r="B32" s="34" t="s">
        <v>96</v>
      </c>
      <c r="C32" s="34" t="s">
        <v>97</v>
      </c>
    </row>
    <row r="33" customFormat="false" ht="102" hidden="false" customHeight="false" outlineLevel="0" collapsed="false">
      <c r="A33" s="37" t="n">
        <v>5102300</v>
      </c>
      <c r="B33" s="34" t="s">
        <v>98</v>
      </c>
      <c r="C33" s="34" t="s">
        <v>99</v>
      </c>
    </row>
    <row r="34" customFormat="false" ht="114.75" hidden="false" customHeight="false" outlineLevel="0" collapsed="false">
      <c r="A34" s="37" t="n">
        <v>5102400</v>
      </c>
      <c r="B34" s="34" t="s">
        <v>100</v>
      </c>
      <c r="C34" s="34" t="s">
        <v>101</v>
      </c>
    </row>
    <row r="35" customFormat="false" ht="89.25" hidden="false" customHeight="false" outlineLevel="0" collapsed="false">
      <c r="A35" s="37" t="n">
        <v>5102500</v>
      </c>
      <c r="B35" s="34" t="s">
        <v>102</v>
      </c>
      <c r="C35" s="34" t="s">
        <v>103</v>
      </c>
    </row>
    <row r="36" customFormat="false" ht="114.75" hidden="false" customHeight="false" outlineLevel="0" collapsed="false">
      <c r="A36" s="37" t="n">
        <v>5102600</v>
      </c>
      <c r="B36" s="34" t="s">
        <v>104</v>
      </c>
      <c r="C36" s="34" t="s">
        <v>105</v>
      </c>
    </row>
    <row r="37" customFormat="false" ht="76.5" hidden="false" customHeight="false" outlineLevel="0" collapsed="false">
      <c r="A37" s="37" t="s">
        <v>106</v>
      </c>
      <c r="B37" s="34" t="s">
        <v>107</v>
      </c>
      <c r="C37" s="34" t="s">
        <v>108</v>
      </c>
    </row>
    <row r="38" customFormat="false" ht="89.25" hidden="false" customHeight="false" outlineLevel="0" collapsed="false">
      <c r="A38" s="37" t="s">
        <v>109</v>
      </c>
      <c r="B38" s="34" t="s">
        <v>110</v>
      </c>
      <c r="C38" s="34" t="s">
        <v>111</v>
      </c>
    </row>
    <row r="39" customFormat="false" ht="89.25" hidden="false" customHeight="false" outlineLevel="0" collapsed="false">
      <c r="A39" s="37" t="s">
        <v>112</v>
      </c>
      <c r="B39" s="34" t="s">
        <v>113</v>
      </c>
      <c r="C39" s="34" t="s">
        <v>114</v>
      </c>
    </row>
    <row r="40" customFormat="false" ht="89.25" hidden="false" customHeight="false" outlineLevel="0" collapsed="false">
      <c r="A40" s="37" t="s">
        <v>115</v>
      </c>
      <c r="B40" s="34" t="s">
        <v>116</v>
      </c>
      <c r="C40" s="34" t="s">
        <v>117</v>
      </c>
    </row>
    <row r="41" customFormat="false" ht="89.25" hidden="false" customHeight="false" outlineLevel="0" collapsed="false">
      <c r="A41" s="37" t="s">
        <v>118</v>
      </c>
      <c r="B41" s="34" t="s">
        <v>119</v>
      </c>
      <c r="C41" s="34" t="s">
        <v>117</v>
      </c>
    </row>
    <row r="42" customFormat="false" ht="89.25" hidden="false" customHeight="false" outlineLevel="0" collapsed="false">
      <c r="A42" s="37" t="s">
        <v>120</v>
      </c>
      <c r="B42" s="34" t="s">
        <v>121</v>
      </c>
      <c r="C42" s="34" t="s">
        <v>122</v>
      </c>
    </row>
    <row r="43" customFormat="false" ht="89.25" hidden="false" customHeight="false" outlineLevel="0" collapsed="false">
      <c r="A43" s="37" t="s">
        <v>123</v>
      </c>
      <c r="B43" s="34" t="s">
        <v>124</v>
      </c>
      <c r="C43" s="34" t="s">
        <v>125</v>
      </c>
    </row>
    <row r="44" customFormat="false" ht="89.25" hidden="false" customHeight="false" outlineLevel="0" collapsed="false">
      <c r="A44" s="37" t="s">
        <v>126</v>
      </c>
      <c r="B44" s="34" t="s">
        <v>127</v>
      </c>
      <c r="C44" s="34" t="s">
        <v>125</v>
      </c>
    </row>
    <row r="45" customFormat="false" ht="89.25" hidden="false" customHeight="false" outlineLevel="0" collapsed="false">
      <c r="A45" s="37" t="s">
        <v>128</v>
      </c>
      <c r="B45" s="34" t="s">
        <v>129</v>
      </c>
      <c r="C45" s="34" t="s">
        <v>125</v>
      </c>
    </row>
    <row r="46" customFormat="false" ht="89.25" hidden="false" customHeight="false" outlineLevel="0" collapsed="false">
      <c r="A46" s="37" t="s">
        <v>130</v>
      </c>
      <c r="B46" s="34" t="s">
        <v>131</v>
      </c>
      <c r="C46" s="34" t="s">
        <v>125</v>
      </c>
    </row>
    <row r="47" customFormat="false" ht="89.25" hidden="false" customHeight="false" outlineLevel="0" collapsed="false">
      <c r="A47" s="37" t="s">
        <v>132</v>
      </c>
      <c r="B47" s="34" t="s">
        <v>133</v>
      </c>
      <c r="C47" s="34" t="s">
        <v>134</v>
      </c>
    </row>
    <row r="48" customFormat="false" ht="89.25" hidden="false" customHeight="false" outlineLevel="0" collapsed="false">
      <c r="A48" s="37" t="s">
        <v>135</v>
      </c>
      <c r="B48" s="34" t="s">
        <v>136</v>
      </c>
      <c r="C48" s="34" t="s">
        <v>134</v>
      </c>
    </row>
    <row r="49" customFormat="false" ht="63.75" hidden="false" customHeight="false" outlineLevel="0" collapsed="false">
      <c r="A49" s="37" t="s">
        <v>137</v>
      </c>
      <c r="B49" s="34" t="s">
        <v>138</v>
      </c>
      <c r="C49" s="34" t="s">
        <v>139</v>
      </c>
    </row>
    <row r="50" customFormat="false" ht="63.75" hidden="false" customHeight="false" outlineLevel="0" collapsed="false">
      <c r="A50" s="37" t="s">
        <v>140</v>
      </c>
      <c r="B50" s="34" t="s">
        <v>141</v>
      </c>
      <c r="C50" s="34" t="s">
        <v>142</v>
      </c>
    </row>
    <row r="51" customFormat="false" ht="63.75" hidden="false" customHeight="false" outlineLevel="0" collapsed="false">
      <c r="A51" s="37" t="s">
        <v>143</v>
      </c>
      <c r="B51" s="34" t="s">
        <v>144</v>
      </c>
      <c r="C51" s="34" t="s">
        <v>139</v>
      </c>
    </row>
    <row r="52" customFormat="false" ht="63.75" hidden="false" customHeight="false" outlineLevel="0" collapsed="false">
      <c r="A52" s="37" t="s">
        <v>145</v>
      </c>
      <c r="B52" s="34" t="s">
        <v>144</v>
      </c>
      <c r="C52" s="34" t="s">
        <v>139</v>
      </c>
    </row>
    <row r="53" customFormat="false" ht="63.75" hidden="false" customHeight="false" outlineLevel="0" collapsed="false">
      <c r="A53" s="37" t="s">
        <v>146</v>
      </c>
      <c r="B53" s="34" t="s">
        <v>147</v>
      </c>
      <c r="C53" s="34" t="s">
        <v>139</v>
      </c>
    </row>
    <row r="54" customFormat="false" ht="63.75" hidden="false" customHeight="false" outlineLevel="0" collapsed="false">
      <c r="A54" s="37" t="s">
        <v>148</v>
      </c>
      <c r="B54" s="34" t="s">
        <v>149</v>
      </c>
      <c r="C54" s="34" t="s">
        <v>139</v>
      </c>
    </row>
    <row r="55" customFormat="false" ht="127.5" hidden="false" customHeight="false" outlineLevel="0" collapsed="false">
      <c r="A55" s="37" t="n">
        <v>5111100</v>
      </c>
      <c r="B55" s="34" t="s">
        <v>150</v>
      </c>
      <c r="C55" s="34" t="s">
        <v>151</v>
      </c>
    </row>
    <row r="56" customFormat="false" ht="127.5" hidden="false" customHeight="false" outlineLevel="0" collapsed="false">
      <c r="A56" s="37" t="n">
        <v>5111200</v>
      </c>
      <c r="B56" s="34" t="s">
        <v>152</v>
      </c>
      <c r="C56" s="34" t="s">
        <v>153</v>
      </c>
    </row>
    <row r="57" customFormat="false" ht="127.5" hidden="false" customHeight="false" outlineLevel="0" collapsed="false">
      <c r="A57" s="37" t="n">
        <v>5111500</v>
      </c>
      <c r="B57" s="34" t="s">
        <v>154</v>
      </c>
      <c r="C57" s="34" t="s">
        <v>153</v>
      </c>
    </row>
    <row r="58" customFormat="false" ht="127.5" hidden="false" customHeight="false" outlineLevel="0" collapsed="false">
      <c r="A58" s="37" t="n">
        <v>5112100</v>
      </c>
      <c r="B58" s="34" t="s">
        <v>155</v>
      </c>
      <c r="C58" s="34" t="s">
        <v>153</v>
      </c>
    </row>
    <row r="59" customFormat="false" ht="127.5" hidden="false" customHeight="false" outlineLevel="0" collapsed="false">
      <c r="A59" s="37" t="n">
        <v>5112200</v>
      </c>
      <c r="B59" s="34" t="s">
        <v>156</v>
      </c>
      <c r="C59" s="34" t="s">
        <v>153</v>
      </c>
    </row>
    <row r="60" customFormat="false" ht="127.5" hidden="false" customHeight="false" outlineLevel="0" collapsed="false">
      <c r="A60" s="37" t="n">
        <v>5112500</v>
      </c>
      <c r="B60" s="34" t="s">
        <v>157</v>
      </c>
      <c r="C60" s="34" t="s">
        <v>153</v>
      </c>
    </row>
    <row r="61" customFormat="false" ht="127.5" hidden="false" customHeight="false" outlineLevel="0" collapsed="false">
      <c r="A61" s="37" t="s">
        <v>158</v>
      </c>
      <c r="B61" s="34" t="s">
        <v>157</v>
      </c>
      <c r="C61" s="34" t="s">
        <v>153</v>
      </c>
    </row>
    <row r="62" customFormat="false" ht="127.5" hidden="false" customHeight="false" outlineLevel="0" collapsed="false">
      <c r="A62" s="37" t="s">
        <v>159</v>
      </c>
      <c r="B62" s="34" t="s">
        <v>160</v>
      </c>
      <c r="C62" s="34" t="s">
        <v>161</v>
      </c>
    </row>
    <row r="63" customFormat="false" ht="127.5" hidden="false" customHeight="false" outlineLevel="0" collapsed="false">
      <c r="A63" s="37" t="s">
        <v>162</v>
      </c>
      <c r="B63" s="34" t="s">
        <v>163</v>
      </c>
      <c r="C63" s="34" t="s">
        <v>161</v>
      </c>
    </row>
    <row r="64" customFormat="false" ht="89.25" hidden="false" customHeight="false" outlineLevel="0" collapsed="false">
      <c r="A64" s="37" t="s">
        <v>164</v>
      </c>
      <c r="B64" s="34" t="s">
        <v>165</v>
      </c>
      <c r="C64" s="34" t="s">
        <v>166</v>
      </c>
    </row>
    <row r="65" customFormat="false" ht="89.25" hidden="false" customHeight="false" outlineLevel="0" collapsed="false">
      <c r="A65" s="37" t="s">
        <v>167</v>
      </c>
      <c r="B65" s="34" t="s">
        <v>168</v>
      </c>
      <c r="C65" s="34" t="s">
        <v>166</v>
      </c>
    </row>
    <row r="66" customFormat="false" ht="89.25" hidden="false" customHeight="false" outlineLevel="0" collapsed="false">
      <c r="A66" s="37" t="s">
        <v>169</v>
      </c>
      <c r="B66" s="34" t="s">
        <v>170</v>
      </c>
      <c r="C66" s="34" t="s">
        <v>171</v>
      </c>
    </row>
    <row r="67" customFormat="false" ht="76.5" hidden="false" customHeight="false" outlineLevel="0" collapsed="false">
      <c r="A67" s="37" t="s">
        <v>172</v>
      </c>
      <c r="B67" s="34" t="s">
        <v>173</v>
      </c>
      <c r="C67" s="34" t="s">
        <v>174</v>
      </c>
    </row>
    <row r="68" customFormat="false" ht="102" hidden="false" customHeight="false" outlineLevel="0" collapsed="false">
      <c r="A68" s="37" t="s">
        <v>175</v>
      </c>
      <c r="B68" s="34" t="s">
        <v>176</v>
      </c>
      <c r="C68" s="34" t="s">
        <v>177</v>
      </c>
    </row>
    <row r="69" customFormat="false" ht="102" hidden="false" customHeight="false" outlineLevel="0" collapsed="false">
      <c r="A69" s="37" t="s">
        <v>178</v>
      </c>
      <c r="B69" s="34" t="s">
        <v>179</v>
      </c>
      <c r="C69" s="34" t="s">
        <v>177</v>
      </c>
    </row>
    <row r="70" customFormat="false" ht="89.25" hidden="false" customHeight="false" outlineLevel="0" collapsed="false">
      <c r="A70" s="37" t="s">
        <v>180</v>
      </c>
      <c r="B70" s="34" t="s">
        <v>181</v>
      </c>
      <c r="C70" s="34" t="s">
        <v>166</v>
      </c>
    </row>
    <row r="71" customFormat="false" ht="89.25" hidden="false" customHeight="false" outlineLevel="0" collapsed="false">
      <c r="A71" s="37" t="s">
        <v>182</v>
      </c>
      <c r="B71" s="34" t="s">
        <v>183</v>
      </c>
      <c r="C71" s="34" t="s">
        <v>166</v>
      </c>
    </row>
    <row r="72" customFormat="false" ht="127.5" hidden="false" customHeight="false" outlineLevel="0" collapsed="false">
      <c r="A72" s="37" t="s">
        <v>184</v>
      </c>
      <c r="B72" s="34" t="s">
        <v>185</v>
      </c>
      <c r="C72" s="34" t="s">
        <v>186</v>
      </c>
    </row>
    <row r="73" customFormat="false" ht="89.25" hidden="false" customHeight="false" outlineLevel="0" collapsed="false">
      <c r="A73" s="37" t="s">
        <v>187</v>
      </c>
      <c r="B73" s="34" t="s">
        <v>188</v>
      </c>
      <c r="C73" s="34" t="s">
        <v>189</v>
      </c>
    </row>
    <row r="74" customFormat="false" ht="63.75" hidden="false" customHeight="false" outlineLevel="0" collapsed="false">
      <c r="A74" s="37" t="s">
        <v>190</v>
      </c>
      <c r="B74" s="34" t="s">
        <v>191</v>
      </c>
      <c r="C74" s="34" t="s">
        <v>139</v>
      </c>
    </row>
    <row r="75" customFormat="false" ht="63.75" hidden="false" customHeight="false" outlineLevel="0" collapsed="false">
      <c r="A75" s="37" t="s">
        <v>192</v>
      </c>
      <c r="B75" s="34" t="s">
        <v>193</v>
      </c>
      <c r="C75" s="34" t="s">
        <v>139</v>
      </c>
    </row>
    <row r="76" customFormat="false" ht="127.5" hidden="false" customHeight="false" outlineLevel="0" collapsed="false">
      <c r="A76" s="37" t="n">
        <v>5121100</v>
      </c>
      <c r="B76" s="34" t="s">
        <v>194</v>
      </c>
      <c r="C76" s="34" t="s">
        <v>195</v>
      </c>
    </row>
    <row r="77" customFormat="false" ht="127.5" hidden="false" customHeight="false" outlineLevel="0" collapsed="false">
      <c r="A77" s="37" t="n">
        <v>5121200</v>
      </c>
      <c r="B77" s="34" t="s">
        <v>196</v>
      </c>
      <c r="C77" s="34" t="s">
        <v>195</v>
      </c>
    </row>
    <row r="78" customFormat="false" ht="127.5" hidden="false" customHeight="false" outlineLevel="0" collapsed="false">
      <c r="A78" s="37" t="n">
        <v>5121500</v>
      </c>
      <c r="B78" s="34" t="s">
        <v>197</v>
      </c>
      <c r="C78" s="34" t="s">
        <v>195</v>
      </c>
    </row>
    <row r="79" customFormat="false" ht="127.5" hidden="false" customHeight="false" outlineLevel="0" collapsed="false">
      <c r="A79" s="37" t="n">
        <v>5122100</v>
      </c>
      <c r="B79" s="34" t="s">
        <v>198</v>
      </c>
      <c r="C79" s="34" t="s">
        <v>195</v>
      </c>
    </row>
    <row r="80" customFormat="false" ht="127.5" hidden="false" customHeight="false" outlineLevel="0" collapsed="false">
      <c r="A80" s="37" t="n">
        <v>5122200</v>
      </c>
      <c r="B80" s="34" t="s">
        <v>199</v>
      </c>
      <c r="C80" s="34" t="s">
        <v>195</v>
      </c>
    </row>
    <row r="81" customFormat="false" ht="127.5" hidden="false" customHeight="false" outlineLevel="0" collapsed="false">
      <c r="A81" s="37" t="n">
        <v>5122500</v>
      </c>
      <c r="B81" s="34" t="s">
        <v>200</v>
      </c>
      <c r="C81" s="34" t="s">
        <v>195</v>
      </c>
    </row>
    <row r="82" customFormat="false" ht="127.5" hidden="false" customHeight="false" outlineLevel="0" collapsed="false">
      <c r="A82" s="37" t="s">
        <v>201</v>
      </c>
      <c r="B82" s="34" t="s">
        <v>202</v>
      </c>
      <c r="C82" s="34" t="s">
        <v>195</v>
      </c>
    </row>
    <row r="83" customFormat="false" ht="127.5" hidden="false" customHeight="false" outlineLevel="0" collapsed="false">
      <c r="A83" s="37" t="s">
        <v>203</v>
      </c>
      <c r="B83" s="34" t="s">
        <v>204</v>
      </c>
      <c r="C83" s="34" t="s">
        <v>205</v>
      </c>
    </row>
    <row r="84" customFormat="false" ht="127.5" hidden="false" customHeight="false" outlineLevel="0" collapsed="false">
      <c r="A84" s="37" t="s">
        <v>206</v>
      </c>
      <c r="B84" s="34" t="s">
        <v>207</v>
      </c>
      <c r="C84" s="34" t="s">
        <v>205</v>
      </c>
    </row>
    <row r="85" customFormat="false" ht="89.25" hidden="false" customHeight="false" outlineLevel="0" collapsed="false">
      <c r="A85" s="37" t="s">
        <v>208</v>
      </c>
      <c r="B85" s="34" t="s">
        <v>209</v>
      </c>
      <c r="C85" s="34" t="s">
        <v>210</v>
      </c>
    </row>
    <row r="86" customFormat="false" ht="89.25" hidden="false" customHeight="false" outlineLevel="0" collapsed="false">
      <c r="A86" s="37" t="s">
        <v>211</v>
      </c>
      <c r="B86" s="34" t="s">
        <v>212</v>
      </c>
      <c r="C86" s="34" t="s">
        <v>210</v>
      </c>
    </row>
    <row r="87" customFormat="false" ht="76.5" hidden="false" customHeight="false" outlineLevel="0" collapsed="false">
      <c r="A87" s="37" t="s">
        <v>213</v>
      </c>
      <c r="B87" s="34" t="s">
        <v>214</v>
      </c>
      <c r="C87" s="34" t="s">
        <v>215</v>
      </c>
    </row>
    <row r="88" customFormat="false" ht="76.5" hidden="false" customHeight="false" outlineLevel="0" collapsed="false">
      <c r="A88" s="37" t="s">
        <v>216</v>
      </c>
      <c r="B88" s="34" t="s">
        <v>217</v>
      </c>
      <c r="C88" s="34" t="s">
        <v>218</v>
      </c>
    </row>
    <row r="89" customFormat="false" ht="102" hidden="false" customHeight="false" outlineLevel="0" collapsed="false">
      <c r="A89" s="37" t="s">
        <v>219</v>
      </c>
      <c r="B89" s="34" t="s">
        <v>220</v>
      </c>
      <c r="C89" s="34" t="s">
        <v>221</v>
      </c>
    </row>
    <row r="90" customFormat="false" ht="102" hidden="false" customHeight="false" outlineLevel="0" collapsed="false">
      <c r="A90" s="37" t="s">
        <v>222</v>
      </c>
      <c r="B90" s="34" t="s">
        <v>223</v>
      </c>
      <c r="C90" s="34" t="s">
        <v>221</v>
      </c>
    </row>
    <row r="91" customFormat="false" ht="89.25" hidden="false" customHeight="false" outlineLevel="0" collapsed="false">
      <c r="A91" s="37" t="s">
        <v>224</v>
      </c>
      <c r="B91" s="34" t="s">
        <v>225</v>
      </c>
      <c r="C91" s="34" t="s">
        <v>210</v>
      </c>
    </row>
    <row r="92" customFormat="false" ht="89.25" hidden="false" customHeight="false" outlineLevel="0" collapsed="false">
      <c r="A92" s="37" t="s">
        <v>226</v>
      </c>
      <c r="B92" s="34" t="s">
        <v>227</v>
      </c>
      <c r="C92" s="34" t="s">
        <v>210</v>
      </c>
    </row>
    <row r="93" customFormat="false" ht="127.5" hidden="false" customHeight="false" outlineLevel="0" collapsed="false">
      <c r="A93" s="37" t="s">
        <v>228</v>
      </c>
      <c r="B93" s="34" t="s">
        <v>229</v>
      </c>
      <c r="C93" s="34" t="s">
        <v>230</v>
      </c>
    </row>
    <row r="94" customFormat="false" ht="89.25" hidden="false" customHeight="false" outlineLevel="0" collapsed="false">
      <c r="A94" s="37" t="s">
        <v>231</v>
      </c>
      <c r="B94" s="34" t="s">
        <v>232</v>
      </c>
      <c r="C94" s="34" t="s">
        <v>233</v>
      </c>
    </row>
    <row r="95" customFormat="false" ht="63.75" hidden="false" customHeight="false" outlineLevel="0" collapsed="false">
      <c r="A95" s="37" t="s">
        <v>234</v>
      </c>
      <c r="B95" s="34" t="s">
        <v>235</v>
      </c>
      <c r="C95" s="34" t="s">
        <v>139</v>
      </c>
    </row>
    <row r="96" customFormat="false" ht="63.75" hidden="false" customHeight="false" outlineLevel="0" collapsed="false">
      <c r="A96" s="37" t="s">
        <v>236</v>
      </c>
      <c r="B96" s="34" t="s">
        <v>237</v>
      </c>
      <c r="C96" s="34" t="s">
        <v>139</v>
      </c>
    </row>
    <row r="97" customFormat="false" ht="127.5" hidden="false" customHeight="false" outlineLevel="0" collapsed="false">
      <c r="A97" s="37" t="n">
        <v>5131100</v>
      </c>
      <c r="B97" s="34" t="s">
        <v>238</v>
      </c>
      <c r="C97" s="34" t="s">
        <v>239</v>
      </c>
    </row>
    <row r="98" customFormat="false" ht="127.5" hidden="false" customHeight="false" outlineLevel="0" collapsed="false">
      <c r="A98" s="37" t="n">
        <v>5131200</v>
      </c>
      <c r="B98" s="34" t="s">
        <v>240</v>
      </c>
      <c r="C98" s="34" t="s">
        <v>239</v>
      </c>
    </row>
    <row r="99" customFormat="false" ht="127.5" hidden="false" customHeight="false" outlineLevel="0" collapsed="false">
      <c r="A99" s="37" t="n">
        <v>5131500</v>
      </c>
      <c r="B99" s="34" t="s">
        <v>241</v>
      </c>
      <c r="C99" s="34" t="s">
        <v>239</v>
      </c>
    </row>
    <row r="100" customFormat="false" ht="127.5" hidden="false" customHeight="false" outlineLevel="0" collapsed="false">
      <c r="A100" s="37" t="n">
        <v>5132100</v>
      </c>
      <c r="B100" s="34" t="s">
        <v>242</v>
      </c>
      <c r="C100" s="34" t="s">
        <v>239</v>
      </c>
    </row>
    <row r="101" customFormat="false" ht="127.5" hidden="false" customHeight="false" outlineLevel="0" collapsed="false">
      <c r="A101" s="37" t="n">
        <v>5132200</v>
      </c>
      <c r="B101" s="34" t="s">
        <v>243</v>
      </c>
      <c r="C101" s="34" t="s">
        <v>239</v>
      </c>
    </row>
    <row r="102" customFormat="false" ht="127.5" hidden="false" customHeight="false" outlineLevel="0" collapsed="false">
      <c r="A102" s="37" t="n">
        <v>5132500</v>
      </c>
      <c r="B102" s="34" t="s">
        <v>244</v>
      </c>
      <c r="C102" s="34" t="s">
        <v>239</v>
      </c>
    </row>
    <row r="103" customFormat="false" ht="127.5" hidden="false" customHeight="false" outlineLevel="0" collapsed="false">
      <c r="A103" s="37" t="s">
        <v>245</v>
      </c>
      <c r="B103" s="34" t="s">
        <v>246</v>
      </c>
      <c r="C103" s="34" t="s">
        <v>239</v>
      </c>
    </row>
    <row r="104" customFormat="false" ht="127.5" hidden="false" customHeight="false" outlineLevel="0" collapsed="false">
      <c r="A104" s="37" t="s">
        <v>247</v>
      </c>
      <c r="B104" s="34" t="s">
        <v>248</v>
      </c>
      <c r="C104" s="34" t="s">
        <v>249</v>
      </c>
    </row>
    <row r="105" customFormat="false" ht="127.5" hidden="false" customHeight="false" outlineLevel="0" collapsed="false">
      <c r="A105" s="37" t="s">
        <v>250</v>
      </c>
      <c r="B105" s="34" t="s">
        <v>251</v>
      </c>
      <c r="C105" s="34" t="s">
        <v>249</v>
      </c>
    </row>
    <row r="106" customFormat="false" ht="89.25" hidden="false" customHeight="false" outlineLevel="0" collapsed="false">
      <c r="A106" s="37" t="s">
        <v>252</v>
      </c>
      <c r="B106" s="34" t="s">
        <v>253</v>
      </c>
      <c r="C106" s="34" t="s">
        <v>254</v>
      </c>
    </row>
    <row r="107" customFormat="false" ht="89.25" hidden="false" customHeight="false" outlineLevel="0" collapsed="false">
      <c r="A107" s="37" t="s">
        <v>255</v>
      </c>
      <c r="B107" s="34" t="s">
        <v>256</v>
      </c>
      <c r="C107" s="34" t="s">
        <v>254</v>
      </c>
    </row>
    <row r="108" customFormat="false" ht="76.5" hidden="false" customHeight="false" outlineLevel="0" collapsed="false">
      <c r="A108" s="37" t="s">
        <v>257</v>
      </c>
      <c r="B108" s="34" t="s">
        <v>258</v>
      </c>
      <c r="C108" s="34" t="s">
        <v>259</v>
      </c>
    </row>
    <row r="109" customFormat="false" ht="76.5" hidden="false" customHeight="false" outlineLevel="0" collapsed="false">
      <c r="A109" s="37" t="s">
        <v>260</v>
      </c>
      <c r="B109" s="34" t="s">
        <v>261</v>
      </c>
      <c r="C109" s="34" t="s">
        <v>262</v>
      </c>
    </row>
    <row r="110" customFormat="false" ht="102" hidden="false" customHeight="false" outlineLevel="0" collapsed="false">
      <c r="A110" s="37" t="s">
        <v>263</v>
      </c>
      <c r="B110" s="34" t="s">
        <v>264</v>
      </c>
      <c r="C110" s="34" t="s">
        <v>265</v>
      </c>
    </row>
    <row r="111" customFormat="false" ht="102" hidden="false" customHeight="false" outlineLevel="0" collapsed="false">
      <c r="A111" s="37" t="s">
        <v>266</v>
      </c>
      <c r="B111" s="34" t="s">
        <v>267</v>
      </c>
      <c r="C111" s="34" t="s">
        <v>265</v>
      </c>
    </row>
    <row r="112" customFormat="false" ht="89.25" hidden="false" customHeight="false" outlineLevel="0" collapsed="false">
      <c r="A112" s="37" t="s">
        <v>268</v>
      </c>
      <c r="B112" s="34" t="s">
        <v>269</v>
      </c>
      <c r="C112" s="34" t="s">
        <v>254</v>
      </c>
    </row>
    <row r="113" customFormat="false" ht="89.25" hidden="false" customHeight="false" outlineLevel="0" collapsed="false">
      <c r="A113" s="37" t="s">
        <v>270</v>
      </c>
      <c r="B113" s="34" t="s">
        <v>271</v>
      </c>
      <c r="C113" s="34" t="s">
        <v>254</v>
      </c>
    </row>
    <row r="114" customFormat="false" ht="127.5" hidden="false" customHeight="false" outlineLevel="0" collapsed="false">
      <c r="A114" s="37" t="s">
        <v>272</v>
      </c>
      <c r="B114" s="34" t="s">
        <v>273</v>
      </c>
      <c r="C114" s="34" t="s">
        <v>274</v>
      </c>
    </row>
    <row r="115" customFormat="false" ht="89.25" hidden="false" customHeight="false" outlineLevel="0" collapsed="false">
      <c r="A115" s="37" t="s">
        <v>275</v>
      </c>
      <c r="B115" s="34" t="s">
        <v>276</v>
      </c>
      <c r="C115" s="34" t="s">
        <v>277</v>
      </c>
    </row>
    <row r="116" customFormat="false" ht="63.75" hidden="false" customHeight="false" outlineLevel="0" collapsed="false">
      <c r="A116" s="37" t="s">
        <v>278</v>
      </c>
      <c r="B116" s="34" t="s">
        <v>279</v>
      </c>
      <c r="C116" s="34" t="s">
        <v>139</v>
      </c>
    </row>
    <row r="117" customFormat="false" ht="63.75" hidden="false" customHeight="false" outlineLevel="0" collapsed="false">
      <c r="A117" s="37" t="s">
        <v>280</v>
      </c>
      <c r="B117" s="34" t="s">
        <v>281</v>
      </c>
      <c r="C117" s="34" t="s">
        <v>139</v>
      </c>
    </row>
    <row r="118" customFormat="false" ht="127.5" hidden="false" customHeight="false" outlineLevel="0" collapsed="false">
      <c r="A118" s="37" t="n">
        <v>5141100</v>
      </c>
      <c r="B118" s="34" t="s">
        <v>282</v>
      </c>
      <c r="C118" s="34" t="s">
        <v>283</v>
      </c>
    </row>
    <row r="119" customFormat="false" ht="127.5" hidden="false" customHeight="false" outlineLevel="0" collapsed="false">
      <c r="A119" s="37" t="n">
        <v>5141200</v>
      </c>
      <c r="B119" s="34" t="s">
        <v>284</v>
      </c>
      <c r="C119" s="34" t="s">
        <v>283</v>
      </c>
    </row>
    <row r="120" customFormat="false" ht="127.5" hidden="false" customHeight="false" outlineLevel="0" collapsed="false">
      <c r="A120" s="37" t="n">
        <v>5141500</v>
      </c>
      <c r="B120" s="34" t="s">
        <v>285</v>
      </c>
      <c r="C120" s="34" t="s">
        <v>283</v>
      </c>
    </row>
    <row r="121" customFormat="false" ht="127.5" hidden="false" customHeight="false" outlineLevel="0" collapsed="false">
      <c r="A121" s="37" t="n">
        <v>5142100</v>
      </c>
      <c r="B121" s="34" t="s">
        <v>286</v>
      </c>
      <c r="C121" s="34" t="s">
        <v>283</v>
      </c>
    </row>
    <row r="122" customFormat="false" ht="127.5" hidden="false" customHeight="false" outlineLevel="0" collapsed="false">
      <c r="A122" s="37" t="n">
        <v>5142200</v>
      </c>
      <c r="B122" s="34" t="s">
        <v>287</v>
      </c>
      <c r="C122" s="34" t="s">
        <v>283</v>
      </c>
    </row>
    <row r="123" customFormat="false" ht="127.5" hidden="false" customHeight="false" outlineLevel="0" collapsed="false">
      <c r="A123" s="37" t="n">
        <v>5142500</v>
      </c>
      <c r="B123" s="34" t="s">
        <v>288</v>
      </c>
      <c r="C123" s="34" t="s">
        <v>283</v>
      </c>
    </row>
    <row r="124" customFormat="false" ht="127.5" hidden="false" customHeight="false" outlineLevel="0" collapsed="false">
      <c r="A124" s="37" t="s">
        <v>289</v>
      </c>
      <c r="B124" s="34" t="s">
        <v>290</v>
      </c>
      <c r="C124" s="34" t="s">
        <v>283</v>
      </c>
    </row>
    <row r="125" customFormat="false" ht="127.5" hidden="false" customHeight="false" outlineLevel="0" collapsed="false">
      <c r="A125" s="37" t="s">
        <v>291</v>
      </c>
      <c r="B125" s="34" t="s">
        <v>292</v>
      </c>
      <c r="C125" s="34" t="s">
        <v>293</v>
      </c>
    </row>
    <row r="126" customFormat="false" ht="127.5" hidden="false" customHeight="false" outlineLevel="0" collapsed="false">
      <c r="A126" s="37" t="s">
        <v>294</v>
      </c>
      <c r="B126" s="34" t="s">
        <v>295</v>
      </c>
      <c r="C126" s="34" t="s">
        <v>293</v>
      </c>
    </row>
    <row r="127" customFormat="false" ht="89.25" hidden="false" customHeight="false" outlineLevel="0" collapsed="false">
      <c r="A127" s="37" t="s">
        <v>296</v>
      </c>
      <c r="B127" s="34" t="s">
        <v>297</v>
      </c>
      <c r="C127" s="34" t="s">
        <v>298</v>
      </c>
    </row>
    <row r="128" customFormat="false" ht="89.25" hidden="false" customHeight="false" outlineLevel="0" collapsed="false">
      <c r="A128" s="37" t="s">
        <v>299</v>
      </c>
      <c r="B128" s="34" t="s">
        <v>300</v>
      </c>
      <c r="C128" s="34" t="s">
        <v>298</v>
      </c>
    </row>
    <row r="129" customFormat="false" ht="76.5" hidden="false" customHeight="false" outlineLevel="0" collapsed="false">
      <c r="A129" s="37" t="s">
        <v>301</v>
      </c>
      <c r="B129" s="34" t="s">
        <v>302</v>
      </c>
      <c r="C129" s="34" t="s">
        <v>303</v>
      </c>
    </row>
    <row r="130" customFormat="false" ht="76.5" hidden="false" customHeight="false" outlineLevel="0" collapsed="false">
      <c r="A130" s="37" t="s">
        <v>304</v>
      </c>
      <c r="B130" s="34" t="s">
        <v>305</v>
      </c>
      <c r="C130" s="34" t="s">
        <v>306</v>
      </c>
    </row>
    <row r="131" customFormat="false" ht="102" hidden="false" customHeight="false" outlineLevel="0" collapsed="false">
      <c r="A131" s="37" t="s">
        <v>307</v>
      </c>
      <c r="B131" s="34" t="s">
        <v>308</v>
      </c>
      <c r="C131" s="34" t="s">
        <v>309</v>
      </c>
    </row>
    <row r="132" customFormat="false" ht="102" hidden="false" customHeight="false" outlineLevel="0" collapsed="false">
      <c r="A132" s="37" t="s">
        <v>310</v>
      </c>
      <c r="B132" s="34" t="s">
        <v>311</v>
      </c>
      <c r="C132" s="34" t="s">
        <v>309</v>
      </c>
    </row>
    <row r="133" customFormat="false" ht="89.25" hidden="false" customHeight="false" outlineLevel="0" collapsed="false">
      <c r="A133" s="37" t="s">
        <v>312</v>
      </c>
      <c r="B133" s="34" t="s">
        <v>313</v>
      </c>
      <c r="C133" s="34" t="s">
        <v>298</v>
      </c>
    </row>
    <row r="134" customFormat="false" ht="89.25" hidden="false" customHeight="false" outlineLevel="0" collapsed="false">
      <c r="A134" s="37" t="s">
        <v>314</v>
      </c>
      <c r="B134" s="34" t="s">
        <v>315</v>
      </c>
      <c r="C134" s="34" t="s">
        <v>298</v>
      </c>
    </row>
    <row r="135" customFormat="false" ht="127.5" hidden="false" customHeight="false" outlineLevel="0" collapsed="false">
      <c r="A135" s="37" t="s">
        <v>316</v>
      </c>
      <c r="B135" s="34" t="s">
        <v>317</v>
      </c>
      <c r="C135" s="34" t="s">
        <v>318</v>
      </c>
    </row>
    <row r="136" customFormat="false" ht="89.25" hidden="false" customHeight="false" outlineLevel="0" collapsed="false">
      <c r="A136" s="37" t="s">
        <v>319</v>
      </c>
      <c r="B136" s="34" t="s">
        <v>320</v>
      </c>
      <c r="C136" s="34" t="s">
        <v>321</v>
      </c>
    </row>
    <row r="137" customFormat="false" ht="63.75" hidden="false" customHeight="false" outlineLevel="0" collapsed="false">
      <c r="A137" s="37" t="s">
        <v>322</v>
      </c>
      <c r="B137" s="34" t="s">
        <v>323</v>
      </c>
      <c r="C137" s="34" t="s">
        <v>139</v>
      </c>
    </row>
    <row r="138" customFormat="false" ht="63.75" hidden="false" customHeight="false" outlineLevel="0" collapsed="false">
      <c r="A138" s="37" t="s">
        <v>324</v>
      </c>
      <c r="B138" s="34" t="s">
        <v>325</v>
      </c>
      <c r="C138" s="34" t="s">
        <v>139</v>
      </c>
    </row>
    <row r="139" customFormat="false" ht="127.5" hidden="false" customHeight="false" outlineLevel="0" collapsed="false">
      <c r="A139" s="37" t="n">
        <v>5151100</v>
      </c>
      <c r="B139" s="34" t="s">
        <v>326</v>
      </c>
      <c r="C139" s="34" t="s">
        <v>327</v>
      </c>
    </row>
    <row r="140" customFormat="false" ht="127.5" hidden="false" customHeight="false" outlineLevel="0" collapsed="false">
      <c r="A140" s="37" t="n">
        <v>5151200</v>
      </c>
      <c r="B140" s="34" t="s">
        <v>328</v>
      </c>
      <c r="C140" s="34" t="s">
        <v>327</v>
      </c>
    </row>
    <row r="141" customFormat="false" ht="127.5" hidden="false" customHeight="false" outlineLevel="0" collapsed="false">
      <c r="A141" s="37" t="n">
        <v>5151500</v>
      </c>
      <c r="B141" s="34" t="s">
        <v>329</v>
      </c>
      <c r="C141" s="34" t="s">
        <v>327</v>
      </c>
    </row>
    <row r="142" customFormat="false" ht="127.5" hidden="false" customHeight="false" outlineLevel="0" collapsed="false">
      <c r="A142" s="37" t="n">
        <v>5152100</v>
      </c>
      <c r="B142" s="34" t="s">
        <v>330</v>
      </c>
      <c r="C142" s="34" t="s">
        <v>327</v>
      </c>
    </row>
    <row r="143" customFormat="false" ht="127.5" hidden="false" customHeight="false" outlineLevel="0" collapsed="false">
      <c r="A143" s="37" t="n">
        <v>5152200</v>
      </c>
      <c r="B143" s="34" t="s">
        <v>331</v>
      </c>
      <c r="C143" s="34" t="s">
        <v>327</v>
      </c>
    </row>
    <row r="144" customFormat="false" ht="127.5" hidden="false" customHeight="false" outlineLevel="0" collapsed="false">
      <c r="A144" s="37" t="n">
        <v>5152500</v>
      </c>
      <c r="B144" s="34" t="s">
        <v>332</v>
      </c>
      <c r="C144" s="34" t="s">
        <v>327</v>
      </c>
    </row>
    <row r="145" customFormat="false" ht="127.5" hidden="false" customHeight="false" outlineLevel="0" collapsed="false">
      <c r="A145" s="37" t="s">
        <v>333</v>
      </c>
      <c r="B145" s="34" t="s">
        <v>334</v>
      </c>
      <c r="C145" s="34" t="s">
        <v>327</v>
      </c>
    </row>
    <row r="146" customFormat="false" ht="127.5" hidden="false" customHeight="false" outlineLevel="0" collapsed="false">
      <c r="A146" s="37" t="s">
        <v>335</v>
      </c>
      <c r="B146" s="34" t="s">
        <v>248</v>
      </c>
      <c r="C146" s="34" t="s">
        <v>336</v>
      </c>
    </row>
    <row r="147" customFormat="false" ht="127.5" hidden="false" customHeight="false" outlineLevel="0" collapsed="false">
      <c r="A147" s="37" t="s">
        <v>337</v>
      </c>
      <c r="B147" s="34" t="s">
        <v>251</v>
      </c>
      <c r="C147" s="34" t="s">
        <v>336</v>
      </c>
    </row>
    <row r="148" customFormat="false" ht="89.25" hidden="false" customHeight="false" outlineLevel="0" collapsed="false">
      <c r="A148" s="37" t="s">
        <v>338</v>
      </c>
      <c r="B148" s="34" t="s">
        <v>339</v>
      </c>
      <c r="C148" s="34" t="s">
        <v>340</v>
      </c>
    </row>
    <row r="149" customFormat="false" ht="89.25" hidden="false" customHeight="false" outlineLevel="0" collapsed="false">
      <c r="A149" s="37" t="s">
        <v>341</v>
      </c>
      <c r="B149" s="34" t="s">
        <v>342</v>
      </c>
      <c r="C149" s="34" t="s">
        <v>340</v>
      </c>
    </row>
    <row r="150" customFormat="false" ht="76.5" hidden="false" customHeight="false" outlineLevel="0" collapsed="false">
      <c r="A150" s="37" t="s">
        <v>343</v>
      </c>
      <c r="B150" s="34" t="s">
        <v>344</v>
      </c>
      <c r="C150" s="34" t="s">
        <v>345</v>
      </c>
    </row>
    <row r="151" customFormat="false" ht="76.5" hidden="false" customHeight="false" outlineLevel="0" collapsed="false">
      <c r="A151" s="37" t="s">
        <v>346</v>
      </c>
      <c r="B151" s="34" t="s">
        <v>347</v>
      </c>
      <c r="C151" s="34" t="s">
        <v>348</v>
      </c>
    </row>
    <row r="152" customFormat="false" ht="102" hidden="false" customHeight="false" outlineLevel="0" collapsed="false">
      <c r="A152" s="37" t="s">
        <v>349</v>
      </c>
      <c r="B152" s="34" t="s">
        <v>350</v>
      </c>
      <c r="C152" s="34" t="s">
        <v>351</v>
      </c>
    </row>
    <row r="153" customFormat="false" ht="102" hidden="false" customHeight="false" outlineLevel="0" collapsed="false">
      <c r="A153" s="37" t="s">
        <v>352</v>
      </c>
      <c r="B153" s="34" t="s">
        <v>353</v>
      </c>
      <c r="C153" s="34" t="s">
        <v>351</v>
      </c>
    </row>
    <row r="154" customFormat="false" ht="89.25" hidden="false" customHeight="false" outlineLevel="0" collapsed="false">
      <c r="A154" s="37" t="s">
        <v>354</v>
      </c>
      <c r="B154" s="34" t="s">
        <v>355</v>
      </c>
      <c r="C154" s="34" t="s">
        <v>340</v>
      </c>
    </row>
    <row r="155" customFormat="false" ht="89.25" hidden="false" customHeight="false" outlineLevel="0" collapsed="false">
      <c r="A155" s="37" t="s">
        <v>356</v>
      </c>
      <c r="B155" s="34" t="s">
        <v>357</v>
      </c>
      <c r="C155" s="34" t="s">
        <v>340</v>
      </c>
    </row>
    <row r="156" customFormat="false" ht="127.5" hidden="false" customHeight="false" outlineLevel="0" collapsed="false">
      <c r="A156" s="37" t="s">
        <v>358</v>
      </c>
      <c r="B156" s="34" t="s">
        <v>359</v>
      </c>
      <c r="C156" s="34" t="s">
        <v>360</v>
      </c>
    </row>
    <row r="157" customFormat="false" ht="89.25" hidden="false" customHeight="false" outlineLevel="0" collapsed="false">
      <c r="A157" s="37" t="s">
        <v>361</v>
      </c>
      <c r="B157" s="34" t="s">
        <v>362</v>
      </c>
      <c r="C157" s="34" t="s">
        <v>363</v>
      </c>
    </row>
    <row r="158" customFormat="false" ht="63.75" hidden="false" customHeight="false" outlineLevel="0" collapsed="false">
      <c r="A158" s="37" t="s">
        <v>364</v>
      </c>
      <c r="B158" s="34" t="s">
        <v>365</v>
      </c>
      <c r="C158" s="34" t="s">
        <v>139</v>
      </c>
    </row>
    <row r="159" customFormat="false" ht="63.75" hidden="false" customHeight="false" outlineLevel="0" collapsed="false">
      <c r="A159" s="37" t="s">
        <v>366</v>
      </c>
      <c r="B159" s="34" t="s">
        <v>367</v>
      </c>
      <c r="C159" s="34" t="s">
        <v>139</v>
      </c>
    </row>
    <row r="160" customFormat="false" ht="89.25" hidden="false" customHeight="false" outlineLevel="0" collapsed="false">
      <c r="A160" s="37" t="n">
        <v>5162100</v>
      </c>
      <c r="B160" s="34" t="s">
        <v>368</v>
      </c>
      <c r="C160" s="34" t="s">
        <v>369</v>
      </c>
    </row>
    <row r="161" customFormat="false" ht="63.75" hidden="false" customHeight="false" outlineLevel="0" collapsed="false">
      <c r="A161" s="37" t="n">
        <v>5162400</v>
      </c>
      <c r="B161" s="34" t="s">
        <v>370</v>
      </c>
      <c r="C161" s="34" t="s">
        <v>139</v>
      </c>
    </row>
    <row r="162" customFormat="false" ht="63.75" hidden="false" customHeight="false" outlineLevel="0" collapsed="false">
      <c r="A162" s="37" t="s">
        <v>371</v>
      </c>
      <c r="B162" s="34" t="s">
        <v>372</v>
      </c>
      <c r="C162" s="34" t="s">
        <v>373</v>
      </c>
    </row>
    <row r="163" customFormat="false" ht="63.75" hidden="false" customHeight="false" outlineLevel="0" collapsed="false">
      <c r="A163" s="37" t="s">
        <v>374</v>
      </c>
      <c r="B163" s="34" t="s">
        <v>375</v>
      </c>
      <c r="C163" s="34" t="s">
        <v>373</v>
      </c>
    </row>
    <row r="164" customFormat="false" ht="63.75" hidden="false" customHeight="false" outlineLevel="0" collapsed="false">
      <c r="A164" s="37" t="s">
        <v>376</v>
      </c>
      <c r="B164" s="34" t="s">
        <v>377</v>
      </c>
      <c r="C164" s="34" t="s">
        <v>378</v>
      </c>
    </row>
    <row r="165" customFormat="false" ht="63.75" hidden="false" customHeight="false" outlineLevel="0" collapsed="false">
      <c r="A165" s="37" t="s">
        <v>379</v>
      </c>
      <c r="B165" s="34" t="s">
        <v>380</v>
      </c>
      <c r="C165" s="34" t="s">
        <v>373</v>
      </c>
    </row>
    <row r="166" customFormat="false" ht="63.75" hidden="false" customHeight="false" outlineLevel="0" collapsed="false">
      <c r="A166" s="37" t="s">
        <v>381</v>
      </c>
      <c r="B166" s="34" t="s">
        <v>375</v>
      </c>
      <c r="C166" s="34" t="s">
        <v>373</v>
      </c>
    </row>
    <row r="167" customFormat="false" ht="51" hidden="false" customHeight="false" outlineLevel="0" collapsed="false">
      <c r="A167" s="37" t="s">
        <v>382</v>
      </c>
      <c r="B167" s="34" t="s">
        <v>383</v>
      </c>
      <c r="C167" s="34" t="s">
        <v>384</v>
      </c>
    </row>
    <row r="168" customFormat="false" ht="89.25" hidden="false" customHeight="false" outlineLevel="0" collapsed="false">
      <c r="A168" s="37" t="s">
        <v>385</v>
      </c>
      <c r="B168" s="34" t="s">
        <v>386</v>
      </c>
      <c r="C168" s="34" t="s">
        <v>387</v>
      </c>
    </row>
    <row r="169" customFormat="false" ht="51" hidden="false" customHeight="false" outlineLevel="0" collapsed="false">
      <c r="A169" s="37" t="s">
        <v>388</v>
      </c>
      <c r="B169" s="34" t="s">
        <v>389</v>
      </c>
      <c r="C169" s="34" t="s">
        <v>390</v>
      </c>
    </row>
    <row r="170" customFormat="false" ht="51" hidden="false" customHeight="false" outlineLevel="0" collapsed="false">
      <c r="A170" s="37" t="s">
        <v>391</v>
      </c>
      <c r="B170" s="34" t="s">
        <v>392</v>
      </c>
      <c r="C170" s="34" t="s">
        <v>390</v>
      </c>
    </row>
    <row r="171" customFormat="false" ht="51" hidden="false" customHeight="false" outlineLevel="0" collapsed="false">
      <c r="A171" s="37" t="s">
        <v>393</v>
      </c>
      <c r="B171" s="34" t="s">
        <v>394</v>
      </c>
      <c r="C171" s="34" t="s">
        <v>390</v>
      </c>
    </row>
    <row r="172" customFormat="false" ht="63.75" hidden="false" customHeight="false" outlineLevel="0" collapsed="false">
      <c r="A172" s="37" t="s">
        <v>395</v>
      </c>
      <c r="B172" s="34" t="s">
        <v>396</v>
      </c>
      <c r="C172" s="34" t="s">
        <v>373</v>
      </c>
    </row>
    <row r="173" customFormat="false" ht="63.75" hidden="false" customHeight="false" outlineLevel="0" collapsed="false">
      <c r="A173" s="37" t="s">
        <v>397</v>
      </c>
      <c r="B173" s="34" t="s">
        <v>398</v>
      </c>
      <c r="C173" s="34" t="s">
        <v>373</v>
      </c>
    </row>
    <row r="174" customFormat="false" ht="51" hidden="false" customHeight="false" outlineLevel="0" collapsed="false">
      <c r="A174" s="37" t="s">
        <v>399</v>
      </c>
      <c r="B174" s="34" t="s">
        <v>400</v>
      </c>
      <c r="C174" s="34" t="s">
        <v>384</v>
      </c>
    </row>
    <row r="175" customFormat="false" ht="63.75" hidden="false" customHeight="false" outlineLevel="0" collapsed="false">
      <c r="A175" s="37" t="s">
        <v>401</v>
      </c>
      <c r="B175" s="34" t="s">
        <v>402</v>
      </c>
      <c r="C175" s="34" t="s">
        <v>403</v>
      </c>
    </row>
    <row r="176" customFormat="false" ht="63.75" hidden="false" customHeight="false" outlineLevel="0" collapsed="false">
      <c r="A176" s="37" t="s">
        <v>404</v>
      </c>
      <c r="B176" s="34" t="s">
        <v>405</v>
      </c>
      <c r="C176" s="34" t="s">
        <v>403</v>
      </c>
    </row>
    <row r="177" customFormat="false" ht="63.75" hidden="false" customHeight="false" outlineLevel="0" collapsed="false">
      <c r="A177" s="37" t="s">
        <v>406</v>
      </c>
      <c r="B177" s="34" t="s">
        <v>407</v>
      </c>
      <c r="C177" s="34" t="s">
        <v>403</v>
      </c>
    </row>
    <row r="178" customFormat="false" ht="63.75" hidden="false" customHeight="false" outlineLevel="0" collapsed="false">
      <c r="A178" s="37" t="s">
        <v>408</v>
      </c>
      <c r="B178" s="34" t="s">
        <v>409</v>
      </c>
      <c r="C178" s="34" t="s">
        <v>403</v>
      </c>
    </row>
    <row r="179" customFormat="false" ht="63.75" hidden="false" customHeight="false" outlineLevel="0" collapsed="false">
      <c r="A179" s="37" t="s">
        <v>410</v>
      </c>
      <c r="B179" s="34" t="s">
        <v>411</v>
      </c>
      <c r="C179" s="34" t="s">
        <v>403</v>
      </c>
    </row>
    <row r="180" customFormat="false" ht="63.75" hidden="false" customHeight="false" outlineLevel="0" collapsed="false">
      <c r="A180" s="37" t="s">
        <v>412</v>
      </c>
      <c r="B180" s="34" t="s">
        <v>413</v>
      </c>
      <c r="C180" s="34" t="s">
        <v>403</v>
      </c>
    </row>
    <row r="181" customFormat="false" ht="63.75" hidden="false" customHeight="false" outlineLevel="0" collapsed="false">
      <c r="A181" s="37" t="s">
        <v>414</v>
      </c>
      <c r="B181" s="34" t="s">
        <v>415</v>
      </c>
      <c r="C181" s="34" t="s">
        <v>403</v>
      </c>
    </row>
    <row r="182" customFormat="false" ht="63.75" hidden="false" customHeight="false" outlineLevel="0" collapsed="false">
      <c r="A182" s="37" t="s">
        <v>416</v>
      </c>
      <c r="B182" s="34" t="s">
        <v>417</v>
      </c>
      <c r="C182" s="34" t="s">
        <v>403</v>
      </c>
    </row>
    <row r="183" customFormat="false" ht="102" hidden="false" customHeight="false" outlineLevel="0" collapsed="false">
      <c r="A183" s="37" t="s">
        <v>418</v>
      </c>
      <c r="B183" s="34" t="s">
        <v>419</v>
      </c>
      <c r="C183" s="34" t="s">
        <v>420</v>
      </c>
    </row>
    <row r="184" customFormat="false" ht="63.75" hidden="false" customHeight="false" outlineLevel="0" collapsed="false">
      <c r="A184" s="37" t="s">
        <v>421</v>
      </c>
      <c r="B184" s="34" t="s">
        <v>422</v>
      </c>
      <c r="C184" s="34" t="s">
        <v>139</v>
      </c>
    </row>
    <row r="185" customFormat="false" ht="63.75" hidden="false" customHeight="false" outlineLevel="0" collapsed="false">
      <c r="A185" s="37" t="s">
        <v>423</v>
      </c>
      <c r="B185" s="34" t="s">
        <v>424</v>
      </c>
      <c r="C185" s="34" t="s">
        <v>139</v>
      </c>
    </row>
    <row r="186" customFormat="false" ht="63.75" hidden="false" customHeight="false" outlineLevel="0" collapsed="false">
      <c r="A186" s="37" t="s">
        <v>425</v>
      </c>
      <c r="B186" s="34" t="s">
        <v>426</v>
      </c>
      <c r="C186" s="34" t="s">
        <v>139</v>
      </c>
    </row>
    <row r="187" customFormat="false" ht="63.75" hidden="false" customHeight="false" outlineLevel="0" collapsed="false">
      <c r="A187" s="37" t="s">
        <v>427</v>
      </c>
      <c r="B187" s="34" t="s">
        <v>428</v>
      </c>
      <c r="C187" s="34" t="s">
        <v>139</v>
      </c>
    </row>
    <row r="188" customFormat="false" ht="63.75" hidden="false" customHeight="false" outlineLevel="0" collapsed="false">
      <c r="A188" s="37" t="s">
        <v>429</v>
      </c>
      <c r="B188" s="34" t="s">
        <v>430</v>
      </c>
      <c r="C188" s="34" t="s">
        <v>139</v>
      </c>
    </row>
    <row r="189" customFormat="false" ht="89.25" hidden="false" customHeight="false" outlineLevel="0" collapsed="false">
      <c r="A189" s="37" t="n">
        <v>5171300</v>
      </c>
      <c r="B189" s="34" t="s">
        <v>431</v>
      </c>
      <c r="C189" s="34" t="s">
        <v>122</v>
      </c>
    </row>
    <row r="190" customFormat="false" ht="89.25" hidden="false" customHeight="false" outlineLevel="0" collapsed="false">
      <c r="A190" s="37" t="n">
        <v>5172100</v>
      </c>
      <c r="B190" s="34" t="s">
        <v>432</v>
      </c>
      <c r="C190" s="34" t="s">
        <v>122</v>
      </c>
    </row>
    <row r="191" customFormat="false" ht="89.25" hidden="false" customHeight="false" outlineLevel="0" collapsed="false">
      <c r="A191" s="37" t="n">
        <v>5172200</v>
      </c>
      <c r="B191" s="34" t="s">
        <v>433</v>
      </c>
      <c r="C191" s="34" t="s">
        <v>122</v>
      </c>
    </row>
    <row r="192" customFormat="false" ht="89.25" hidden="false" customHeight="false" outlineLevel="0" collapsed="false">
      <c r="A192" s="37" t="n">
        <v>5172300</v>
      </c>
      <c r="B192" s="34" t="s">
        <v>121</v>
      </c>
      <c r="C192" s="34" t="s">
        <v>122</v>
      </c>
    </row>
    <row r="193" customFormat="false" ht="89.25" hidden="false" customHeight="false" outlineLevel="0" collapsed="false">
      <c r="A193" s="37" t="n">
        <v>5172800</v>
      </c>
      <c r="B193" s="34" t="s">
        <v>434</v>
      </c>
      <c r="C193" s="34" t="s">
        <v>122</v>
      </c>
    </row>
    <row r="194" customFormat="false" ht="51" hidden="false" customHeight="false" outlineLevel="0" collapsed="false">
      <c r="A194" s="37" t="s">
        <v>435</v>
      </c>
      <c r="B194" s="34" t="s">
        <v>436</v>
      </c>
      <c r="C194" s="34" t="s">
        <v>437</v>
      </c>
    </row>
    <row r="195" customFormat="false" ht="51" hidden="false" customHeight="false" outlineLevel="0" collapsed="false">
      <c r="A195" s="37" t="s">
        <v>438</v>
      </c>
      <c r="B195" s="34" t="s">
        <v>439</v>
      </c>
      <c r="C195" s="34" t="s">
        <v>437</v>
      </c>
    </row>
    <row r="196" customFormat="false" ht="51" hidden="false" customHeight="false" outlineLevel="0" collapsed="false">
      <c r="A196" s="37" t="s">
        <v>440</v>
      </c>
      <c r="B196" s="34" t="s">
        <v>441</v>
      </c>
      <c r="C196" s="34" t="s">
        <v>437</v>
      </c>
    </row>
    <row r="197" customFormat="false" ht="89.25" hidden="false" customHeight="false" outlineLevel="0" collapsed="false">
      <c r="A197" s="37" t="s">
        <v>442</v>
      </c>
      <c r="B197" s="34" t="s">
        <v>443</v>
      </c>
      <c r="C197" s="34" t="s">
        <v>444</v>
      </c>
    </row>
    <row r="198" customFormat="false" ht="89.25" hidden="false" customHeight="false" outlineLevel="0" collapsed="false">
      <c r="A198" s="37" t="s">
        <v>445</v>
      </c>
      <c r="B198" s="34" t="s">
        <v>446</v>
      </c>
      <c r="C198" s="34" t="s">
        <v>444</v>
      </c>
    </row>
    <row r="199" customFormat="false" ht="89.25" hidden="false" customHeight="false" outlineLevel="0" collapsed="false">
      <c r="A199" s="37" t="s">
        <v>447</v>
      </c>
      <c r="B199" s="34" t="s">
        <v>448</v>
      </c>
      <c r="C199" s="34" t="s">
        <v>449</v>
      </c>
    </row>
    <row r="200" customFormat="false" ht="63.75" hidden="false" customHeight="false" outlineLevel="0" collapsed="false">
      <c r="A200" s="37" t="s">
        <v>450</v>
      </c>
      <c r="B200" s="34" t="s">
        <v>451</v>
      </c>
      <c r="C200" s="34" t="s">
        <v>452</v>
      </c>
    </row>
    <row r="201" customFormat="false" ht="63.75" hidden="false" customHeight="false" outlineLevel="0" collapsed="false">
      <c r="A201" s="37" t="s">
        <v>453</v>
      </c>
      <c r="B201" s="34" t="s">
        <v>454</v>
      </c>
      <c r="C201" s="34" t="s">
        <v>139</v>
      </c>
    </row>
    <row r="202" customFormat="false" ht="63.75" hidden="false" customHeight="false" outlineLevel="0" collapsed="false">
      <c r="A202" s="37" t="s">
        <v>455</v>
      </c>
      <c r="B202" s="34" t="s">
        <v>456</v>
      </c>
      <c r="C202" s="34" t="s">
        <v>139</v>
      </c>
    </row>
    <row r="203" customFormat="false" ht="63.75" hidden="false" customHeight="false" outlineLevel="0" collapsed="false">
      <c r="A203" s="37" t="s">
        <v>457</v>
      </c>
      <c r="B203" s="34" t="s">
        <v>458</v>
      </c>
      <c r="C203" s="34" t="s">
        <v>139</v>
      </c>
    </row>
    <row r="204" customFormat="false" ht="63.75" hidden="false" customHeight="false" outlineLevel="0" collapsed="false">
      <c r="A204" s="37" t="s">
        <v>459</v>
      </c>
      <c r="B204" s="34" t="s">
        <v>460</v>
      </c>
      <c r="C204" s="34" t="s">
        <v>139</v>
      </c>
    </row>
    <row r="205" customFormat="false" ht="38.25" hidden="false" customHeight="false" outlineLevel="0" collapsed="false">
      <c r="A205" s="37" t="s">
        <v>461</v>
      </c>
      <c r="B205" s="34" t="s">
        <v>462</v>
      </c>
      <c r="C205" s="34" t="s">
        <v>463</v>
      </c>
    </row>
    <row r="206" customFormat="false" ht="38.25" hidden="false" customHeight="false" outlineLevel="0" collapsed="false">
      <c r="A206" s="37" t="s">
        <v>464</v>
      </c>
      <c r="B206" s="34" t="s">
        <v>465</v>
      </c>
      <c r="C206" s="34" t="s">
        <v>466</v>
      </c>
    </row>
    <row r="207" customFormat="false" ht="38.25" hidden="false" customHeight="false" outlineLevel="0" collapsed="false">
      <c r="A207" s="37" t="s">
        <v>467</v>
      </c>
      <c r="B207" s="34" t="s">
        <v>468</v>
      </c>
      <c r="C207" s="34" t="s">
        <v>469</v>
      </c>
    </row>
    <row r="208" customFormat="false" ht="38.25" hidden="false" customHeight="false" outlineLevel="0" collapsed="false">
      <c r="A208" s="37" t="s">
        <v>470</v>
      </c>
      <c r="B208" s="34" t="s">
        <v>471</v>
      </c>
      <c r="C208" s="34" t="s">
        <v>472</v>
      </c>
    </row>
    <row r="209" customFormat="false" ht="38.25" hidden="false" customHeight="false" outlineLevel="0" collapsed="false">
      <c r="A209" s="37" t="s">
        <v>473</v>
      </c>
      <c r="B209" s="34" t="s">
        <v>474</v>
      </c>
      <c r="C209" s="34" t="s">
        <v>475</v>
      </c>
    </row>
    <row r="210" customFormat="false" ht="38.25" hidden="false" customHeight="false" outlineLevel="0" collapsed="false">
      <c r="A210" s="37" t="s">
        <v>476</v>
      </c>
      <c r="B210" s="34" t="s">
        <v>477</v>
      </c>
      <c r="C210" s="34" t="s">
        <v>478</v>
      </c>
    </row>
    <row r="211" customFormat="false" ht="38.25" hidden="false" customHeight="false" outlineLevel="0" collapsed="false">
      <c r="A211" s="37" t="s">
        <v>479</v>
      </c>
      <c r="B211" s="34" t="s">
        <v>480</v>
      </c>
      <c r="C211" s="34" t="s">
        <v>481</v>
      </c>
    </row>
    <row r="212" customFormat="false" ht="38.25" hidden="false" customHeight="false" outlineLevel="0" collapsed="false">
      <c r="A212" s="37" t="s">
        <v>482</v>
      </c>
      <c r="B212" s="34" t="s">
        <v>483</v>
      </c>
      <c r="C212" s="34" t="s">
        <v>484</v>
      </c>
    </row>
    <row r="213" customFormat="false" ht="38.25" hidden="false" customHeight="false" outlineLevel="0" collapsed="false">
      <c r="A213" s="37" t="s">
        <v>485</v>
      </c>
      <c r="B213" s="34" t="s">
        <v>486</v>
      </c>
      <c r="C213" s="34" t="s">
        <v>487</v>
      </c>
    </row>
    <row r="214" customFormat="false" ht="38.25" hidden="false" customHeight="false" outlineLevel="0" collapsed="false">
      <c r="A214" s="37" t="s">
        <v>488</v>
      </c>
      <c r="B214" s="34" t="s">
        <v>489</v>
      </c>
      <c r="C214" s="34" t="s">
        <v>490</v>
      </c>
    </row>
    <row r="215" customFormat="false" ht="38.25" hidden="false" customHeight="false" outlineLevel="0" collapsed="false">
      <c r="A215" s="37" t="s">
        <v>491</v>
      </c>
      <c r="B215" s="34" t="s">
        <v>492</v>
      </c>
      <c r="C215" s="34" t="s">
        <v>493</v>
      </c>
    </row>
    <row r="216" customFormat="false" ht="38.25" hidden="false" customHeight="false" outlineLevel="0" collapsed="false">
      <c r="A216" s="37" t="s">
        <v>494</v>
      </c>
      <c r="B216" s="34" t="s">
        <v>495</v>
      </c>
      <c r="C216" s="34" t="s">
        <v>496</v>
      </c>
    </row>
    <row r="217" customFormat="false" ht="38.25" hidden="false" customHeight="false" outlineLevel="0" collapsed="false">
      <c r="A217" s="37" t="s">
        <v>497</v>
      </c>
      <c r="B217" s="34" t="s">
        <v>498</v>
      </c>
      <c r="C217" s="34" t="s">
        <v>499</v>
      </c>
    </row>
    <row r="218" customFormat="false" ht="38.25" hidden="false" customHeight="false" outlineLevel="0" collapsed="false">
      <c r="A218" s="37" t="s">
        <v>500</v>
      </c>
      <c r="B218" s="34" t="s">
        <v>501</v>
      </c>
      <c r="C218" s="34" t="s">
        <v>502</v>
      </c>
    </row>
    <row r="219" customFormat="false" ht="38.25" hidden="false" customHeight="false" outlineLevel="0" collapsed="false">
      <c r="A219" s="37" t="s">
        <v>503</v>
      </c>
      <c r="B219" s="34" t="s">
        <v>504</v>
      </c>
      <c r="C219" s="34" t="s">
        <v>505</v>
      </c>
    </row>
    <row r="220" customFormat="false" ht="51" hidden="false" customHeight="false" outlineLevel="0" collapsed="false">
      <c r="A220" s="37" t="s">
        <v>506</v>
      </c>
      <c r="B220" s="34" t="s">
        <v>507</v>
      </c>
      <c r="C220" s="34" t="s">
        <v>508</v>
      </c>
    </row>
    <row r="221" customFormat="false" ht="51" hidden="false" customHeight="false" outlineLevel="0" collapsed="false">
      <c r="A221" s="37" t="s">
        <v>509</v>
      </c>
      <c r="B221" s="34" t="s">
        <v>510</v>
      </c>
      <c r="C221" s="34" t="s">
        <v>511</v>
      </c>
    </row>
    <row r="222" customFormat="false" ht="51" hidden="false" customHeight="false" outlineLevel="0" collapsed="false">
      <c r="A222" s="37" t="s">
        <v>512</v>
      </c>
      <c r="B222" s="34" t="s">
        <v>513</v>
      </c>
      <c r="C222" s="34" t="s">
        <v>514</v>
      </c>
    </row>
    <row r="223" customFormat="false" ht="51" hidden="false" customHeight="false" outlineLevel="0" collapsed="false">
      <c r="A223" s="37" t="s">
        <v>515</v>
      </c>
      <c r="B223" s="34" t="s">
        <v>516</v>
      </c>
      <c r="C223" s="34" t="s">
        <v>517</v>
      </c>
    </row>
    <row r="224" customFormat="false" ht="51" hidden="false" customHeight="false" outlineLevel="0" collapsed="false">
      <c r="A224" s="37" t="s">
        <v>518</v>
      </c>
      <c r="B224" s="34" t="s">
        <v>519</v>
      </c>
      <c r="C224" s="34" t="s">
        <v>517</v>
      </c>
    </row>
    <row r="225" customFormat="false" ht="51" hidden="false" customHeight="false" outlineLevel="0" collapsed="false">
      <c r="A225" s="37" t="s">
        <v>520</v>
      </c>
      <c r="B225" s="34" t="s">
        <v>521</v>
      </c>
      <c r="C225" s="34" t="s">
        <v>517</v>
      </c>
    </row>
    <row r="226" customFormat="false" ht="51" hidden="false" customHeight="false" outlineLevel="0" collapsed="false">
      <c r="A226" s="37" t="s">
        <v>522</v>
      </c>
      <c r="B226" s="34" t="s">
        <v>523</v>
      </c>
      <c r="C226" s="34" t="s">
        <v>517</v>
      </c>
    </row>
    <row r="227" customFormat="false" ht="51" hidden="false" customHeight="false" outlineLevel="0" collapsed="false">
      <c r="A227" s="37" t="s">
        <v>524</v>
      </c>
      <c r="B227" s="34" t="s">
        <v>525</v>
      </c>
      <c r="C227" s="34" t="s">
        <v>511</v>
      </c>
    </row>
    <row r="228" customFormat="false" ht="51" hidden="false" customHeight="false" outlineLevel="0" collapsed="false">
      <c r="A228" s="37" t="s">
        <v>526</v>
      </c>
      <c r="B228" s="34" t="s">
        <v>527</v>
      </c>
      <c r="C228" s="34" t="s">
        <v>511</v>
      </c>
    </row>
    <row r="229" customFormat="false" ht="51" hidden="false" customHeight="false" outlineLevel="0" collapsed="false">
      <c r="A229" s="37" t="s">
        <v>528</v>
      </c>
      <c r="B229" s="34" t="s">
        <v>529</v>
      </c>
      <c r="C229" s="34" t="s">
        <v>511</v>
      </c>
    </row>
    <row r="230" customFormat="false" ht="51" hidden="false" customHeight="false" outlineLevel="0" collapsed="false">
      <c r="A230" s="37" t="s">
        <v>530</v>
      </c>
      <c r="B230" s="34" t="s">
        <v>531</v>
      </c>
      <c r="C230" s="34" t="s">
        <v>511</v>
      </c>
    </row>
    <row r="231" customFormat="false" ht="51" hidden="false" customHeight="false" outlineLevel="0" collapsed="false">
      <c r="A231" s="37" t="s">
        <v>532</v>
      </c>
      <c r="B231" s="34" t="s">
        <v>533</v>
      </c>
      <c r="C231" s="34" t="s">
        <v>511</v>
      </c>
    </row>
    <row r="232" customFormat="false" ht="51" hidden="false" customHeight="false" outlineLevel="0" collapsed="false">
      <c r="A232" s="37" t="s">
        <v>534</v>
      </c>
      <c r="B232" s="34" t="s">
        <v>535</v>
      </c>
      <c r="C232" s="34" t="s">
        <v>511</v>
      </c>
    </row>
    <row r="233" customFormat="false" ht="51" hidden="false" customHeight="false" outlineLevel="0" collapsed="false">
      <c r="A233" s="37" t="s">
        <v>536</v>
      </c>
      <c r="B233" s="34" t="s">
        <v>537</v>
      </c>
      <c r="C233" s="34" t="s">
        <v>511</v>
      </c>
    </row>
    <row r="234" customFormat="false" ht="51" hidden="false" customHeight="false" outlineLevel="0" collapsed="false">
      <c r="A234" s="37" t="s">
        <v>538</v>
      </c>
      <c r="B234" s="34" t="s">
        <v>539</v>
      </c>
      <c r="C234" s="34" t="s">
        <v>511</v>
      </c>
    </row>
    <row r="235" customFormat="false" ht="51" hidden="false" customHeight="false" outlineLevel="0" collapsed="false">
      <c r="A235" s="37" t="s">
        <v>540</v>
      </c>
      <c r="B235" s="34" t="s">
        <v>541</v>
      </c>
      <c r="C235" s="34" t="s">
        <v>511</v>
      </c>
    </row>
    <row r="236" customFormat="false" ht="51" hidden="false" customHeight="false" outlineLevel="0" collapsed="false">
      <c r="A236" s="37" t="s">
        <v>542</v>
      </c>
      <c r="B236" s="34" t="s">
        <v>543</v>
      </c>
      <c r="C236" s="34" t="s">
        <v>511</v>
      </c>
    </row>
    <row r="237" customFormat="false" ht="51" hidden="false" customHeight="false" outlineLevel="0" collapsed="false">
      <c r="A237" s="37" t="s">
        <v>544</v>
      </c>
      <c r="B237" s="34" t="s">
        <v>545</v>
      </c>
      <c r="C237" s="34" t="s">
        <v>546</v>
      </c>
    </row>
    <row r="238" customFormat="false" ht="51" hidden="false" customHeight="false" outlineLevel="0" collapsed="false">
      <c r="A238" s="37" t="s">
        <v>547</v>
      </c>
      <c r="B238" s="34" t="s">
        <v>548</v>
      </c>
      <c r="C238" s="34" t="s">
        <v>546</v>
      </c>
    </row>
    <row r="239" customFormat="false" ht="51" hidden="false" customHeight="false" outlineLevel="0" collapsed="false">
      <c r="A239" s="37" t="s">
        <v>549</v>
      </c>
      <c r="B239" s="34" t="s">
        <v>550</v>
      </c>
      <c r="C239" s="34" t="s">
        <v>546</v>
      </c>
    </row>
    <row r="240" customFormat="false" ht="51" hidden="false" customHeight="false" outlineLevel="0" collapsed="false">
      <c r="A240" s="37" t="s">
        <v>551</v>
      </c>
      <c r="B240" s="34" t="s">
        <v>552</v>
      </c>
      <c r="C240" s="34" t="s">
        <v>546</v>
      </c>
    </row>
    <row r="241" customFormat="false" ht="51" hidden="false" customHeight="false" outlineLevel="0" collapsed="false">
      <c r="A241" s="37" t="s">
        <v>553</v>
      </c>
      <c r="B241" s="34" t="s">
        <v>554</v>
      </c>
      <c r="C241" s="34" t="s">
        <v>546</v>
      </c>
    </row>
    <row r="242" customFormat="false" ht="51" hidden="false" customHeight="false" outlineLevel="0" collapsed="false">
      <c r="A242" s="37" t="s">
        <v>555</v>
      </c>
      <c r="B242" s="34" t="s">
        <v>556</v>
      </c>
      <c r="C242" s="34" t="s">
        <v>546</v>
      </c>
    </row>
    <row r="243" customFormat="false" ht="51" hidden="false" customHeight="false" outlineLevel="0" collapsed="false">
      <c r="A243" s="37" t="s">
        <v>557</v>
      </c>
      <c r="B243" s="34" t="s">
        <v>558</v>
      </c>
      <c r="C243" s="34" t="s">
        <v>546</v>
      </c>
    </row>
    <row r="244" customFormat="false" ht="63.75" hidden="false" customHeight="false" outlineLevel="0" collapsed="false">
      <c r="A244" s="37" t="s">
        <v>559</v>
      </c>
      <c r="B244" s="34" t="s">
        <v>560</v>
      </c>
      <c r="C244" s="34" t="s">
        <v>561</v>
      </c>
    </row>
    <row r="245" customFormat="false" ht="63.75" hidden="false" customHeight="false" outlineLevel="0" collapsed="false">
      <c r="A245" s="37" t="s">
        <v>562</v>
      </c>
      <c r="B245" s="34" t="s">
        <v>563</v>
      </c>
      <c r="C245" s="34" t="s">
        <v>561</v>
      </c>
    </row>
    <row r="246" customFormat="false" ht="89.25" hidden="false" customHeight="false" outlineLevel="0" collapsed="false">
      <c r="A246" s="37" t="s">
        <v>564</v>
      </c>
      <c r="B246" s="34" t="s">
        <v>565</v>
      </c>
      <c r="C246" s="34" t="s">
        <v>566</v>
      </c>
    </row>
    <row r="247" customFormat="false" ht="63.75" hidden="false" customHeight="false" outlineLevel="0" collapsed="false">
      <c r="A247" s="37" t="s">
        <v>567</v>
      </c>
      <c r="B247" s="34" t="s">
        <v>568</v>
      </c>
      <c r="C247" s="34" t="s">
        <v>561</v>
      </c>
    </row>
    <row r="248" customFormat="false" ht="63.75" hidden="false" customHeight="false" outlineLevel="0" collapsed="false">
      <c r="A248" s="37" t="s">
        <v>569</v>
      </c>
      <c r="B248" s="34" t="s">
        <v>570</v>
      </c>
      <c r="C248" s="34" t="s">
        <v>571</v>
      </c>
    </row>
    <row r="249" customFormat="false" ht="89.25" hidden="false" customHeight="false" outlineLevel="0" collapsed="false">
      <c r="A249" s="37" t="s">
        <v>572</v>
      </c>
      <c r="B249" s="34" t="s">
        <v>573</v>
      </c>
      <c r="C249" s="34" t="s">
        <v>574</v>
      </c>
    </row>
    <row r="250" customFormat="false" ht="89.25" hidden="false" customHeight="false" outlineLevel="0" collapsed="false">
      <c r="A250" s="37" t="s">
        <v>575</v>
      </c>
      <c r="B250" s="34" t="s">
        <v>576</v>
      </c>
      <c r="C250" s="34" t="s">
        <v>574</v>
      </c>
    </row>
    <row r="251" customFormat="false" ht="89.25" hidden="false" customHeight="false" outlineLevel="0" collapsed="false">
      <c r="A251" s="37" t="s">
        <v>577</v>
      </c>
      <c r="B251" s="34" t="s">
        <v>578</v>
      </c>
      <c r="C251" s="34" t="s">
        <v>574</v>
      </c>
    </row>
    <row r="252" customFormat="false" ht="89.25" hidden="false" customHeight="false" outlineLevel="0" collapsed="false">
      <c r="A252" s="37" t="s">
        <v>579</v>
      </c>
      <c r="B252" s="34" t="s">
        <v>580</v>
      </c>
      <c r="C252" s="34" t="s">
        <v>574</v>
      </c>
    </row>
    <row r="253" customFormat="false" ht="89.25" hidden="false" customHeight="false" outlineLevel="0" collapsed="false">
      <c r="A253" s="37" t="s">
        <v>581</v>
      </c>
      <c r="B253" s="34" t="s">
        <v>582</v>
      </c>
      <c r="C253" s="34" t="s">
        <v>574</v>
      </c>
    </row>
    <row r="254" customFormat="false" ht="63.75" hidden="false" customHeight="false" outlineLevel="0" collapsed="false">
      <c r="A254" s="37" t="s">
        <v>583</v>
      </c>
      <c r="B254" s="34" t="s">
        <v>584</v>
      </c>
      <c r="C254" s="34" t="s">
        <v>585</v>
      </c>
    </row>
    <row r="255" customFormat="false" ht="63.75" hidden="false" customHeight="false" outlineLevel="0" collapsed="false">
      <c r="A255" s="37" t="s">
        <v>586</v>
      </c>
      <c r="B255" s="34" t="s">
        <v>587</v>
      </c>
      <c r="C255" s="34" t="s">
        <v>588</v>
      </c>
    </row>
    <row r="256" customFormat="false" ht="51" hidden="false" customHeight="false" outlineLevel="0" collapsed="false">
      <c r="A256" s="37" t="s">
        <v>589</v>
      </c>
      <c r="B256" s="34" t="s">
        <v>590</v>
      </c>
      <c r="C256" s="34" t="s">
        <v>546</v>
      </c>
    </row>
    <row r="257" customFormat="false" ht="51" hidden="false" customHeight="false" outlineLevel="0" collapsed="false">
      <c r="A257" s="37" t="s">
        <v>591</v>
      </c>
      <c r="B257" s="34" t="s">
        <v>592</v>
      </c>
      <c r="C257" s="34" t="s">
        <v>546</v>
      </c>
    </row>
    <row r="258" customFormat="false" ht="51" hidden="false" customHeight="false" outlineLevel="0" collapsed="false">
      <c r="A258" s="37" t="s">
        <v>593</v>
      </c>
      <c r="B258" s="34" t="s">
        <v>594</v>
      </c>
      <c r="C258" s="34" t="s">
        <v>546</v>
      </c>
    </row>
    <row r="259" customFormat="false" ht="51" hidden="false" customHeight="false" outlineLevel="0" collapsed="false">
      <c r="A259" s="37" t="s">
        <v>595</v>
      </c>
      <c r="B259" s="34" t="s">
        <v>596</v>
      </c>
      <c r="C259" s="34" t="s">
        <v>546</v>
      </c>
    </row>
    <row r="260" customFormat="false" ht="51" hidden="false" customHeight="false" outlineLevel="0" collapsed="false">
      <c r="A260" s="37" t="s">
        <v>597</v>
      </c>
      <c r="B260" s="34" t="s">
        <v>598</v>
      </c>
      <c r="C260" s="34" t="s">
        <v>546</v>
      </c>
    </row>
    <row r="261" customFormat="false" ht="51" hidden="false" customHeight="false" outlineLevel="0" collapsed="false">
      <c r="A261" s="37" t="s">
        <v>599</v>
      </c>
      <c r="B261" s="34" t="s">
        <v>600</v>
      </c>
      <c r="C261" s="34" t="s">
        <v>546</v>
      </c>
    </row>
    <row r="262" customFormat="false" ht="51" hidden="false" customHeight="false" outlineLevel="0" collapsed="false">
      <c r="A262" s="37" t="s">
        <v>601</v>
      </c>
      <c r="B262" s="34" t="s">
        <v>602</v>
      </c>
      <c r="C262" s="34" t="s">
        <v>546</v>
      </c>
    </row>
    <row r="263" customFormat="false" ht="51" hidden="false" customHeight="false" outlineLevel="0" collapsed="false">
      <c r="A263" s="37" t="s">
        <v>603</v>
      </c>
      <c r="B263" s="34" t="s">
        <v>604</v>
      </c>
      <c r="C263" s="34" t="s">
        <v>546</v>
      </c>
    </row>
    <row r="264" customFormat="false" ht="51" hidden="false" customHeight="false" outlineLevel="0" collapsed="false">
      <c r="A264" s="37" t="s">
        <v>605</v>
      </c>
      <c r="B264" s="34" t="s">
        <v>606</v>
      </c>
      <c r="C264" s="34" t="s">
        <v>546</v>
      </c>
    </row>
    <row r="265" customFormat="false" ht="51" hidden="false" customHeight="false" outlineLevel="0" collapsed="false">
      <c r="A265" s="37" t="s">
        <v>607</v>
      </c>
      <c r="B265" s="34" t="s">
        <v>608</v>
      </c>
      <c r="C265" s="34" t="s">
        <v>546</v>
      </c>
    </row>
    <row r="266" customFormat="false" ht="51" hidden="false" customHeight="false" outlineLevel="0" collapsed="false">
      <c r="A266" s="37" t="s">
        <v>609</v>
      </c>
      <c r="B266" s="34" t="s">
        <v>610</v>
      </c>
      <c r="C266" s="34" t="s">
        <v>546</v>
      </c>
    </row>
    <row r="267" customFormat="false" ht="38.25" hidden="false" customHeight="false" outlineLevel="0" collapsed="false">
      <c r="A267" s="37" t="s">
        <v>611</v>
      </c>
      <c r="B267" s="34" t="s">
        <v>612</v>
      </c>
      <c r="C267" s="34" t="s">
        <v>613</v>
      </c>
    </row>
    <row r="268" customFormat="false" ht="51" hidden="false" customHeight="false" outlineLevel="0" collapsed="false">
      <c r="A268" s="37" t="s">
        <v>614</v>
      </c>
      <c r="B268" s="34" t="s">
        <v>615</v>
      </c>
      <c r="C268" s="34" t="s">
        <v>546</v>
      </c>
    </row>
    <row r="269" customFormat="false" ht="51" hidden="false" customHeight="false" outlineLevel="0" collapsed="false">
      <c r="A269" s="37" t="s">
        <v>616</v>
      </c>
      <c r="B269" s="34" t="s">
        <v>617</v>
      </c>
      <c r="C269" s="34" t="s">
        <v>546</v>
      </c>
    </row>
    <row r="270" customFormat="false" ht="51" hidden="false" customHeight="false" outlineLevel="0" collapsed="false">
      <c r="A270" s="37" t="s">
        <v>618</v>
      </c>
      <c r="B270" s="34" t="s">
        <v>619</v>
      </c>
      <c r="C270" s="34" t="s">
        <v>546</v>
      </c>
    </row>
    <row r="271" customFormat="false" ht="51" hidden="false" customHeight="false" outlineLevel="0" collapsed="false">
      <c r="A271" s="37" t="s">
        <v>620</v>
      </c>
      <c r="B271" s="34" t="s">
        <v>621</v>
      </c>
      <c r="C271" s="34" t="s">
        <v>546</v>
      </c>
    </row>
    <row r="272" customFormat="false" ht="51" hidden="false" customHeight="false" outlineLevel="0" collapsed="false">
      <c r="A272" s="37" t="s">
        <v>622</v>
      </c>
      <c r="B272" s="34" t="s">
        <v>623</v>
      </c>
      <c r="C272" s="34" t="s">
        <v>546</v>
      </c>
    </row>
    <row r="273" customFormat="false" ht="38.25" hidden="false" customHeight="false" outlineLevel="0" collapsed="false">
      <c r="A273" s="37" t="s">
        <v>624</v>
      </c>
      <c r="B273" s="34" t="s">
        <v>625</v>
      </c>
      <c r="C273" s="34" t="s">
        <v>613</v>
      </c>
    </row>
    <row r="274" customFormat="false" ht="51" hidden="false" customHeight="false" outlineLevel="0" collapsed="false">
      <c r="A274" s="37" t="s">
        <v>626</v>
      </c>
      <c r="B274" s="34" t="s">
        <v>627</v>
      </c>
      <c r="C274" s="34" t="s">
        <v>546</v>
      </c>
    </row>
    <row r="275" customFormat="false" ht="51" hidden="false" customHeight="false" outlineLevel="0" collapsed="false">
      <c r="A275" s="37" t="s">
        <v>628</v>
      </c>
      <c r="B275" s="34" t="s">
        <v>629</v>
      </c>
      <c r="C275" s="34" t="s">
        <v>546</v>
      </c>
    </row>
    <row r="276" customFormat="false" ht="51" hidden="false" customHeight="false" outlineLevel="0" collapsed="false">
      <c r="A276" s="37" t="s">
        <v>630</v>
      </c>
      <c r="B276" s="34" t="s">
        <v>631</v>
      </c>
      <c r="C276" s="34" t="s">
        <v>546</v>
      </c>
    </row>
    <row r="277" customFormat="false" ht="25.5" hidden="false" customHeight="false" outlineLevel="0" collapsed="false">
      <c r="A277" s="37" t="s">
        <v>632</v>
      </c>
      <c r="B277" s="34" t="s">
        <v>633</v>
      </c>
      <c r="C277" s="34" t="s">
        <v>634</v>
      </c>
    </row>
    <row r="278" customFormat="false" ht="25.5" hidden="false" customHeight="false" outlineLevel="0" collapsed="false">
      <c r="A278" s="37" t="s">
        <v>635</v>
      </c>
      <c r="B278" s="34" t="s">
        <v>636</v>
      </c>
      <c r="C278" s="34" t="s">
        <v>637</v>
      </c>
    </row>
    <row r="279" customFormat="false" ht="51" hidden="false" customHeight="false" outlineLevel="0" collapsed="false">
      <c r="A279" s="37" t="s">
        <v>638</v>
      </c>
      <c r="B279" s="34" t="s">
        <v>639</v>
      </c>
      <c r="C279" s="34" t="s">
        <v>546</v>
      </c>
    </row>
    <row r="280" customFormat="false" ht="51" hidden="false" customHeight="false" outlineLevel="0" collapsed="false">
      <c r="A280" s="37" t="s">
        <v>640</v>
      </c>
      <c r="B280" s="34" t="s">
        <v>641</v>
      </c>
      <c r="C280" s="34" t="s">
        <v>546</v>
      </c>
    </row>
    <row r="281" customFormat="false" ht="51" hidden="false" customHeight="false" outlineLevel="0" collapsed="false">
      <c r="A281" s="37" t="s">
        <v>642</v>
      </c>
      <c r="B281" s="34" t="s">
        <v>643</v>
      </c>
      <c r="C281" s="34" t="s">
        <v>546</v>
      </c>
    </row>
    <row r="282" customFormat="false" ht="102" hidden="false" customHeight="false" outlineLevel="0" collapsed="false">
      <c r="A282" s="37" t="s">
        <v>644</v>
      </c>
      <c r="B282" s="34" t="s">
        <v>645</v>
      </c>
      <c r="C282" s="34" t="s">
        <v>646</v>
      </c>
    </row>
    <row r="283" customFormat="false" ht="102" hidden="false" customHeight="false" outlineLevel="0" collapsed="false">
      <c r="A283" s="37" t="s">
        <v>647</v>
      </c>
      <c r="B283" s="34" t="s">
        <v>648</v>
      </c>
      <c r="C283" s="34" t="s">
        <v>97</v>
      </c>
    </row>
    <row r="284" customFormat="false" ht="102" hidden="false" customHeight="false" outlineLevel="0" collapsed="false">
      <c r="A284" s="37" t="s">
        <v>649</v>
      </c>
      <c r="B284" s="34" t="s">
        <v>650</v>
      </c>
      <c r="C284" s="34" t="s">
        <v>99</v>
      </c>
    </row>
    <row r="285" customFormat="false" ht="114.75" hidden="false" customHeight="false" outlineLevel="0" collapsed="false">
      <c r="A285" s="37" t="s">
        <v>651</v>
      </c>
      <c r="B285" s="34" t="s">
        <v>652</v>
      </c>
      <c r="C285" s="34" t="s">
        <v>653</v>
      </c>
    </row>
    <row r="286" customFormat="false" ht="89.25" hidden="false" customHeight="false" outlineLevel="0" collapsed="false">
      <c r="A286" s="37" t="s">
        <v>654</v>
      </c>
      <c r="B286" s="34" t="s">
        <v>655</v>
      </c>
      <c r="C286" s="34" t="s">
        <v>103</v>
      </c>
    </row>
    <row r="287" customFormat="false" ht="114.75" hidden="false" customHeight="false" outlineLevel="0" collapsed="false">
      <c r="A287" s="37" t="s">
        <v>656</v>
      </c>
      <c r="B287" s="34" t="s">
        <v>657</v>
      </c>
      <c r="C287" s="34" t="s">
        <v>653</v>
      </c>
    </row>
    <row r="288" customFormat="false" ht="114.75" hidden="false" customHeight="false" outlineLevel="0" collapsed="false">
      <c r="A288" s="37" t="s">
        <v>656</v>
      </c>
      <c r="B288" s="34" t="s">
        <v>657</v>
      </c>
      <c r="C288" s="34" t="s">
        <v>658</v>
      </c>
    </row>
    <row r="289" customFormat="false" ht="76.5" hidden="false" customHeight="false" outlineLevel="0" collapsed="false">
      <c r="A289" s="37" t="s">
        <v>659</v>
      </c>
      <c r="B289" s="34" t="s">
        <v>660</v>
      </c>
      <c r="C289" s="34" t="s">
        <v>108</v>
      </c>
    </row>
    <row r="290" customFormat="false" ht="89.25" hidden="false" customHeight="false" outlineLevel="0" collapsed="false">
      <c r="A290" s="37" t="s">
        <v>661</v>
      </c>
      <c r="B290" s="34" t="s">
        <v>662</v>
      </c>
      <c r="C290" s="34" t="s">
        <v>111</v>
      </c>
    </row>
    <row r="291" customFormat="false" ht="89.25" hidden="false" customHeight="false" outlineLevel="0" collapsed="false">
      <c r="A291" s="37" t="s">
        <v>663</v>
      </c>
      <c r="B291" s="34" t="s">
        <v>664</v>
      </c>
      <c r="C291" s="34" t="s">
        <v>114</v>
      </c>
    </row>
    <row r="292" customFormat="false" ht="89.25" hidden="false" customHeight="false" outlineLevel="0" collapsed="false">
      <c r="A292" s="37" t="s">
        <v>665</v>
      </c>
      <c r="B292" s="34" t="s">
        <v>666</v>
      </c>
      <c r="C292" s="34" t="s">
        <v>117</v>
      </c>
    </row>
    <row r="293" customFormat="false" ht="89.25" hidden="false" customHeight="false" outlineLevel="0" collapsed="false">
      <c r="A293" s="37" t="s">
        <v>667</v>
      </c>
      <c r="B293" s="34" t="s">
        <v>668</v>
      </c>
      <c r="C293" s="34" t="s">
        <v>117</v>
      </c>
    </row>
    <row r="294" customFormat="false" ht="89.25" hidden="false" customHeight="false" outlineLevel="0" collapsed="false">
      <c r="A294" s="37" t="s">
        <v>669</v>
      </c>
      <c r="B294" s="34" t="s">
        <v>670</v>
      </c>
      <c r="C294" s="34" t="s">
        <v>122</v>
      </c>
    </row>
    <row r="295" customFormat="false" ht="89.25" hidden="false" customHeight="false" outlineLevel="0" collapsed="false">
      <c r="A295" s="37" t="s">
        <v>671</v>
      </c>
      <c r="B295" s="34" t="s">
        <v>672</v>
      </c>
      <c r="C295" s="34" t="s">
        <v>125</v>
      </c>
    </row>
    <row r="296" customFormat="false" ht="89.25" hidden="false" customHeight="false" outlineLevel="0" collapsed="false">
      <c r="A296" s="37" t="s">
        <v>673</v>
      </c>
      <c r="B296" s="34" t="s">
        <v>674</v>
      </c>
      <c r="C296" s="34" t="s">
        <v>125</v>
      </c>
    </row>
    <row r="297" customFormat="false" ht="89.25" hidden="false" customHeight="false" outlineLevel="0" collapsed="false">
      <c r="A297" s="37" t="s">
        <v>675</v>
      </c>
      <c r="B297" s="34" t="s">
        <v>676</v>
      </c>
      <c r="C297" s="34" t="s">
        <v>125</v>
      </c>
    </row>
    <row r="298" customFormat="false" ht="89.25" hidden="false" customHeight="false" outlineLevel="0" collapsed="false">
      <c r="A298" s="37" t="s">
        <v>677</v>
      </c>
      <c r="B298" s="34" t="s">
        <v>678</v>
      </c>
      <c r="C298" s="34" t="s">
        <v>125</v>
      </c>
    </row>
    <row r="299" customFormat="false" ht="102" hidden="false" customHeight="false" outlineLevel="0" collapsed="false">
      <c r="A299" s="37" t="s">
        <v>679</v>
      </c>
      <c r="B299" s="34" t="s">
        <v>680</v>
      </c>
      <c r="C299" s="34" t="s">
        <v>681</v>
      </c>
    </row>
    <row r="300" customFormat="false" ht="63.75" hidden="false" customHeight="false" outlineLevel="0" collapsed="false">
      <c r="A300" s="37" t="s">
        <v>682</v>
      </c>
      <c r="B300" s="34" t="s">
        <v>683</v>
      </c>
      <c r="C300" s="34" t="s">
        <v>684</v>
      </c>
    </row>
    <row r="301" customFormat="false" ht="38.25" hidden="false" customHeight="false" outlineLevel="0" collapsed="false">
      <c r="A301" s="37" t="s">
        <v>685</v>
      </c>
      <c r="B301" s="34" t="s">
        <v>686</v>
      </c>
      <c r="C301" s="34" t="s">
        <v>687</v>
      </c>
    </row>
    <row r="302" customFormat="false" ht="51" hidden="false" customHeight="false" outlineLevel="0" collapsed="false">
      <c r="A302" s="37" t="s">
        <v>688</v>
      </c>
      <c r="B302" s="34" t="s">
        <v>689</v>
      </c>
      <c r="C302" s="34" t="s">
        <v>690</v>
      </c>
    </row>
    <row r="303" customFormat="false" ht="38.25" hidden="false" customHeight="false" outlineLevel="0" collapsed="false">
      <c r="A303" s="37" t="s">
        <v>691</v>
      </c>
      <c r="B303" s="34" t="s">
        <v>692</v>
      </c>
      <c r="C303" s="34" t="s">
        <v>693</v>
      </c>
    </row>
    <row r="304" customFormat="false" ht="51" hidden="false" customHeight="false" outlineLevel="0" collapsed="false">
      <c r="A304" s="37" t="s">
        <v>694</v>
      </c>
      <c r="B304" s="34" t="s">
        <v>695</v>
      </c>
      <c r="C304" s="34" t="s">
        <v>696</v>
      </c>
    </row>
    <row r="305" customFormat="false" ht="63.75" hidden="false" customHeight="false" outlineLevel="0" collapsed="false">
      <c r="A305" s="37" t="s">
        <v>697</v>
      </c>
      <c r="B305" s="34" t="s">
        <v>698</v>
      </c>
      <c r="C305" s="34" t="s">
        <v>699</v>
      </c>
    </row>
    <row r="306" customFormat="false" ht="89.25" hidden="false" customHeight="false" outlineLevel="0" collapsed="false">
      <c r="A306" s="37" t="s">
        <v>700</v>
      </c>
      <c r="B306" s="34" t="s">
        <v>701</v>
      </c>
      <c r="C306" s="34" t="s">
        <v>702</v>
      </c>
    </row>
    <row r="307" customFormat="false" ht="89.25" hidden="false" customHeight="false" outlineLevel="0" collapsed="false">
      <c r="A307" s="37" t="s">
        <v>703</v>
      </c>
      <c r="B307" s="34" t="s">
        <v>704</v>
      </c>
      <c r="C307" s="34" t="s">
        <v>702</v>
      </c>
    </row>
    <row r="308" customFormat="false" ht="38.25" hidden="false" customHeight="false" outlineLevel="0" collapsed="false">
      <c r="A308" s="37" t="s">
        <v>705</v>
      </c>
      <c r="B308" s="34" t="s">
        <v>706</v>
      </c>
      <c r="C308" s="34" t="s">
        <v>707</v>
      </c>
    </row>
    <row r="309" customFormat="false" ht="89.25" hidden="false" customHeight="false" outlineLevel="0" collapsed="false">
      <c r="A309" s="37" t="s">
        <v>708</v>
      </c>
      <c r="B309" s="34" t="s">
        <v>709</v>
      </c>
      <c r="C309" s="34" t="s">
        <v>710</v>
      </c>
    </row>
    <row r="310" customFormat="false" ht="89.25" hidden="false" customHeight="false" outlineLevel="0" collapsed="false">
      <c r="A310" s="37" t="s">
        <v>711</v>
      </c>
      <c r="B310" s="34" t="s">
        <v>712</v>
      </c>
      <c r="C310" s="34" t="s">
        <v>713</v>
      </c>
    </row>
    <row r="311" customFormat="false" ht="102" hidden="false" customHeight="false" outlineLevel="0" collapsed="false">
      <c r="A311" s="37" t="s">
        <v>714</v>
      </c>
      <c r="B311" s="34" t="s">
        <v>715</v>
      </c>
      <c r="C311" s="34" t="s">
        <v>716</v>
      </c>
    </row>
    <row r="312" customFormat="false" ht="76.5" hidden="false" customHeight="false" outlineLevel="0" collapsed="false">
      <c r="A312" s="37" t="s">
        <v>717</v>
      </c>
      <c r="B312" s="34" t="s">
        <v>718</v>
      </c>
      <c r="C312" s="34" t="s">
        <v>719</v>
      </c>
    </row>
    <row r="313" customFormat="false" ht="63.75" hidden="false" customHeight="false" outlineLevel="0" collapsed="false">
      <c r="A313" s="37" t="s">
        <v>720</v>
      </c>
      <c r="B313" s="34" t="s">
        <v>721</v>
      </c>
      <c r="C313" s="34" t="s">
        <v>722</v>
      </c>
    </row>
    <row r="314" customFormat="false" ht="76.5" hidden="false" customHeight="false" outlineLevel="0" collapsed="false">
      <c r="A314" s="37" t="s">
        <v>723</v>
      </c>
      <c r="B314" s="34" t="s">
        <v>724</v>
      </c>
      <c r="C314" s="34" t="s">
        <v>725</v>
      </c>
    </row>
    <row r="315" customFormat="false" ht="76.5" hidden="false" customHeight="false" outlineLevel="0" collapsed="false">
      <c r="A315" s="37" t="s">
        <v>726</v>
      </c>
      <c r="B315" s="34" t="s">
        <v>727</v>
      </c>
      <c r="C315" s="34" t="s">
        <v>725</v>
      </c>
    </row>
    <row r="316" customFormat="false" ht="76.5" hidden="false" customHeight="false" outlineLevel="0" collapsed="false">
      <c r="A316" s="37" t="s">
        <v>728</v>
      </c>
      <c r="B316" s="34" t="s">
        <v>729</v>
      </c>
      <c r="C316" s="34" t="s">
        <v>725</v>
      </c>
    </row>
    <row r="317" customFormat="false" ht="76.5" hidden="false" customHeight="false" outlineLevel="0" collapsed="false">
      <c r="A317" s="37" t="s">
        <v>730</v>
      </c>
      <c r="B317" s="34" t="s">
        <v>731</v>
      </c>
      <c r="C317" s="34" t="s">
        <v>725</v>
      </c>
    </row>
    <row r="318" customFormat="false" ht="63.75" hidden="false" customHeight="false" outlineLevel="0" collapsed="false">
      <c r="A318" s="37" t="s">
        <v>732</v>
      </c>
      <c r="B318" s="34" t="s">
        <v>733</v>
      </c>
      <c r="C318" s="34" t="s">
        <v>139</v>
      </c>
    </row>
    <row r="319" customFormat="false" ht="63.75" hidden="false" customHeight="false" outlineLevel="0" collapsed="false">
      <c r="A319" s="37" t="s">
        <v>734</v>
      </c>
      <c r="B319" s="34" t="s">
        <v>735</v>
      </c>
      <c r="C319" s="34" t="s">
        <v>139</v>
      </c>
    </row>
    <row r="320" customFormat="false" ht="63.75" hidden="false" customHeight="false" outlineLevel="0" collapsed="false">
      <c r="A320" s="37" t="s">
        <v>736</v>
      </c>
      <c r="B320" s="34" t="s">
        <v>737</v>
      </c>
      <c r="C320" s="34" t="s">
        <v>139</v>
      </c>
    </row>
    <row r="321" customFormat="false" ht="63.75" hidden="false" customHeight="false" outlineLevel="0" collapsed="false">
      <c r="A321" s="37" t="s">
        <v>738</v>
      </c>
      <c r="B321" s="34" t="s">
        <v>739</v>
      </c>
      <c r="C321" s="34" t="s">
        <v>139</v>
      </c>
    </row>
    <row r="322" customFormat="false" ht="63.75" hidden="false" customHeight="false" outlineLevel="0" collapsed="false">
      <c r="A322" s="37" t="s">
        <v>738</v>
      </c>
      <c r="B322" s="34" t="s">
        <v>739</v>
      </c>
      <c r="C322" s="34" t="s">
        <v>142</v>
      </c>
    </row>
    <row r="323" customFormat="false" ht="63.75" hidden="false" customHeight="false" outlineLevel="0" collapsed="false">
      <c r="A323" s="37" t="s">
        <v>740</v>
      </c>
      <c r="B323" s="34" t="s">
        <v>144</v>
      </c>
      <c r="C323" s="34" t="s">
        <v>139</v>
      </c>
    </row>
    <row r="324" customFormat="false" ht="63.75" hidden="false" customHeight="false" outlineLevel="0" collapsed="false">
      <c r="A324" s="37" t="s">
        <v>741</v>
      </c>
      <c r="B324" s="34" t="s">
        <v>742</v>
      </c>
      <c r="C324" s="34" t="s">
        <v>139</v>
      </c>
    </row>
    <row r="325" customFormat="false" ht="63.75" hidden="false" customHeight="false" outlineLevel="0" collapsed="false">
      <c r="A325" s="37" t="s">
        <v>743</v>
      </c>
      <c r="B325" s="34" t="s">
        <v>428</v>
      </c>
      <c r="C325" s="34" t="s">
        <v>139</v>
      </c>
    </row>
    <row r="326" customFormat="false" ht="63.75" hidden="false" customHeight="false" outlineLevel="0" collapsed="false">
      <c r="A326" s="37" t="s">
        <v>744</v>
      </c>
      <c r="B326" s="34" t="s">
        <v>745</v>
      </c>
      <c r="C326" s="34" t="s">
        <v>139</v>
      </c>
    </row>
    <row r="327" customFormat="false" ht="63.75" hidden="false" customHeight="false" outlineLevel="0" collapsed="false">
      <c r="A327" s="37" t="s">
        <v>746</v>
      </c>
      <c r="B327" s="34" t="s">
        <v>747</v>
      </c>
      <c r="C327" s="34" t="s">
        <v>139</v>
      </c>
    </row>
    <row r="328" customFormat="false" ht="63.75" hidden="false" customHeight="false" outlineLevel="0" collapsed="false">
      <c r="A328" s="37" t="s">
        <v>748</v>
      </c>
      <c r="B328" s="34" t="s">
        <v>749</v>
      </c>
      <c r="C328" s="34" t="s">
        <v>139</v>
      </c>
    </row>
    <row r="329" customFormat="false" ht="25.5" hidden="false" customHeight="false" outlineLevel="0" collapsed="false">
      <c r="A329" s="37" t="s">
        <v>750</v>
      </c>
      <c r="B329" s="34" t="s">
        <v>751</v>
      </c>
      <c r="C329" s="34" t="s">
        <v>752</v>
      </c>
    </row>
    <row r="330" customFormat="false" ht="38.25" hidden="false" customHeight="false" outlineLevel="0" collapsed="false">
      <c r="A330" s="37" t="s">
        <v>753</v>
      </c>
      <c r="B330" s="34" t="s">
        <v>754</v>
      </c>
      <c r="C330" s="34" t="s">
        <v>752</v>
      </c>
    </row>
    <row r="331" customFormat="false" ht="38.25" hidden="false" customHeight="false" outlineLevel="0" collapsed="false">
      <c r="A331" s="37" t="s">
        <v>755</v>
      </c>
      <c r="B331" s="34" t="s">
        <v>756</v>
      </c>
      <c r="C331" s="34" t="s">
        <v>752</v>
      </c>
    </row>
    <row r="332" customFormat="false" ht="38.25" hidden="false" customHeight="false" outlineLevel="0" collapsed="false">
      <c r="A332" s="37" t="s">
        <v>757</v>
      </c>
      <c r="B332" s="34" t="s">
        <v>758</v>
      </c>
      <c r="C332" s="34" t="s">
        <v>73</v>
      </c>
    </row>
    <row r="333" customFormat="false" ht="25.5" hidden="false" customHeight="false" outlineLevel="0" collapsed="false">
      <c r="A333" s="37" t="s">
        <v>759</v>
      </c>
      <c r="B333" s="34" t="s">
        <v>760</v>
      </c>
      <c r="C333" s="34" t="s">
        <v>752</v>
      </c>
    </row>
    <row r="334" customFormat="false" ht="153" hidden="false" customHeight="false" outlineLevel="0" collapsed="false">
      <c r="A334" s="37" t="n">
        <v>5200100</v>
      </c>
      <c r="B334" s="34" t="s">
        <v>761</v>
      </c>
      <c r="C334" s="34" t="s">
        <v>762</v>
      </c>
    </row>
    <row r="335" customFormat="false" ht="102" hidden="false" customHeight="false" outlineLevel="0" collapsed="false">
      <c r="A335" s="37" t="n">
        <v>5200300</v>
      </c>
      <c r="B335" s="34" t="s">
        <v>763</v>
      </c>
      <c r="C335" s="34" t="s">
        <v>764</v>
      </c>
    </row>
    <row r="336" customFormat="false" ht="76.5" hidden="false" customHeight="false" outlineLevel="0" collapsed="false">
      <c r="A336" s="37" t="n">
        <v>5200500</v>
      </c>
      <c r="B336" s="34" t="s">
        <v>765</v>
      </c>
      <c r="C336" s="34" t="s">
        <v>766</v>
      </c>
    </row>
    <row r="337" customFormat="false" ht="76.5" hidden="false" customHeight="false" outlineLevel="0" collapsed="false">
      <c r="A337" s="37" t="s">
        <v>767</v>
      </c>
      <c r="B337" s="34" t="s">
        <v>768</v>
      </c>
      <c r="C337" s="34" t="s">
        <v>769</v>
      </c>
    </row>
    <row r="338" customFormat="false" ht="63.75" hidden="false" customHeight="false" outlineLevel="0" collapsed="false">
      <c r="A338" s="37" t="s">
        <v>770</v>
      </c>
      <c r="B338" s="34" t="s">
        <v>771</v>
      </c>
      <c r="C338" s="34" t="s">
        <v>772</v>
      </c>
    </row>
    <row r="339" customFormat="false" ht="51" hidden="false" customHeight="false" outlineLevel="0" collapsed="false">
      <c r="A339" s="37" t="s">
        <v>773</v>
      </c>
      <c r="B339" s="34" t="s">
        <v>774</v>
      </c>
      <c r="C339" s="34" t="s">
        <v>775</v>
      </c>
    </row>
    <row r="340" customFormat="false" ht="63.75" hidden="false" customHeight="false" outlineLevel="0" collapsed="false">
      <c r="A340" s="37" t="s">
        <v>776</v>
      </c>
      <c r="B340" s="34" t="s">
        <v>777</v>
      </c>
      <c r="C340" s="34" t="s">
        <v>778</v>
      </c>
    </row>
    <row r="341" customFormat="false" ht="76.5" hidden="false" customHeight="false" outlineLevel="0" collapsed="false">
      <c r="A341" s="37" t="s">
        <v>779</v>
      </c>
      <c r="B341" s="34" t="s">
        <v>780</v>
      </c>
      <c r="C341" s="34" t="s">
        <v>781</v>
      </c>
    </row>
    <row r="342" customFormat="false" ht="102" hidden="false" customHeight="false" outlineLevel="0" collapsed="false">
      <c r="A342" s="37" t="n">
        <v>5201100</v>
      </c>
      <c r="B342" s="34" t="s">
        <v>782</v>
      </c>
      <c r="C342" s="34" t="s">
        <v>783</v>
      </c>
    </row>
    <row r="343" customFormat="false" ht="102" hidden="false" customHeight="false" outlineLevel="0" collapsed="false">
      <c r="A343" s="37" t="n">
        <v>5201200</v>
      </c>
      <c r="B343" s="34" t="s">
        <v>784</v>
      </c>
      <c r="C343" s="34" t="s">
        <v>97</v>
      </c>
    </row>
    <row r="344" customFormat="false" ht="102" hidden="false" customHeight="false" outlineLevel="0" collapsed="false">
      <c r="A344" s="37" t="n">
        <v>5201300</v>
      </c>
      <c r="B344" s="34" t="s">
        <v>785</v>
      </c>
      <c r="C344" s="34" t="s">
        <v>786</v>
      </c>
    </row>
    <row r="345" customFormat="false" ht="102" hidden="false" customHeight="false" outlineLevel="0" collapsed="false">
      <c r="A345" s="37" t="n">
        <v>5201400</v>
      </c>
      <c r="B345" s="34" t="s">
        <v>787</v>
      </c>
      <c r="C345" s="34" t="s">
        <v>788</v>
      </c>
    </row>
    <row r="346" customFormat="false" ht="89.25" hidden="false" customHeight="false" outlineLevel="0" collapsed="false">
      <c r="A346" s="37" t="n">
        <v>5201500</v>
      </c>
      <c r="B346" s="34" t="s">
        <v>789</v>
      </c>
      <c r="C346" s="34" t="s">
        <v>790</v>
      </c>
    </row>
    <row r="347" customFormat="false" ht="114.75" hidden="false" customHeight="false" outlineLevel="0" collapsed="false">
      <c r="A347" s="37" t="n">
        <v>5201600</v>
      </c>
      <c r="B347" s="34" t="s">
        <v>791</v>
      </c>
      <c r="C347" s="34" t="s">
        <v>792</v>
      </c>
    </row>
    <row r="348" customFormat="false" ht="76.5" hidden="false" customHeight="false" outlineLevel="0" collapsed="false">
      <c r="A348" s="37" t="s">
        <v>793</v>
      </c>
      <c r="B348" s="34" t="s">
        <v>794</v>
      </c>
      <c r="C348" s="34" t="s">
        <v>108</v>
      </c>
    </row>
    <row r="349" customFormat="false" ht="89.25" hidden="false" customHeight="false" outlineLevel="0" collapsed="false">
      <c r="A349" s="37" t="s">
        <v>795</v>
      </c>
      <c r="B349" s="34" t="s">
        <v>796</v>
      </c>
      <c r="C349" s="34" t="s">
        <v>111</v>
      </c>
    </row>
    <row r="350" customFormat="false" ht="89.25" hidden="false" customHeight="false" outlineLevel="0" collapsed="false">
      <c r="A350" s="37" t="s">
        <v>797</v>
      </c>
      <c r="B350" s="34" t="s">
        <v>798</v>
      </c>
      <c r="C350" s="34" t="s">
        <v>799</v>
      </c>
    </row>
    <row r="351" customFormat="false" ht="89.25" hidden="false" customHeight="false" outlineLevel="0" collapsed="false">
      <c r="A351" s="37" t="s">
        <v>800</v>
      </c>
      <c r="B351" s="34" t="s">
        <v>801</v>
      </c>
      <c r="C351" s="34" t="s">
        <v>802</v>
      </c>
    </row>
    <row r="352" customFormat="false" ht="89.25" hidden="false" customHeight="false" outlineLevel="0" collapsed="false">
      <c r="A352" s="37" t="s">
        <v>803</v>
      </c>
      <c r="B352" s="34" t="s">
        <v>804</v>
      </c>
      <c r="C352" s="34" t="s">
        <v>805</v>
      </c>
    </row>
    <row r="353" customFormat="false" ht="89.25" hidden="false" customHeight="false" outlineLevel="0" collapsed="false">
      <c r="A353" s="37" t="s">
        <v>806</v>
      </c>
      <c r="B353" s="34" t="s">
        <v>807</v>
      </c>
      <c r="C353" s="34" t="s">
        <v>122</v>
      </c>
    </row>
    <row r="354" customFormat="false" ht="76.5" hidden="false" customHeight="false" outlineLevel="0" collapsed="false">
      <c r="A354" s="37" t="s">
        <v>808</v>
      </c>
      <c r="B354" s="34" t="s">
        <v>809</v>
      </c>
      <c r="C354" s="34" t="s">
        <v>810</v>
      </c>
    </row>
    <row r="355" customFormat="false" ht="76.5" hidden="false" customHeight="false" outlineLevel="0" collapsed="false">
      <c r="A355" s="37" t="s">
        <v>811</v>
      </c>
      <c r="B355" s="34" t="s">
        <v>812</v>
      </c>
      <c r="C355" s="34" t="s">
        <v>810</v>
      </c>
    </row>
    <row r="356" customFormat="false" ht="76.5" hidden="false" customHeight="false" outlineLevel="0" collapsed="false">
      <c r="A356" s="37" t="s">
        <v>813</v>
      </c>
      <c r="B356" s="34" t="s">
        <v>814</v>
      </c>
      <c r="C356" s="34" t="s">
        <v>810</v>
      </c>
    </row>
    <row r="357" customFormat="false" ht="76.5" hidden="false" customHeight="false" outlineLevel="0" collapsed="false">
      <c r="A357" s="37" t="s">
        <v>815</v>
      </c>
      <c r="B357" s="34" t="s">
        <v>816</v>
      </c>
      <c r="C357" s="34" t="s">
        <v>810</v>
      </c>
    </row>
    <row r="358" customFormat="false" ht="102" hidden="false" customHeight="false" outlineLevel="0" collapsed="false">
      <c r="A358" s="37" t="s">
        <v>817</v>
      </c>
      <c r="B358" s="34" t="s">
        <v>818</v>
      </c>
      <c r="C358" s="34" t="s">
        <v>819</v>
      </c>
    </row>
    <row r="359" customFormat="false" ht="102" hidden="false" customHeight="false" outlineLevel="0" collapsed="false">
      <c r="A359" s="37" t="n">
        <v>5202100</v>
      </c>
      <c r="B359" s="34" t="s">
        <v>820</v>
      </c>
      <c r="C359" s="34" t="s">
        <v>97</v>
      </c>
    </row>
    <row r="360" customFormat="false" ht="102" hidden="false" customHeight="false" outlineLevel="0" collapsed="false">
      <c r="A360" s="37" t="n">
        <v>5202200</v>
      </c>
      <c r="B360" s="34" t="s">
        <v>821</v>
      </c>
      <c r="C360" s="34" t="s">
        <v>97</v>
      </c>
    </row>
    <row r="361" customFormat="false" ht="102" hidden="false" customHeight="false" outlineLevel="0" collapsed="false">
      <c r="A361" s="37" t="n">
        <v>5202300</v>
      </c>
      <c r="B361" s="34" t="s">
        <v>822</v>
      </c>
      <c r="C361" s="34" t="s">
        <v>786</v>
      </c>
    </row>
    <row r="362" customFormat="false" ht="102" hidden="false" customHeight="false" outlineLevel="0" collapsed="false">
      <c r="A362" s="37" t="n">
        <v>5202400</v>
      </c>
      <c r="B362" s="34" t="s">
        <v>823</v>
      </c>
      <c r="C362" s="34" t="s">
        <v>788</v>
      </c>
    </row>
    <row r="363" customFormat="false" ht="89.25" hidden="false" customHeight="false" outlineLevel="0" collapsed="false">
      <c r="A363" s="37" t="n">
        <v>5202500</v>
      </c>
      <c r="B363" s="34" t="s">
        <v>824</v>
      </c>
      <c r="C363" s="34" t="s">
        <v>103</v>
      </c>
    </row>
    <row r="364" customFormat="false" ht="114.75" hidden="false" customHeight="false" outlineLevel="0" collapsed="false">
      <c r="A364" s="37" t="n">
        <v>5202600</v>
      </c>
      <c r="B364" s="34" t="s">
        <v>825</v>
      </c>
      <c r="C364" s="34" t="s">
        <v>826</v>
      </c>
    </row>
    <row r="365" customFormat="false" ht="76.5" hidden="false" customHeight="false" outlineLevel="0" collapsed="false">
      <c r="A365" s="37" t="s">
        <v>827</v>
      </c>
      <c r="B365" s="34" t="s">
        <v>828</v>
      </c>
      <c r="C365" s="34" t="s">
        <v>108</v>
      </c>
    </row>
    <row r="366" customFormat="false" ht="89.25" hidden="false" customHeight="false" outlineLevel="0" collapsed="false">
      <c r="A366" s="37" t="s">
        <v>829</v>
      </c>
      <c r="B366" s="34" t="s">
        <v>830</v>
      </c>
      <c r="C366" s="34" t="s">
        <v>111</v>
      </c>
    </row>
    <row r="367" customFormat="false" ht="89.25" hidden="false" customHeight="false" outlineLevel="0" collapsed="false">
      <c r="A367" s="37" t="s">
        <v>831</v>
      </c>
      <c r="B367" s="34" t="s">
        <v>832</v>
      </c>
      <c r="C367" s="34" t="s">
        <v>114</v>
      </c>
    </row>
    <row r="368" customFormat="false" ht="89.25" hidden="false" customHeight="false" outlineLevel="0" collapsed="false">
      <c r="A368" s="37" t="s">
        <v>833</v>
      </c>
      <c r="B368" s="34" t="s">
        <v>834</v>
      </c>
      <c r="C368" s="34" t="s">
        <v>117</v>
      </c>
    </row>
    <row r="369" customFormat="false" ht="89.25" hidden="false" customHeight="false" outlineLevel="0" collapsed="false">
      <c r="A369" s="37" t="s">
        <v>835</v>
      </c>
      <c r="B369" s="34" t="s">
        <v>836</v>
      </c>
      <c r="C369" s="34" t="s">
        <v>117</v>
      </c>
    </row>
    <row r="370" customFormat="false" ht="89.25" hidden="false" customHeight="false" outlineLevel="0" collapsed="false">
      <c r="A370" s="37" t="s">
        <v>837</v>
      </c>
      <c r="B370" s="34" t="s">
        <v>838</v>
      </c>
      <c r="C370" s="34" t="s">
        <v>122</v>
      </c>
    </row>
    <row r="371" customFormat="false" ht="89.25" hidden="false" customHeight="false" outlineLevel="0" collapsed="false">
      <c r="A371" s="37" t="s">
        <v>839</v>
      </c>
      <c r="B371" s="34" t="s">
        <v>840</v>
      </c>
      <c r="C371" s="34" t="s">
        <v>125</v>
      </c>
    </row>
    <row r="372" customFormat="false" ht="89.25" hidden="false" customHeight="false" outlineLevel="0" collapsed="false">
      <c r="A372" s="37" t="s">
        <v>841</v>
      </c>
      <c r="B372" s="34" t="s">
        <v>842</v>
      </c>
      <c r="C372" s="34" t="s">
        <v>125</v>
      </c>
    </row>
    <row r="373" customFormat="false" ht="89.25" hidden="false" customHeight="false" outlineLevel="0" collapsed="false">
      <c r="A373" s="37" t="s">
        <v>843</v>
      </c>
      <c r="B373" s="34" t="s">
        <v>844</v>
      </c>
      <c r="C373" s="34" t="s">
        <v>125</v>
      </c>
    </row>
    <row r="374" customFormat="false" ht="89.25" hidden="false" customHeight="false" outlineLevel="0" collapsed="false">
      <c r="A374" s="37" t="s">
        <v>845</v>
      </c>
      <c r="B374" s="34" t="s">
        <v>846</v>
      </c>
      <c r="C374" s="34" t="s">
        <v>125</v>
      </c>
    </row>
    <row r="375" customFormat="false" ht="102" hidden="false" customHeight="false" outlineLevel="0" collapsed="false">
      <c r="A375" s="37" t="s">
        <v>847</v>
      </c>
      <c r="B375" s="34" t="s">
        <v>848</v>
      </c>
      <c r="C375" s="34" t="s">
        <v>819</v>
      </c>
    </row>
    <row r="376" customFormat="false" ht="102" hidden="false" customHeight="false" outlineLevel="0" collapsed="false">
      <c r="A376" s="37" t="n">
        <v>5205200</v>
      </c>
      <c r="B376" s="34" t="s">
        <v>821</v>
      </c>
      <c r="C376" s="34" t="s">
        <v>97</v>
      </c>
    </row>
    <row r="377" customFormat="false" ht="114.75" hidden="false" customHeight="false" outlineLevel="0" collapsed="false">
      <c r="A377" s="37" t="n">
        <v>5205400</v>
      </c>
      <c r="B377" s="34" t="s">
        <v>823</v>
      </c>
      <c r="C377" s="34" t="s">
        <v>849</v>
      </c>
    </row>
    <row r="378" customFormat="false" ht="102" hidden="false" customHeight="false" outlineLevel="0" collapsed="false">
      <c r="A378" s="37" t="n">
        <v>5205500</v>
      </c>
      <c r="B378" s="34" t="s">
        <v>850</v>
      </c>
      <c r="C378" s="34" t="s">
        <v>851</v>
      </c>
    </row>
    <row r="379" customFormat="false" ht="114.75" hidden="false" customHeight="false" outlineLevel="0" collapsed="false">
      <c r="A379" s="37" t="n">
        <v>5205600</v>
      </c>
      <c r="B379" s="34" t="s">
        <v>852</v>
      </c>
      <c r="C379" s="34" t="s">
        <v>853</v>
      </c>
    </row>
    <row r="380" customFormat="false" ht="76.5" hidden="false" customHeight="false" outlineLevel="0" collapsed="false">
      <c r="A380" s="37" t="s">
        <v>854</v>
      </c>
      <c r="B380" s="34" t="s">
        <v>855</v>
      </c>
      <c r="C380" s="34" t="s">
        <v>108</v>
      </c>
    </row>
    <row r="381" customFormat="false" ht="89.25" hidden="false" customHeight="false" outlineLevel="0" collapsed="false">
      <c r="A381" s="37" t="s">
        <v>856</v>
      </c>
      <c r="B381" s="34" t="s">
        <v>857</v>
      </c>
      <c r="C381" s="34" t="s">
        <v>858</v>
      </c>
    </row>
    <row r="382" customFormat="false" ht="102" hidden="false" customHeight="false" outlineLevel="0" collapsed="false">
      <c r="A382" s="37" t="s">
        <v>859</v>
      </c>
      <c r="B382" s="34" t="s">
        <v>860</v>
      </c>
      <c r="C382" s="34" t="s">
        <v>851</v>
      </c>
    </row>
    <row r="383" customFormat="false" ht="102" hidden="false" customHeight="false" outlineLevel="0" collapsed="false">
      <c r="A383" s="37" t="s">
        <v>861</v>
      </c>
      <c r="B383" s="34" t="s">
        <v>862</v>
      </c>
      <c r="C383" s="34" t="s">
        <v>851</v>
      </c>
    </row>
    <row r="384" customFormat="false" ht="89.25" hidden="false" customHeight="false" outlineLevel="0" collapsed="false">
      <c r="A384" s="37" t="s">
        <v>863</v>
      </c>
      <c r="B384" s="34" t="s">
        <v>864</v>
      </c>
      <c r="C384" s="34" t="s">
        <v>122</v>
      </c>
    </row>
    <row r="385" customFormat="false" ht="102" hidden="false" customHeight="false" outlineLevel="0" collapsed="false">
      <c r="A385" s="37" t="n">
        <v>5206200</v>
      </c>
      <c r="B385" s="34" t="s">
        <v>865</v>
      </c>
      <c r="C385" s="34" t="s">
        <v>97</v>
      </c>
    </row>
    <row r="386" customFormat="false" ht="114.75" hidden="false" customHeight="false" outlineLevel="0" collapsed="false">
      <c r="A386" s="37" t="n">
        <v>5206600</v>
      </c>
      <c r="B386" s="34" t="s">
        <v>866</v>
      </c>
      <c r="C386" s="34" t="s">
        <v>853</v>
      </c>
    </row>
    <row r="387" customFormat="false" ht="76.5" hidden="false" customHeight="false" outlineLevel="0" collapsed="false">
      <c r="A387" s="37" t="s">
        <v>867</v>
      </c>
      <c r="B387" s="34" t="s">
        <v>868</v>
      </c>
      <c r="C387" s="34" t="s">
        <v>108</v>
      </c>
    </row>
    <row r="388" customFormat="false" ht="89.25" hidden="false" customHeight="false" outlineLevel="0" collapsed="false">
      <c r="A388" s="37" t="s">
        <v>869</v>
      </c>
      <c r="B388" s="34" t="s">
        <v>870</v>
      </c>
      <c r="C388" s="34" t="s">
        <v>871</v>
      </c>
    </row>
    <row r="389" customFormat="false" ht="89.25" hidden="false" customHeight="false" outlineLevel="0" collapsed="false">
      <c r="A389" s="37" t="s">
        <v>872</v>
      </c>
      <c r="B389" s="34" t="s">
        <v>873</v>
      </c>
      <c r="C389" s="34" t="s">
        <v>874</v>
      </c>
    </row>
    <row r="390" customFormat="false" ht="89.25" hidden="false" customHeight="false" outlineLevel="0" collapsed="false">
      <c r="A390" s="37" t="s">
        <v>875</v>
      </c>
      <c r="B390" s="34" t="s">
        <v>876</v>
      </c>
      <c r="C390" s="34" t="s">
        <v>874</v>
      </c>
    </row>
    <row r="391" customFormat="false" ht="89.25" hidden="false" customHeight="false" outlineLevel="0" collapsed="false">
      <c r="A391" s="37" t="s">
        <v>877</v>
      </c>
      <c r="B391" s="34" t="s">
        <v>878</v>
      </c>
      <c r="C391" s="34" t="s">
        <v>874</v>
      </c>
    </row>
    <row r="392" customFormat="false" ht="89.25" hidden="false" customHeight="false" outlineLevel="0" collapsed="false">
      <c r="A392" s="37" t="s">
        <v>879</v>
      </c>
      <c r="B392" s="34" t="s">
        <v>880</v>
      </c>
      <c r="C392" s="34" t="s">
        <v>874</v>
      </c>
    </row>
    <row r="393" customFormat="false" ht="102" hidden="false" customHeight="false" outlineLevel="0" collapsed="false">
      <c r="A393" s="37" t="s">
        <v>881</v>
      </c>
      <c r="B393" s="34" t="s">
        <v>882</v>
      </c>
      <c r="C393" s="34" t="s">
        <v>883</v>
      </c>
    </row>
    <row r="394" customFormat="false" ht="102" hidden="false" customHeight="false" outlineLevel="0" collapsed="false">
      <c r="A394" s="37" t="n">
        <v>5207100</v>
      </c>
      <c r="B394" s="34" t="s">
        <v>884</v>
      </c>
      <c r="C394" s="34" t="s">
        <v>97</v>
      </c>
    </row>
    <row r="395" customFormat="false" ht="102" hidden="false" customHeight="false" outlineLevel="0" collapsed="false">
      <c r="A395" s="37" t="n">
        <v>5207200</v>
      </c>
      <c r="B395" s="34" t="s">
        <v>885</v>
      </c>
      <c r="C395" s="34" t="s">
        <v>97</v>
      </c>
    </row>
    <row r="396" customFormat="false" ht="102" hidden="false" customHeight="false" outlineLevel="0" collapsed="false">
      <c r="A396" s="37" t="n">
        <v>5207300</v>
      </c>
      <c r="B396" s="34" t="s">
        <v>886</v>
      </c>
      <c r="C396" s="34" t="s">
        <v>887</v>
      </c>
    </row>
    <row r="397" customFormat="false" ht="127.5" hidden="false" customHeight="false" outlineLevel="0" collapsed="false">
      <c r="A397" s="37" t="n">
        <v>5207400</v>
      </c>
      <c r="B397" s="34" t="s">
        <v>888</v>
      </c>
      <c r="C397" s="34" t="s">
        <v>889</v>
      </c>
    </row>
    <row r="398" customFormat="false" ht="89.25" hidden="false" customHeight="false" outlineLevel="0" collapsed="false">
      <c r="A398" s="37" t="n">
        <v>5207500</v>
      </c>
      <c r="B398" s="34" t="s">
        <v>890</v>
      </c>
      <c r="C398" s="34" t="s">
        <v>891</v>
      </c>
    </row>
    <row r="399" customFormat="false" ht="127.5" hidden="false" customHeight="false" outlineLevel="0" collapsed="false">
      <c r="A399" s="37" t="n">
        <v>5207600</v>
      </c>
      <c r="B399" s="34" t="s">
        <v>892</v>
      </c>
      <c r="C399" s="34" t="s">
        <v>893</v>
      </c>
    </row>
    <row r="400" customFormat="false" ht="76.5" hidden="false" customHeight="false" outlineLevel="0" collapsed="false">
      <c r="A400" s="37" t="s">
        <v>894</v>
      </c>
      <c r="B400" s="34" t="s">
        <v>895</v>
      </c>
      <c r="C400" s="34" t="s">
        <v>108</v>
      </c>
    </row>
    <row r="401" customFormat="false" ht="89.25" hidden="false" customHeight="false" outlineLevel="0" collapsed="false">
      <c r="A401" s="37" t="s">
        <v>896</v>
      </c>
      <c r="B401" s="34" t="s">
        <v>897</v>
      </c>
      <c r="C401" s="34" t="s">
        <v>871</v>
      </c>
    </row>
    <row r="402" customFormat="false" ht="89.25" hidden="false" customHeight="false" outlineLevel="0" collapsed="false">
      <c r="A402" s="37" t="s">
        <v>898</v>
      </c>
      <c r="B402" s="34" t="s">
        <v>899</v>
      </c>
      <c r="C402" s="34" t="s">
        <v>858</v>
      </c>
    </row>
    <row r="403" customFormat="false" ht="89.25" hidden="false" customHeight="false" outlineLevel="0" collapsed="false">
      <c r="A403" s="37" t="s">
        <v>900</v>
      </c>
      <c r="B403" s="34" t="s">
        <v>901</v>
      </c>
      <c r="C403" s="34" t="s">
        <v>902</v>
      </c>
    </row>
    <row r="404" customFormat="false" ht="89.25" hidden="false" customHeight="false" outlineLevel="0" collapsed="false">
      <c r="A404" s="37" t="s">
        <v>903</v>
      </c>
      <c r="B404" s="34" t="s">
        <v>904</v>
      </c>
      <c r="C404" s="34" t="s">
        <v>902</v>
      </c>
    </row>
    <row r="405" customFormat="false" ht="89.25" hidden="false" customHeight="false" outlineLevel="0" collapsed="false">
      <c r="A405" s="37" t="s">
        <v>905</v>
      </c>
      <c r="B405" s="34" t="s">
        <v>906</v>
      </c>
      <c r="C405" s="34" t="s">
        <v>122</v>
      </c>
    </row>
    <row r="406" customFormat="false" ht="76.5" hidden="false" customHeight="false" outlineLevel="0" collapsed="false">
      <c r="A406" s="37" t="s">
        <v>907</v>
      </c>
      <c r="B406" s="34" t="s">
        <v>908</v>
      </c>
      <c r="C406" s="34" t="s">
        <v>909</v>
      </c>
    </row>
    <row r="407" customFormat="false" ht="76.5" hidden="false" customHeight="false" outlineLevel="0" collapsed="false">
      <c r="A407" s="37" t="s">
        <v>910</v>
      </c>
      <c r="B407" s="34" t="s">
        <v>911</v>
      </c>
      <c r="C407" s="34" t="s">
        <v>909</v>
      </c>
    </row>
    <row r="408" customFormat="false" ht="76.5" hidden="false" customHeight="false" outlineLevel="0" collapsed="false">
      <c r="A408" s="37" t="s">
        <v>912</v>
      </c>
      <c r="B408" s="34" t="s">
        <v>913</v>
      </c>
      <c r="C408" s="34" t="s">
        <v>909</v>
      </c>
    </row>
    <row r="409" customFormat="false" ht="76.5" hidden="false" customHeight="false" outlineLevel="0" collapsed="false">
      <c r="A409" s="37" t="s">
        <v>914</v>
      </c>
      <c r="B409" s="34" t="s">
        <v>915</v>
      </c>
      <c r="C409" s="34" t="s">
        <v>909</v>
      </c>
    </row>
    <row r="410" customFormat="false" ht="102" hidden="false" customHeight="false" outlineLevel="0" collapsed="false">
      <c r="A410" s="37" t="s">
        <v>916</v>
      </c>
      <c r="B410" s="34" t="s">
        <v>882</v>
      </c>
      <c r="C410" s="34" t="s">
        <v>883</v>
      </c>
    </row>
    <row r="411" customFormat="false" ht="63.75" hidden="false" customHeight="false" outlineLevel="0" collapsed="false">
      <c r="A411" s="37" t="s">
        <v>917</v>
      </c>
      <c r="B411" s="34" t="s">
        <v>918</v>
      </c>
      <c r="C411" s="34" t="s">
        <v>919</v>
      </c>
    </row>
    <row r="412" customFormat="false" ht="63.75" hidden="false" customHeight="false" outlineLevel="0" collapsed="false">
      <c r="A412" s="37" t="s">
        <v>920</v>
      </c>
      <c r="B412" s="34" t="s">
        <v>921</v>
      </c>
      <c r="C412" s="34" t="s">
        <v>922</v>
      </c>
    </row>
    <row r="413" customFormat="false" ht="25.5" hidden="false" customHeight="false" outlineLevel="0" collapsed="false">
      <c r="A413" s="37" t="s">
        <v>923</v>
      </c>
      <c r="B413" s="34" t="s">
        <v>924</v>
      </c>
      <c r="C413" s="34" t="s">
        <v>925</v>
      </c>
    </row>
    <row r="414" customFormat="false" ht="25.5" hidden="false" customHeight="false" outlineLevel="0" collapsed="false">
      <c r="A414" s="37" t="s">
        <v>926</v>
      </c>
      <c r="B414" s="34" t="s">
        <v>927</v>
      </c>
      <c r="C414" s="34" t="s">
        <v>925</v>
      </c>
    </row>
    <row r="415" customFormat="false" ht="63.75" hidden="false" customHeight="false" outlineLevel="0" collapsed="false">
      <c r="A415" s="37" t="s">
        <v>928</v>
      </c>
      <c r="B415" s="34" t="s">
        <v>929</v>
      </c>
      <c r="C415" s="34" t="s">
        <v>919</v>
      </c>
    </row>
    <row r="416" customFormat="false" ht="63.75" hidden="false" customHeight="false" outlineLevel="0" collapsed="false">
      <c r="A416" s="37" t="s">
        <v>930</v>
      </c>
      <c r="B416" s="34" t="s">
        <v>931</v>
      </c>
      <c r="C416" s="34" t="s">
        <v>919</v>
      </c>
    </row>
    <row r="417" customFormat="false" ht="63.75" hidden="false" customHeight="false" outlineLevel="0" collapsed="false">
      <c r="A417" s="37" t="s">
        <v>932</v>
      </c>
      <c r="B417" s="34" t="s">
        <v>933</v>
      </c>
      <c r="C417" s="34" t="s">
        <v>919</v>
      </c>
    </row>
    <row r="418" customFormat="false" ht="63.75" hidden="false" customHeight="false" outlineLevel="0" collapsed="false">
      <c r="A418" s="37" t="s">
        <v>934</v>
      </c>
      <c r="B418" s="34" t="s">
        <v>935</v>
      </c>
      <c r="C418" s="34" t="s">
        <v>919</v>
      </c>
    </row>
    <row r="419" customFormat="false" ht="63.75" hidden="false" customHeight="false" outlineLevel="0" collapsed="false">
      <c r="A419" s="37" t="s">
        <v>936</v>
      </c>
      <c r="B419" s="34" t="s">
        <v>937</v>
      </c>
      <c r="C419" s="34" t="s">
        <v>919</v>
      </c>
    </row>
    <row r="420" customFormat="false" ht="63.75" hidden="false" customHeight="false" outlineLevel="0" collapsed="false">
      <c r="A420" s="37" t="s">
        <v>938</v>
      </c>
      <c r="B420" s="34" t="s">
        <v>939</v>
      </c>
      <c r="C420" s="34" t="s">
        <v>919</v>
      </c>
    </row>
    <row r="421" customFormat="false" ht="63.75" hidden="false" customHeight="false" outlineLevel="0" collapsed="false">
      <c r="A421" s="37" t="s">
        <v>940</v>
      </c>
      <c r="B421" s="34" t="s">
        <v>941</v>
      </c>
      <c r="C421" s="34" t="s">
        <v>919</v>
      </c>
    </row>
    <row r="422" customFormat="false" ht="63.75" hidden="false" customHeight="false" outlineLevel="0" collapsed="false">
      <c r="A422" s="37" t="s">
        <v>942</v>
      </c>
      <c r="B422" s="34" t="s">
        <v>943</v>
      </c>
      <c r="C422" s="34" t="s">
        <v>919</v>
      </c>
    </row>
    <row r="423" customFormat="false" ht="63.75" hidden="false" customHeight="false" outlineLevel="0" collapsed="false">
      <c r="A423" s="37" t="s">
        <v>944</v>
      </c>
      <c r="B423" s="34" t="s">
        <v>945</v>
      </c>
      <c r="C423" s="34" t="s">
        <v>919</v>
      </c>
    </row>
    <row r="424" customFormat="false" ht="63.75" hidden="false" customHeight="false" outlineLevel="0" collapsed="false">
      <c r="A424" s="37" t="s">
        <v>946</v>
      </c>
      <c r="B424" s="34" t="s">
        <v>947</v>
      </c>
      <c r="C424" s="34" t="s">
        <v>919</v>
      </c>
    </row>
    <row r="425" customFormat="false" ht="63.75" hidden="false" customHeight="false" outlineLevel="0" collapsed="false">
      <c r="A425" s="37" t="s">
        <v>948</v>
      </c>
      <c r="B425" s="34" t="s">
        <v>949</v>
      </c>
      <c r="C425" s="34" t="s">
        <v>919</v>
      </c>
    </row>
    <row r="426" customFormat="false" ht="25.5" hidden="false" customHeight="false" outlineLevel="0" collapsed="false">
      <c r="A426" s="37" t="s">
        <v>950</v>
      </c>
      <c r="B426" s="34" t="s">
        <v>951</v>
      </c>
      <c r="C426" s="34" t="s">
        <v>925</v>
      </c>
    </row>
    <row r="427" customFormat="false" ht="38.25" hidden="false" customHeight="false" outlineLevel="0" collapsed="false">
      <c r="A427" s="37" t="s">
        <v>952</v>
      </c>
      <c r="B427" s="34" t="s">
        <v>953</v>
      </c>
      <c r="C427" s="34" t="s">
        <v>954</v>
      </c>
    </row>
    <row r="428" customFormat="false" ht="25.5" hidden="false" customHeight="false" outlineLevel="0" collapsed="false">
      <c r="A428" s="37" t="s">
        <v>955</v>
      </c>
      <c r="B428" s="34" t="s">
        <v>956</v>
      </c>
      <c r="C428" s="34" t="s">
        <v>954</v>
      </c>
    </row>
    <row r="429" customFormat="false" ht="25.5" hidden="false" customHeight="false" outlineLevel="0" collapsed="false">
      <c r="A429" s="37" t="s">
        <v>957</v>
      </c>
      <c r="B429" s="34" t="s">
        <v>958</v>
      </c>
      <c r="C429" s="34" t="s">
        <v>954</v>
      </c>
    </row>
    <row r="430" customFormat="false" ht="25.5" hidden="false" customHeight="false" outlineLevel="0" collapsed="false">
      <c r="A430" s="37" t="s">
        <v>959</v>
      </c>
      <c r="B430" s="34" t="s">
        <v>960</v>
      </c>
      <c r="C430" s="34" t="s">
        <v>954</v>
      </c>
    </row>
    <row r="431" customFormat="false" ht="25.5" hidden="false" customHeight="false" outlineLevel="0" collapsed="false">
      <c r="A431" s="37" t="s">
        <v>961</v>
      </c>
      <c r="B431" s="34" t="s">
        <v>962</v>
      </c>
      <c r="C431" s="34" t="s">
        <v>954</v>
      </c>
    </row>
    <row r="432" customFormat="false" ht="25.5" hidden="false" customHeight="false" outlineLevel="0" collapsed="false">
      <c r="A432" s="37" t="s">
        <v>963</v>
      </c>
      <c r="B432" s="34" t="s">
        <v>964</v>
      </c>
      <c r="C432" s="34" t="s">
        <v>965</v>
      </c>
    </row>
    <row r="433" customFormat="false" ht="51" hidden="false" customHeight="false" outlineLevel="0" collapsed="false">
      <c r="A433" s="37" t="s">
        <v>966</v>
      </c>
      <c r="B433" s="34" t="s">
        <v>967</v>
      </c>
      <c r="C433" s="34" t="s">
        <v>968</v>
      </c>
    </row>
    <row r="434" customFormat="false" ht="51" hidden="false" customHeight="false" outlineLevel="0" collapsed="false">
      <c r="A434" s="37" t="s">
        <v>969</v>
      </c>
      <c r="B434" s="34" t="s">
        <v>967</v>
      </c>
      <c r="C434" s="34" t="s">
        <v>968</v>
      </c>
    </row>
    <row r="435" customFormat="false" ht="25.5" hidden="false" customHeight="false" outlineLevel="0" collapsed="false">
      <c r="A435" s="37" t="s">
        <v>970</v>
      </c>
      <c r="B435" s="34" t="s">
        <v>971</v>
      </c>
      <c r="C435" s="34" t="s">
        <v>965</v>
      </c>
    </row>
    <row r="436" customFormat="false" ht="25.5" hidden="false" customHeight="false" outlineLevel="0" collapsed="false">
      <c r="A436" s="37" t="s">
        <v>972</v>
      </c>
      <c r="B436" s="34" t="s">
        <v>973</v>
      </c>
      <c r="C436" s="34" t="s">
        <v>965</v>
      </c>
    </row>
    <row r="437" customFormat="false" ht="25.5" hidden="false" customHeight="false" outlineLevel="0" collapsed="false">
      <c r="A437" s="37" t="s">
        <v>974</v>
      </c>
      <c r="B437" s="34" t="s">
        <v>975</v>
      </c>
      <c r="C437" s="34" t="s">
        <v>965</v>
      </c>
    </row>
    <row r="438" customFormat="false" ht="25.5" hidden="false" customHeight="false" outlineLevel="0" collapsed="false">
      <c r="A438" s="37" t="s">
        <v>976</v>
      </c>
      <c r="B438" s="34" t="s">
        <v>975</v>
      </c>
      <c r="C438" s="34" t="s">
        <v>965</v>
      </c>
    </row>
    <row r="439" customFormat="false" ht="25.5" hidden="false" customHeight="false" outlineLevel="0" collapsed="false">
      <c r="A439" s="37" t="s">
        <v>977</v>
      </c>
      <c r="B439" s="34" t="s">
        <v>975</v>
      </c>
      <c r="C439" s="34" t="s">
        <v>965</v>
      </c>
    </row>
    <row r="440" customFormat="false" ht="25.5" hidden="false" customHeight="false" outlineLevel="0" collapsed="false">
      <c r="A440" s="37" t="s">
        <v>978</v>
      </c>
      <c r="B440" s="34" t="s">
        <v>975</v>
      </c>
      <c r="C440" s="34" t="s">
        <v>965</v>
      </c>
    </row>
    <row r="441" customFormat="false" ht="25.5" hidden="false" customHeight="false" outlineLevel="0" collapsed="false">
      <c r="A441" s="37" t="s">
        <v>979</v>
      </c>
      <c r="B441" s="34" t="s">
        <v>975</v>
      </c>
      <c r="C441" s="34" t="s">
        <v>965</v>
      </c>
    </row>
    <row r="442" customFormat="false" ht="25.5" hidden="false" customHeight="false" outlineLevel="0" collapsed="false">
      <c r="A442" s="37" t="s">
        <v>980</v>
      </c>
      <c r="B442" s="34" t="s">
        <v>975</v>
      </c>
      <c r="C442" s="34" t="s">
        <v>965</v>
      </c>
    </row>
    <row r="443" customFormat="false" ht="25.5" hidden="false" customHeight="false" outlineLevel="0" collapsed="false">
      <c r="A443" s="37" t="s">
        <v>981</v>
      </c>
      <c r="B443" s="34" t="s">
        <v>975</v>
      </c>
      <c r="C443" s="34" t="s">
        <v>965</v>
      </c>
    </row>
    <row r="444" customFormat="false" ht="25.5" hidden="false" customHeight="false" outlineLevel="0" collapsed="false">
      <c r="A444" s="37" t="s">
        <v>982</v>
      </c>
      <c r="B444" s="34" t="s">
        <v>975</v>
      </c>
      <c r="C444" s="34" t="s">
        <v>965</v>
      </c>
    </row>
    <row r="445" customFormat="false" ht="89.25" hidden="false" customHeight="false" outlineLevel="0" collapsed="false">
      <c r="A445" s="37" t="s">
        <v>983</v>
      </c>
      <c r="B445" s="34" t="s">
        <v>984</v>
      </c>
      <c r="C445" s="34" t="s">
        <v>985</v>
      </c>
    </row>
    <row r="446" customFormat="false" ht="89.25" hidden="false" customHeight="false" outlineLevel="0" collapsed="false">
      <c r="A446" s="37" t="s">
        <v>986</v>
      </c>
      <c r="B446" s="34" t="s">
        <v>987</v>
      </c>
      <c r="C446" s="34" t="s">
        <v>988</v>
      </c>
    </row>
    <row r="447" customFormat="false" ht="51" hidden="false" customHeight="false" outlineLevel="0" collapsed="false">
      <c r="A447" s="37" t="s">
        <v>989</v>
      </c>
      <c r="B447" s="34" t="s">
        <v>990</v>
      </c>
      <c r="C447" s="34" t="s">
        <v>965</v>
      </c>
    </row>
    <row r="448" customFormat="false" ht="51" hidden="false" customHeight="false" outlineLevel="0" collapsed="false">
      <c r="A448" s="37" t="s">
        <v>991</v>
      </c>
      <c r="B448" s="34" t="s">
        <v>992</v>
      </c>
      <c r="C448" s="34" t="s">
        <v>965</v>
      </c>
    </row>
    <row r="449" customFormat="false" ht="51" hidden="false" customHeight="false" outlineLevel="0" collapsed="false">
      <c r="A449" s="37" t="s">
        <v>993</v>
      </c>
      <c r="B449" s="34" t="s">
        <v>994</v>
      </c>
      <c r="C449" s="34" t="s">
        <v>965</v>
      </c>
    </row>
    <row r="450" customFormat="false" ht="89.25" hidden="false" customHeight="false" outlineLevel="0" collapsed="false">
      <c r="A450" s="37" t="s">
        <v>995</v>
      </c>
      <c r="B450" s="34" t="s">
        <v>996</v>
      </c>
      <c r="C450" s="34" t="s">
        <v>997</v>
      </c>
    </row>
    <row r="451" customFormat="false" ht="89.25" hidden="false" customHeight="false" outlineLevel="0" collapsed="false">
      <c r="A451" s="37" t="s">
        <v>998</v>
      </c>
      <c r="B451" s="34" t="s">
        <v>999</v>
      </c>
      <c r="C451" s="34" t="s">
        <v>997</v>
      </c>
    </row>
    <row r="452" customFormat="false" ht="38.25" hidden="false" customHeight="false" outlineLevel="0" collapsed="false">
      <c r="A452" s="37" t="s">
        <v>1000</v>
      </c>
      <c r="B452" s="34" t="s">
        <v>1001</v>
      </c>
      <c r="C452" s="34" t="s">
        <v>1002</v>
      </c>
    </row>
    <row r="453" customFormat="false" ht="102" hidden="false" customHeight="false" outlineLevel="0" collapsed="false">
      <c r="A453" s="37" t="s">
        <v>1003</v>
      </c>
      <c r="B453" s="34" t="s">
        <v>1004</v>
      </c>
      <c r="C453" s="34" t="s">
        <v>965</v>
      </c>
    </row>
    <row r="454" customFormat="false" ht="25.5" hidden="false" customHeight="false" outlineLevel="0" collapsed="false">
      <c r="A454" s="37" t="s">
        <v>1005</v>
      </c>
      <c r="B454" s="34" t="s">
        <v>1006</v>
      </c>
      <c r="C454" s="34" t="s">
        <v>968</v>
      </c>
    </row>
    <row r="455" customFormat="false" ht="25.5" hidden="false" customHeight="false" outlineLevel="0" collapsed="false">
      <c r="A455" s="37" t="s">
        <v>1007</v>
      </c>
      <c r="B455" s="34" t="s">
        <v>1008</v>
      </c>
      <c r="C455" s="34" t="s">
        <v>968</v>
      </c>
    </row>
    <row r="456" customFormat="false" ht="25.5" hidden="false" customHeight="false" outlineLevel="0" collapsed="false">
      <c r="A456" s="37" t="s">
        <v>1009</v>
      </c>
      <c r="B456" s="34" t="s">
        <v>1010</v>
      </c>
      <c r="C456" s="34" t="s">
        <v>965</v>
      </c>
    </row>
    <row r="457" customFormat="false" ht="51" hidden="false" customHeight="false" outlineLevel="0" collapsed="false">
      <c r="A457" s="37" t="s">
        <v>1011</v>
      </c>
      <c r="B457" s="34" t="s">
        <v>1012</v>
      </c>
      <c r="C457" s="34" t="s">
        <v>965</v>
      </c>
    </row>
    <row r="458" customFormat="false" ht="38.25" hidden="false" customHeight="false" outlineLevel="0" collapsed="false">
      <c r="A458" s="37" t="s">
        <v>1013</v>
      </c>
      <c r="B458" s="34" t="s">
        <v>1014</v>
      </c>
      <c r="C458" s="34" t="s">
        <v>968</v>
      </c>
    </row>
    <row r="459" customFormat="false" ht="63.75" hidden="false" customHeight="false" outlineLevel="0" collapsed="false">
      <c r="A459" s="37" t="s">
        <v>1015</v>
      </c>
      <c r="B459" s="34" t="s">
        <v>1016</v>
      </c>
      <c r="C459" s="34" t="s">
        <v>139</v>
      </c>
    </row>
    <row r="460" customFormat="false" ht="76.5" hidden="false" customHeight="false" outlineLevel="0" collapsed="false">
      <c r="A460" s="37" t="s">
        <v>1017</v>
      </c>
      <c r="B460" s="34" t="s">
        <v>1018</v>
      </c>
      <c r="C460" s="34" t="s">
        <v>1019</v>
      </c>
    </row>
    <row r="461" customFormat="false" ht="76.5" hidden="false" customHeight="false" outlineLevel="0" collapsed="false">
      <c r="A461" s="37" t="s">
        <v>1020</v>
      </c>
      <c r="B461" s="34" t="s">
        <v>1021</v>
      </c>
      <c r="C461" s="34" t="s">
        <v>1019</v>
      </c>
    </row>
    <row r="462" customFormat="false" ht="76.5" hidden="false" customHeight="false" outlineLevel="0" collapsed="false">
      <c r="A462" s="37" t="s">
        <v>1022</v>
      </c>
      <c r="B462" s="34" t="s">
        <v>1023</v>
      </c>
      <c r="C462" s="34" t="s">
        <v>1019</v>
      </c>
    </row>
    <row r="463" customFormat="false" ht="76.5" hidden="false" customHeight="false" outlineLevel="0" collapsed="false">
      <c r="A463" s="37" t="s">
        <v>1024</v>
      </c>
      <c r="B463" s="34" t="s">
        <v>1025</v>
      </c>
      <c r="C463" s="34" t="s">
        <v>1019</v>
      </c>
    </row>
    <row r="464" customFormat="false" ht="76.5" hidden="false" customHeight="false" outlineLevel="0" collapsed="false">
      <c r="A464" s="37" t="s">
        <v>1026</v>
      </c>
      <c r="B464" s="34" t="s">
        <v>1027</v>
      </c>
      <c r="C464" s="34" t="s">
        <v>1028</v>
      </c>
    </row>
    <row r="465" customFormat="false" ht="63.75" hidden="false" customHeight="false" outlineLevel="0" collapsed="false">
      <c r="A465" s="37" t="s">
        <v>1029</v>
      </c>
      <c r="B465" s="34" t="s">
        <v>1030</v>
      </c>
      <c r="C465" s="34" t="s">
        <v>142</v>
      </c>
    </row>
    <row r="466" customFormat="false" ht="63.75" hidden="false" customHeight="false" outlineLevel="0" collapsed="false">
      <c r="A466" s="37" t="s">
        <v>1031</v>
      </c>
      <c r="B466" s="34" t="s">
        <v>1032</v>
      </c>
      <c r="C466" s="34" t="s">
        <v>1033</v>
      </c>
    </row>
    <row r="467" customFormat="false" ht="38.25" hidden="false" customHeight="false" outlineLevel="0" collapsed="false">
      <c r="A467" s="37" t="s">
        <v>1034</v>
      </c>
      <c r="B467" s="34" t="s">
        <v>1035</v>
      </c>
      <c r="C467" s="34" t="s">
        <v>687</v>
      </c>
    </row>
    <row r="468" customFormat="false" ht="51" hidden="false" customHeight="false" outlineLevel="0" collapsed="false">
      <c r="A468" s="37" t="s">
        <v>1036</v>
      </c>
      <c r="B468" s="34" t="s">
        <v>1037</v>
      </c>
      <c r="C468" s="34" t="s">
        <v>1038</v>
      </c>
    </row>
    <row r="469" customFormat="false" ht="38.25" hidden="false" customHeight="false" outlineLevel="0" collapsed="false">
      <c r="A469" s="37" t="s">
        <v>1039</v>
      </c>
      <c r="B469" s="34" t="s">
        <v>1040</v>
      </c>
      <c r="C469" s="34" t="s">
        <v>1041</v>
      </c>
    </row>
    <row r="470" customFormat="false" ht="25.5" hidden="false" customHeight="false" outlineLevel="0" collapsed="false">
      <c r="A470" s="37" t="s">
        <v>1042</v>
      </c>
      <c r="B470" s="34" t="s">
        <v>1043</v>
      </c>
      <c r="C470" s="34" t="s">
        <v>1044</v>
      </c>
    </row>
    <row r="471" customFormat="false" ht="51" hidden="false" customHeight="false" outlineLevel="0" collapsed="false">
      <c r="A471" s="37" t="s">
        <v>1045</v>
      </c>
      <c r="B471" s="34" t="s">
        <v>1046</v>
      </c>
      <c r="C471" s="34" t="s">
        <v>1047</v>
      </c>
    </row>
    <row r="472" customFormat="false" ht="51" hidden="false" customHeight="false" outlineLevel="0" collapsed="false">
      <c r="A472" s="37" t="s">
        <v>1048</v>
      </c>
      <c r="B472" s="34" t="s">
        <v>1049</v>
      </c>
      <c r="C472" s="34" t="s">
        <v>1050</v>
      </c>
    </row>
    <row r="473" customFormat="false" ht="51" hidden="false" customHeight="false" outlineLevel="0" collapsed="false">
      <c r="A473" s="37" t="s">
        <v>1051</v>
      </c>
      <c r="B473" s="34" t="s">
        <v>1052</v>
      </c>
      <c r="C473" s="34" t="s">
        <v>1053</v>
      </c>
    </row>
    <row r="474" customFormat="false" ht="38.25" hidden="false" customHeight="false" outlineLevel="0" collapsed="false">
      <c r="A474" s="37" t="s">
        <v>1054</v>
      </c>
      <c r="B474" s="34" t="s">
        <v>1055</v>
      </c>
      <c r="C474" s="34" t="s">
        <v>1056</v>
      </c>
    </row>
    <row r="475" customFormat="false" ht="63.75" hidden="false" customHeight="false" outlineLevel="0" collapsed="false">
      <c r="A475" s="37" t="s">
        <v>1057</v>
      </c>
      <c r="B475" s="34" t="s">
        <v>1058</v>
      </c>
      <c r="C475" s="34" t="s">
        <v>1059</v>
      </c>
    </row>
    <row r="476" customFormat="false" ht="63.75" hidden="false" customHeight="false" outlineLevel="0" collapsed="false">
      <c r="A476" s="37" t="s">
        <v>1060</v>
      </c>
      <c r="B476" s="34" t="s">
        <v>1061</v>
      </c>
      <c r="C476" s="34" t="s">
        <v>139</v>
      </c>
    </row>
    <row r="477" customFormat="false" ht="63.75" hidden="false" customHeight="false" outlineLevel="0" collapsed="false">
      <c r="A477" s="37" t="s">
        <v>1062</v>
      </c>
      <c r="B477" s="34" t="s">
        <v>1063</v>
      </c>
      <c r="C477" s="34" t="s">
        <v>139</v>
      </c>
    </row>
    <row r="478" customFormat="false" ht="63.75" hidden="false" customHeight="false" outlineLevel="0" collapsed="false">
      <c r="A478" s="37" t="s">
        <v>1064</v>
      </c>
      <c r="B478" s="34" t="s">
        <v>1065</v>
      </c>
      <c r="C478" s="34" t="s">
        <v>139</v>
      </c>
    </row>
    <row r="479" customFormat="false" ht="114.75" hidden="false" customHeight="false" outlineLevel="0" collapsed="false">
      <c r="A479" s="37" t="n">
        <v>5211500</v>
      </c>
      <c r="B479" s="34" t="s">
        <v>1066</v>
      </c>
      <c r="C479" s="34" t="s">
        <v>1067</v>
      </c>
    </row>
    <row r="480" customFormat="false" ht="127.5" hidden="false" customHeight="false" outlineLevel="0" collapsed="false">
      <c r="A480" s="37" t="n">
        <v>5212500</v>
      </c>
      <c r="B480" s="34" t="s">
        <v>1068</v>
      </c>
      <c r="C480" s="34" t="s">
        <v>1069</v>
      </c>
    </row>
    <row r="481" customFormat="false" ht="89.25" hidden="false" customHeight="false" outlineLevel="0" collapsed="false">
      <c r="A481" s="37" t="n">
        <v>5217500</v>
      </c>
      <c r="B481" s="34" t="s">
        <v>1070</v>
      </c>
      <c r="C481" s="34" t="s">
        <v>1071</v>
      </c>
    </row>
    <row r="482" customFormat="false" ht="102" hidden="false" customHeight="false" outlineLevel="0" collapsed="false">
      <c r="A482" s="37" t="s">
        <v>1072</v>
      </c>
      <c r="B482" s="34" t="s">
        <v>1073</v>
      </c>
      <c r="C482" s="34" t="s">
        <v>177</v>
      </c>
    </row>
    <row r="483" customFormat="false" ht="102" hidden="false" customHeight="false" outlineLevel="0" collapsed="false">
      <c r="A483" s="37" t="s">
        <v>1074</v>
      </c>
      <c r="B483" s="34" t="s">
        <v>1075</v>
      </c>
      <c r="C483" s="34" t="s">
        <v>177</v>
      </c>
    </row>
    <row r="484" customFormat="false" ht="114.75" hidden="false" customHeight="false" outlineLevel="0" collapsed="false">
      <c r="A484" s="37" t="n">
        <v>5221500</v>
      </c>
      <c r="B484" s="34" t="s">
        <v>1076</v>
      </c>
      <c r="C484" s="34" t="s">
        <v>1077</v>
      </c>
    </row>
    <row r="485" customFormat="false" ht="127.5" hidden="false" customHeight="false" outlineLevel="0" collapsed="false">
      <c r="A485" s="37" t="n">
        <v>5222500</v>
      </c>
      <c r="B485" s="34" t="s">
        <v>1078</v>
      </c>
      <c r="C485" s="34" t="s">
        <v>1079</v>
      </c>
    </row>
    <row r="486" customFormat="false" ht="89.25" hidden="false" customHeight="false" outlineLevel="0" collapsed="false">
      <c r="A486" s="37" t="n">
        <v>5227500</v>
      </c>
      <c r="B486" s="34" t="s">
        <v>1080</v>
      </c>
      <c r="C486" s="34" t="s">
        <v>1081</v>
      </c>
    </row>
    <row r="487" customFormat="false" ht="102" hidden="false" customHeight="false" outlineLevel="0" collapsed="false">
      <c r="A487" s="37" t="s">
        <v>1082</v>
      </c>
      <c r="B487" s="34" t="s">
        <v>1083</v>
      </c>
      <c r="C487" s="34" t="s">
        <v>221</v>
      </c>
    </row>
    <row r="488" customFormat="false" ht="102" hidden="false" customHeight="false" outlineLevel="0" collapsed="false">
      <c r="A488" s="37" t="s">
        <v>1084</v>
      </c>
      <c r="B488" s="34" t="s">
        <v>1085</v>
      </c>
      <c r="C488" s="34" t="s">
        <v>221</v>
      </c>
    </row>
    <row r="489" customFormat="false" ht="114.75" hidden="false" customHeight="false" outlineLevel="0" collapsed="false">
      <c r="A489" s="37" t="n">
        <v>5231500</v>
      </c>
      <c r="B489" s="34" t="s">
        <v>1086</v>
      </c>
      <c r="C489" s="34" t="s">
        <v>1087</v>
      </c>
    </row>
    <row r="490" customFormat="false" ht="127.5" hidden="false" customHeight="false" outlineLevel="0" collapsed="false">
      <c r="A490" s="37" t="n">
        <v>5232500</v>
      </c>
      <c r="B490" s="34" t="s">
        <v>1088</v>
      </c>
      <c r="C490" s="34" t="s">
        <v>1089</v>
      </c>
    </row>
    <row r="491" customFormat="false" ht="89.25" hidden="false" customHeight="false" outlineLevel="0" collapsed="false">
      <c r="A491" s="37" t="n">
        <v>5237500</v>
      </c>
      <c r="B491" s="34" t="s">
        <v>1090</v>
      </c>
      <c r="C491" s="34" t="s">
        <v>1091</v>
      </c>
    </row>
    <row r="492" customFormat="false" ht="102" hidden="false" customHeight="false" outlineLevel="0" collapsed="false">
      <c r="A492" s="37" t="s">
        <v>1092</v>
      </c>
      <c r="B492" s="34" t="s">
        <v>1093</v>
      </c>
      <c r="C492" s="34" t="s">
        <v>265</v>
      </c>
    </row>
    <row r="493" customFormat="false" ht="102" hidden="false" customHeight="false" outlineLevel="0" collapsed="false">
      <c r="A493" s="37" t="s">
        <v>1094</v>
      </c>
      <c r="B493" s="34" t="s">
        <v>1095</v>
      </c>
      <c r="C493" s="34" t="s">
        <v>265</v>
      </c>
    </row>
    <row r="494" customFormat="false" ht="114.75" hidden="false" customHeight="false" outlineLevel="0" collapsed="false">
      <c r="A494" s="37" t="n">
        <v>5241500</v>
      </c>
      <c r="B494" s="34" t="s">
        <v>1096</v>
      </c>
      <c r="C494" s="34" t="s">
        <v>1097</v>
      </c>
    </row>
    <row r="495" customFormat="false" ht="127.5" hidden="false" customHeight="false" outlineLevel="0" collapsed="false">
      <c r="A495" s="37" t="n">
        <v>5242500</v>
      </c>
      <c r="B495" s="34" t="s">
        <v>1098</v>
      </c>
      <c r="C495" s="34" t="s">
        <v>1099</v>
      </c>
    </row>
    <row r="496" customFormat="false" ht="89.25" hidden="false" customHeight="false" outlineLevel="0" collapsed="false">
      <c r="A496" s="37" t="n">
        <v>5247500</v>
      </c>
      <c r="B496" s="34" t="s">
        <v>1098</v>
      </c>
      <c r="C496" s="34" t="s">
        <v>1100</v>
      </c>
    </row>
    <row r="497" customFormat="false" ht="102" hidden="false" customHeight="false" outlineLevel="0" collapsed="false">
      <c r="A497" s="37" t="s">
        <v>1101</v>
      </c>
      <c r="B497" s="34" t="s">
        <v>1102</v>
      </c>
      <c r="C497" s="34" t="s">
        <v>309</v>
      </c>
    </row>
    <row r="498" customFormat="false" ht="102" hidden="false" customHeight="false" outlineLevel="0" collapsed="false">
      <c r="A498" s="37" t="s">
        <v>1103</v>
      </c>
      <c r="B498" s="34" t="s">
        <v>1104</v>
      </c>
      <c r="C498" s="34" t="s">
        <v>309</v>
      </c>
    </row>
    <row r="499" customFormat="false" ht="114.75" hidden="false" customHeight="false" outlineLevel="0" collapsed="false">
      <c r="A499" s="37" t="n">
        <v>5251500</v>
      </c>
      <c r="B499" s="34" t="s">
        <v>1105</v>
      </c>
      <c r="C499" s="34" t="s">
        <v>1106</v>
      </c>
    </row>
    <row r="500" customFormat="false" ht="127.5" hidden="false" customHeight="false" outlineLevel="0" collapsed="false">
      <c r="A500" s="37" t="n">
        <v>5252500</v>
      </c>
      <c r="B500" s="34" t="s">
        <v>1107</v>
      </c>
      <c r="C500" s="34" t="s">
        <v>1108</v>
      </c>
    </row>
    <row r="501" customFormat="false" ht="89.25" hidden="false" customHeight="false" outlineLevel="0" collapsed="false">
      <c r="A501" s="37" t="n">
        <v>5257500</v>
      </c>
      <c r="B501" s="34" t="s">
        <v>1107</v>
      </c>
      <c r="C501" s="34" t="s">
        <v>1109</v>
      </c>
    </row>
    <row r="502" customFormat="false" ht="102" hidden="false" customHeight="false" outlineLevel="0" collapsed="false">
      <c r="A502" s="37" t="s">
        <v>1110</v>
      </c>
      <c r="B502" s="34" t="s">
        <v>1111</v>
      </c>
      <c r="C502" s="34" t="s">
        <v>351</v>
      </c>
    </row>
    <row r="503" customFormat="false" ht="102" hidden="false" customHeight="false" outlineLevel="0" collapsed="false">
      <c r="A503" s="37" t="s">
        <v>1112</v>
      </c>
      <c r="B503" s="34" t="s">
        <v>1113</v>
      </c>
      <c r="C503" s="34" t="s">
        <v>351</v>
      </c>
    </row>
    <row r="504" customFormat="false" ht="89.25" hidden="false" customHeight="false" outlineLevel="0" collapsed="false">
      <c r="A504" s="37" t="n">
        <v>5262100</v>
      </c>
      <c r="B504" s="34" t="s">
        <v>1114</v>
      </c>
      <c r="C504" s="34" t="s">
        <v>1115</v>
      </c>
    </row>
    <row r="505" customFormat="false" ht="76.5" hidden="false" customHeight="false" outlineLevel="0" collapsed="false">
      <c r="A505" s="37" t="n">
        <v>5262200</v>
      </c>
      <c r="B505" s="34" t="s">
        <v>1116</v>
      </c>
      <c r="C505" s="34" t="s">
        <v>1117</v>
      </c>
    </row>
    <row r="506" customFormat="false" ht="63.75" hidden="false" customHeight="false" outlineLevel="0" collapsed="false">
      <c r="A506" s="37" t="n">
        <v>5262300</v>
      </c>
      <c r="B506" s="34" t="s">
        <v>1114</v>
      </c>
      <c r="C506" s="34" t="s">
        <v>1118</v>
      </c>
    </row>
    <row r="507" customFormat="false" ht="38.25" hidden="false" customHeight="false" outlineLevel="0" collapsed="false">
      <c r="A507" s="37" t="n">
        <v>5262400</v>
      </c>
      <c r="B507" s="34" t="s">
        <v>1119</v>
      </c>
      <c r="C507" s="34" t="s">
        <v>965</v>
      </c>
    </row>
    <row r="508" customFormat="false" ht="76.5" hidden="false" customHeight="false" outlineLevel="0" collapsed="false">
      <c r="A508" s="37" t="n">
        <v>5262500</v>
      </c>
      <c r="B508" s="34" t="s">
        <v>1120</v>
      </c>
      <c r="C508" s="34" t="s">
        <v>1121</v>
      </c>
    </row>
    <row r="509" customFormat="false" ht="76.5" hidden="false" customHeight="false" outlineLevel="0" collapsed="false">
      <c r="A509" s="37" t="n">
        <v>5262600</v>
      </c>
      <c r="B509" s="34" t="s">
        <v>1122</v>
      </c>
      <c r="C509" s="34" t="s">
        <v>1121</v>
      </c>
    </row>
    <row r="510" customFormat="false" ht="38.25" hidden="false" customHeight="false" outlineLevel="0" collapsed="false">
      <c r="A510" s="37" t="s">
        <v>1123</v>
      </c>
      <c r="B510" s="34" t="s">
        <v>1124</v>
      </c>
      <c r="C510" s="34" t="s">
        <v>968</v>
      </c>
    </row>
    <row r="511" customFormat="false" ht="38.25" hidden="false" customHeight="false" outlineLevel="0" collapsed="false">
      <c r="A511" s="37" t="s">
        <v>1125</v>
      </c>
      <c r="B511" s="34" t="s">
        <v>1116</v>
      </c>
      <c r="C511" s="34" t="s">
        <v>968</v>
      </c>
    </row>
    <row r="512" customFormat="false" ht="25.5" hidden="false" customHeight="false" outlineLevel="0" collapsed="false">
      <c r="A512" s="37" t="s">
        <v>1126</v>
      </c>
      <c r="B512" s="34" t="s">
        <v>1127</v>
      </c>
      <c r="C512" s="34" t="s">
        <v>968</v>
      </c>
    </row>
    <row r="513" customFormat="false" ht="38.25" hidden="false" customHeight="false" outlineLevel="0" collapsed="false">
      <c r="A513" s="37" t="s">
        <v>1128</v>
      </c>
      <c r="B513" s="34" t="s">
        <v>1129</v>
      </c>
      <c r="C513" s="34" t="s">
        <v>968</v>
      </c>
    </row>
    <row r="514" customFormat="false" ht="38.25" hidden="false" customHeight="false" outlineLevel="0" collapsed="false">
      <c r="A514" s="37" t="s">
        <v>1130</v>
      </c>
      <c r="B514" s="34" t="s">
        <v>1131</v>
      </c>
      <c r="C514" s="34" t="s">
        <v>968</v>
      </c>
    </row>
    <row r="515" customFormat="false" ht="38.25" hidden="false" customHeight="false" outlineLevel="0" collapsed="false">
      <c r="A515" s="37" t="s">
        <v>1132</v>
      </c>
      <c r="B515" s="34" t="s">
        <v>1133</v>
      </c>
      <c r="C515" s="34" t="s">
        <v>968</v>
      </c>
    </row>
    <row r="516" customFormat="false" ht="38.25" hidden="false" customHeight="false" outlineLevel="0" collapsed="false">
      <c r="A516" s="37" t="s">
        <v>1134</v>
      </c>
      <c r="B516" s="34" t="s">
        <v>1135</v>
      </c>
      <c r="C516" s="34" t="s">
        <v>968</v>
      </c>
    </row>
    <row r="517" customFormat="false" ht="38.25" hidden="false" customHeight="false" outlineLevel="0" collapsed="false">
      <c r="A517" s="37" t="s">
        <v>1136</v>
      </c>
      <c r="B517" s="34" t="s">
        <v>1137</v>
      </c>
      <c r="C517" s="34" t="s">
        <v>968</v>
      </c>
    </row>
    <row r="518" customFormat="false" ht="38.25" hidden="false" customHeight="false" outlineLevel="0" collapsed="false">
      <c r="A518" s="37" t="s">
        <v>1138</v>
      </c>
      <c r="B518" s="34" t="s">
        <v>1139</v>
      </c>
      <c r="C518" s="34" t="s">
        <v>968</v>
      </c>
    </row>
    <row r="519" customFormat="false" ht="63.75" hidden="false" customHeight="false" outlineLevel="0" collapsed="false">
      <c r="A519" s="37" t="s">
        <v>1140</v>
      </c>
      <c r="B519" s="34" t="s">
        <v>1141</v>
      </c>
      <c r="C519" s="34" t="s">
        <v>1142</v>
      </c>
    </row>
    <row r="520" customFormat="false" ht="38.25" hidden="false" customHeight="false" outlineLevel="0" collapsed="false">
      <c r="A520" s="37" t="s">
        <v>1143</v>
      </c>
      <c r="B520" s="34" t="s">
        <v>1144</v>
      </c>
      <c r="C520" s="34" t="s">
        <v>968</v>
      </c>
    </row>
    <row r="521" customFormat="false" ht="38.25" hidden="false" customHeight="false" outlineLevel="0" collapsed="false">
      <c r="A521" s="37" t="s">
        <v>1145</v>
      </c>
      <c r="B521" s="34" t="s">
        <v>1146</v>
      </c>
      <c r="C521" s="34" t="s">
        <v>968</v>
      </c>
    </row>
    <row r="522" customFormat="false" ht="38.25" hidden="false" customHeight="false" outlineLevel="0" collapsed="false">
      <c r="A522" s="37" t="s">
        <v>1145</v>
      </c>
      <c r="B522" s="34" t="s">
        <v>1146</v>
      </c>
      <c r="C522" s="34" t="s">
        <v>968</v>
      </c>
    </row>
    <row r="523" customFormat="false" ht="51" hidden="false" customHeight="false" outlineLevel="0" collapsed="false">
      <c r="A523" s="37" t="s">
        <v>1147</v>
      </c>
      <c r="B523" s="34" t="s">
        <v>1148</v>
      </c>
      <c r="C523" s="34" t="s">
        <v>968</v>
      </c>
    </row>
    <row r="524" customFormat="false" ht="51" hidden="false" customHeight="false" outlineLevel="0" collapsed="false">
      <c r="A524" s="37" t="s">
        <v>1147</v>
      </c>
      <c r="B524" s="34" t="s">
        <v>1149</v>
      </c>
      <c r="C524" s="34" t="s">
        <v>968</v>
      </c>
    </row>
    <row r="525" customFormat="false" ht="63.75" hidden="false" customHeight="false" outlineLevel="0" collapsed="false">
      <c r="A525" s="37" t="s">
        <v>1150</v>
      </c>
      <c r="B525" s="34" t="s">
        <v>1151</v>
      </c>
      <c r="C525" s="34" t="s">
        <v>1142</v>
      </c>
    </row>
    <row r="526" customFormat="false" ht="63.75" hidden="false" customHeight="false" outlineLevel="0" collapsed="false">
      <c r="A526" s="37" t="s">
        <v>1152</v>
      </c>
      <c r="B526" s="34" t="s">
        <v>1153</v>
      </c>
      <c r="C526" s="34" t="s">
        <v>1154</v>
      </c>
    </row>
    <row r="527" customFormat="false" ht="63.75" hidden="false" customHeight="false" outlineLevel="0" collapsed="false">
      <c r="A527" s="37" t="s">
        <v>1155</v>
      </c>
      <c r="B527" s="34" t="s">
        <v>1156</v>
      </c>
      <c r="C527" s="34" t="s">
        <v>1154</v>
      </c>
    </row>
    <row r="528" customFormat="false" ht="63.75" hidden="false" customHeight="false" outlineLevel="0" collapsed="false">
      <c r="A528" s="37" t="s">
        <v>1157</v>
      </c>
      <c r="B528" s="34" t="s">
        <v>1158</v>
      </c>
      <c r="C528" s="34" t="s">
        <v>1154</v>
      </c>
    </row>
    <row r="529" customFormat="false" ht="63.75" hidden="false" customHeight="false" outlineLevel="0" collapsed="false">
      <c r="A529" s="37" t="s">
        <v>1159</v>
      </c>
      <c r="B529" s="34" t="s">
        <v>1153</v>
      </c>
      <c r="C529" s="34" t="s">
        <v>1154</v>
      </c>
    </row>
    <row r="530" customFormat="false" ht="89.25" hidden="false" customHeight="false" outlineLevel="0" collapsed="false">
      <c r="A530" s="37" t="s">
        <v>1160</v>
      </c>
      <c r="B530" s="34" t="s">
        <v>1161</v>
      </c>
      <c r="C530" s="34" t="s">
        <v>387</v>
      </c>
    </row>
    <row r="531" customFormat="false" ht="89.25" hidden="false" customHeight="false" outlineLevel="0" collapsed="false">
      <c r="A531" s="37" t="s">
        <v>1162</v>
      </c>
      <c r="B531" s="34" t="s">
        <v>1163</v>
      </c>
      <c r="C531" s="34" t="s">
        <v>387</v>
      </c>
    </row>
    <row r="532" customFormat="false" ht="89.25" hidden="false" customHeight="false" outlineLevel="0" collapsed="false">
      <c r="A532" s="37" t="s">
        <v>1164</v>
      </c>
      <c r="B532" s="34" t="s">
        <v>1165</v>
      </c>
      <c r="C532" s="34" t="s">
        <v>387</v>
      </c>
    </row>
    <row r="533" customFormat="false" ht="89.25" hidden="false" customHeight="false" outlineLevel="0" collapsed="false">
      <c r="A533" s="37" t="s">
        <v>1166</v>
      </c>
      <c r="B533" s="34" t="s">
        <v>1167</v>
      </c>
      <c r="C533" s="34" t="s">
        <v>387</v>
      </c>
    </row>
    <row r="534" customFormat="false" ht="51" hidden="false" customHeight="false" outlineLevel="0" collapsed="false">
      <c r="A534" s="37" t="s">
        <v>1168</v>
      </c>
      <c r="B534" s="34" t="s">
        <v>1169</v>
      </c>
      <c r="C534" s="34" t="s">
        <v>1170</v>
      </c>
    </row>
    <row r="535" customFormat="false" ht="51" hidden="false" customHeight="false" outlineLevel="0" collapsed="false">
      <c r="A535" s="37" t="s">
        <v>1171</v>
      </c>
      <c r="B535" s="34" t="s">
        <v>1172</v>
      </c>
      <c r="C535" s="34" t="s">
        <v>1170</v>
      </c>
    </row>
    <row r="536" customFormat="false" ht="51" hidden="false" customHeight="false" outlineLevel="0" collapsed="false">
      <c r="A536" s="37" t="s">
        <v>1173</v>
      </c>
      <c r="B536" s="34" t="s">
        <v>1174</v>
      </c>
      <c r="C536" s="34" t="s">
        <v>1170</v>
      </c>
    </row>
    <row r="537" customFormat="false" ht="63.75" hidden="false" customHeight="false" outlineLevel="0" collapsed="false">
      <c r="A537" s="37" t="s">
        <v>1175</v>
      </c>
      <c r="B537" s="34" t="s">
        <v>1176</v>
      </c>
      <c r="C537" s="34" t="s">
        <v>373</v>
      </c>
    </row>
    <row r="538" customFormat="false" ht="63.75" hidden="false" customHeight="false" outlineLevel="0" collapsed="false">
      <c r="A538" s="37" t="s">
        <v>1177</v>
      </c>
      <c r="B538" s="34" t="s">
        <v>1178</v>
      </c>
      <c r="C538" s="34" t="s">
        <v>373</v>
      </c>
    </row>
    <row r="539" customFormat="false" ht="51" hidden="false" customHeight="false" outlineLevel="0" collapsed="false">
      <c r="A539" s="37" t="s">
        <v>1179</v>
      </c>
      <c r="B539" s="34" t="s">
        <v>1180</v>
      </c>
      <c r="C539" s="34" t="s">
        <v>384</v>
      </c>
    </row>
    <row r="540" customFormat="false" ht="89.25" hidden="false" customHeight="false" outlineLevel="0" collapsed="false">
      <c r="A540" s="37" t="s">
        <v>1181</v>
      </c>
      <c r="B540" s="34" t="s">
        <v>1165</v>
      </c>
      <c r="C540" s="34" t="s">
        <v>387</v>
      </c>
    </row>
    <row r="541" customFormat="false" ht="89.25" hidden="false" customHeight="false" outlineLevel="0" collapsed="false">
      <c r="A541" s="37" t="s">
        <v>1182</v>
      </c>
      <c r="B541" s="34" t="s">
        <v>1183</v>
      </c>
      <c r="C541" s="34" t="s">
        <v>387</v>
      </c>
    </row>
    <row r="542" customFormat="false" ht="89.25" hidden="false" customHeight="false" outlineLevel="0" collapsed="false">
      <c r="A542" s="37" t="s">
        <v>1184</v>
      </c>
      <c r="B542" s="34" t="s">
        <v>1185</v>
      </c>
      <c r="C542" s="34" t="s">
        <v>1186</v>
      </c>
    </row>
    <row r="543" customFormat="false" ht="76.5" hidden="false" customHeight="false" outlineLevel="0" collapsed="false">
      <c r="A543" s="37" t="s">
        <v>1187</v>
      </c>
      <c r="B543" s="34" t="s">
        <v>1185</v>
      </c>
      <c r="C543" s="34" t="s">
        <v>1188</v>
      </c>
    </row>
    <row r="544" customFormat="false" ht="76.5" hidden="false" customHeight="false" outlineLevel="0" collapsed="false">
      <c r="A544" s="37" t="s">
        <v>1189</v>
      </c>
      <c r="B544" s="34" t="s">
        <v>1190</v>
      </c>
      <c r="C544" s="34" t="s">
        <v>1188</v>
      </c>
    </row>
    <row r="545" customFormat="false" ht="76.5" hidden="false" customHeight="false" outlineLevel="0" collapsed="false">
      <c r="A545" s="37" t="s">
        <v>1191</v>
      </c>
      <c r="B545" s="34" t="s">
        <v>1192</v>
      </c>
      <c r="C545" s="34" t="s">
        <v>1193</v>
      </c>
    </row>
    <row r="546" customFormat="false" ht="76.5" hidden="false" customHeight="false" outlineLevel="0" collapsed="false">
      <c r="A546" s="37" t="s">
        <v>1194</v>
      </c>
      <c r="B546" s="34" t="s">
        <v>1195</v>
      </c>
      <c r="C546" s="34" t="s">
        <v>1193</v>
      </c>
    </row>
    <row r="547" customFormat="false" ht="89.25" hidden="false" customHeight="false" outlineLevel="0" collapsed="false">
      <c r="A547" s="37" t="s">
        <v>1196</v>
      </c>
      <c r="B547" s="34" t="s">
        <v>1197</v>
      </c>
      <c r="C547" s="34" t="s">
        <v>1198</v>
      </c>
    </row>
    <row r="548" customFormat="false" ht="89.25" hidden="false" customHeight="false" outlineLevel="0" collapsed="false">
      <c r="A548" s="37" t="s">
        <v>1199</v>
      </c>
      <c r="B548" s="34" t="s">
        <v>1200</v>
      </c>
      <c r="C548" s="34" t="s">
        <v>1198</v>
      </c>
    </row>
    <row r="549" customFormat="false" ht="89.25" hidden="false" customHeight="false" outlineLevel="0" collapsed="false">
      <c r="A549" s="37" t="s">
        <v>1201</v>
      </c>
      <c r="B549" s="34" t="s">
        <v>1202</v>
      </c>
      <c r="C549" s="34" t="s">
        <v>1198</v>
      </c>
    </row>
    <row r="550" customFormat="false" ht="76.5" hidden="false" customHeight="false" outlineLevel="0" collapsed="false">
      <c r="A550" s="37" t="s">
        <v>1203</v>
      </c>
      <c r="B550" s="34" t="s">
        <v>1202</v>
      </c>
      <c r="C550" s="34" t="s">
        <v>1204</v>
      </c>
    </row>
    <row r="551" customFormat="false" ht="89.25" hidden="false" customHeight="false" outlineLevel="0" collapsed="false">
      <c r="A551" s="37" t="s">
        <v>1205</v>
      </c>
      <c r="B551" s="34" t="s">
        <v>1206</v>
      </c>
      <c r="C551" s="34" t="s">
        <v>1198</v>
      </c>
    </row>
    <row r="552" customFormat="false" ht="89.25" hidden="false" customHeight="false" outlineLevel="0" collapsed="false">
      <c r="A552" s="37" t="s">
        <v>1207</v>
      </c>
      <c r="B552" s="34" t="s">
        <v>1208</v>
      </c>
      <c r="C552" s="34" t="s">
        <v>1198</v>
      </c>
    </row>
    <row r="553" customFormat="false" ht="89.25" hidden="false" customHeight="false" outlineLevel="0" collapsed="false">
      <c r="A553" s="37" t="s">
        <v>1209</v>
      </c>
      <c r="B553" s="34" t="s">
        <v>1210</v>
      </c>
      <c r="C553" s="34" t="s">
        <v>1198</v>
      </c>
    </row>
    <row r="554" customFormat="false" ht="89.25" hidden="false" customHeight="false" outlineLevel="0" collapsed="false">
      <c r="A554" s="37" t="s">
        <v>1211</v>
      </c>
      <c r="B554" s="34" t="s">
        <v>1212</v>
      </c>
      <c r="C554" s="34" t="s">
        <v>1198</v>
      </c>
    </row>
    <row r="555" customFormat="false" ht="102" hidden="false" customHeight="false" outlineLevel="0" collapsed="false">
      <c r="A555" s="37" t="s">
        <v>1213</v>
      </c>
      <c r="B555" s="34" t="s">
        <v>1214</v>
      </c>
      <c r="C555" s="34" t="s">
        <v>1215</v>
      </c>
    </row>
    <row r="556" customFormat="false" ht="38.25" hidden="false" customHeight="false" outlineLevel="0" collapsed="false">
      <c r="A556" s="37" t="s">
        <v>1216</v>
      </c>
      <c r="B556" s="34" t="s">
        <v>1217</v>
      </c>
      <c r="C556" s="34" t="s">
        <v>965</v>
      </c>
    </row>
    <row r="557" customFormat="false" ht="63.75" hidden="false" customHeight="false" outlineLevel="0" collapsed="false">
      <c r="A557" s="37" t="s">
        <v>1218</v>
      </c>
      <c r="B557" s="34" t="s">
        <v>1219</v>
      </c>
      <c r="C557" s="34" t="s">
        <v>139</v>
      </c>
    </row>
    <row r="558" customFormat="false" ht="63.75" hidden="false" customHeight="false" outlineLevel="0" collapsed="false">
      <c r="A558" s="37" t="s">
        <v>1220</v>
      </c>
      <c r="B558" s="34" t="s">
        <v>1221</v>
      </c>
      <c r="C558" s="34" t="s">
        <v>139</v>
      </c>
    </row>
    <row r="559" customFormat="false" ht="63.75" hidden="false" customHeight="false" outlineLevel="0" collapsed="false">
      <c r="A559" s="37" t="s">
        <v>1222</v>
      </c>
      <c r="B559" s="34" t="s">
        <v>1223</v>
      </c>
      <c r="C559" s="34" t="s">
        <v>139</v>
      </c>
    </row>
    <row r="560" customFormat="false" ht="89.25" hidden="false" customHeight="false" outlineLevel="0" collapsed="false">
      <c r="A560" s="37" t="n">
        <v>5271300</v>
      </c>
      <c r="B560" s="34" t="s">
        <v>1224</v>
      </c>
      <c r="C560" s="34" t="s">
        <v>122</v>
      </c>
    </row>
    <row r="561" customFormat="false" ht="89.25" hidden="false" customHeight="false" outlineLevel="0" collapsed="false">
      <c r="A561" s="37" t="n">
        <v>5272100</v>
      </c>
      <c r="B561" s="34" t="s">
        <v>1225</v>
      </c>
      <c r="C561" s="34" t="s">
        <v>122</v>
      </c>
    </row>
    <row r="562" customFormat="false" ht="89.25" hidden="false" customHeight="false" outlineLevel="0" collapsed="false">
      <c r="A562" s="37" t="n">
        <v>5272200</v>
      </c>
      <c r="B562" s="34" t="s">
        <v>1226</v>
      </c>
      <c r="C562" s="34" t="s">
        <v>122</v>
      </c>
    </row>
    <row r="563" customFormat="false" ht="89.25" hidden="false" customHeight="false" outlineLevel="0" collapsed="false">
      <c r="A563" s="37" t="n">
        <v>5272300</v>
      </c>
      <c r="B563" s="34" t="s">
        <v>1227</v>
      </c>
      <c r="C563" s="34" t="s">
        <v>122</v>
      </c>
    </row>
    <row r="564" customFormat="false" ht="89.25" hidden="false" customHeight="false" outlineLevel="0" collapsed="false">
      <c r="A564" s="37" t="n">
        <v>5272800</v>
      </c>
      <c r="B564" s="34" t="s">
        <v>1228</v>
      </c>
      <c r="C564" s="34" t="s">
        <v>122</v>
      </c>
    </row>
    <row r="565" customFormat="false" ht="89.25" hidden="false" customHeight="false" outlineLevel="0" collapsed="false">
      <c r="A565" s="37" t="s">
        <v>1229</v>
      </c>
      <c r="B565" s="34" t="s">
        <v>1230</v>
      </c>
      <c r="C565" s="34" t="s">
        <v>122</v>
      </c>
    </row>
    <row r="566" customFormat="false" ht="89.25" hidden="false" customHeight="false" outlineLevel="0" collapsed="false">
      <c r="A566" s="37" t="s">
        <v>1229</v>
      </c>
      <c r="B566" s="34" t="s">
        <v>1230</v>
      </c>
      <c r="C566" s="34" t="s">
        <v>1231</v>
      </c>
    </row>
    <row r="567" customFormat="false" ht="51" hidden="false" customHeight="false" outlineLevel="0" collapsed="false">
      <c r="A567" s="37" t="s">
        <v>1232</v>
      </c>
      <c r="B567" s="34" t="s">
        <v>1233</v>
      </c>
      <c r="C567" s="34" t="s">
        <v>437</v>
      </c>
    </row>
    <row r="568" customFormat="false" ht="51" hidden="false" customHeight="false" outlineLevel="0" collapsed="false">
      <c r="A568" s="37" t="s">
        <v>1234</v>
      </c>
      <c r="B568" s="34" t="s">
        <v>1235</v>
      </c>
      <c r="C568" s="34" t="s">
        <v>437</v>
      </c>
    </row>
    <row r="569" customFormat="false" ht="51" hidden="false" customHeight="false" outlineLevel="0" collapsed="false">
      <c r="A569" s="37" t="s">
        <v>1236</v>
      </c>
      <c r="B569" s="34" t="s">
        <v>1237</v>
      </c>
      <c r="C569" s="34" t="s">
        <v>437</v>
      </c>
    </row>
    <row r="570" customFormat="false" ht="89.25" hidden="false" customHeight="false" outlineLevel="0" collapsed="false">
      <c r="A570" s="37" t="s">
        <v>1238</v>
      </c>
      <c r="B570" s="34" t="s">
        <v>1239</v>
      </c>
      <c r="C570" s="34" t="s">
        <v>444</v>
      </c>
    </row>
    <row r="571" customFormat="false" ht="89.25" hidden="false" customHeight="false" outlineLevel="0" collapsed="false">
      <c r="A571" s="37" t="s">
        <v>1240</v>
      </c>
      <c r="B571" s="34" t="s">
        <v>1241</v>
      </c>
      <c r="C571" s="34" t="s">
        <v>444</v>
      </c>
    </row>
    <row r="572" customFormat="false" ht="89.25" hidden="false" customHeight="false" outlineLevel="0" collapsed="false">
      <c r="A572" s="37" t="s">
        <v>1242</v>
      </c>
      <c r="B572" s="34" t="s">
        <v>1239</v>
      </c>
      <c r="C572" s="34" t="s">
        <v>449</v>
      </c>
    </row>
    <row r="573" customFormat="false" ht="89.25" hidden="false" customHeight="false" outlineLevel="0" collapsed="false">
      <c r="A573" s="37" t="s">
        <v>1243</v>
      </c>
      <c r="B573" s="34" t="s">
        <v>1244</v>
      </c>
      <c r="C573" s="34" t="s">
        <v>449</v>
      </c>
    </row>
    <row r="574" customFormat="false" ht="63.75" hidden="false" customHeight="false" outlineLevel="0" collapsed="false">
      <c r="A574" s="37" t="s">
        <v>1245</v>
      </c>
      <c r="B574" s="34" t="s">
        <v>1246</v>
      </c>
      <c r="C574" s="34" t="s">
        <v>452</v>
      </c>
    </row>
    <row r="575" customFormat="false" ht="25.5" hidden="false" customHeight="false" outlineLevel="0" collapsed="false">
      <c r="A575" s="37" t="s">
        <v>1247</v>
      </c>
      <c r="B575" s="34" t="s">
        <v>1248</v>
      </c>
      <c r="C575" s="34" t="s">
        <v>965</v>
      </c>
    </row>
    <row r="576" customFormat="false" ht="25.5" hidden="false" customHeight="false" outlineLevel="0" collapsed="false">
      <c r="A576" s="37" t="s">
        <v>1247</v>
      </c>
      <c r="B576" s="34" t="s">
        <v>1248</v>
      </c>
      <c r="C576" s="34" t="s">
        <v>965</v>
      </c>
    </row>
    <row r="577" customFormat="false" ht="63.75" hidden="false" customHeight="false" outlineLevel="0" collapsed="false">
      <c r="A577" s="37" t="s">
        <v>1249</v>
      </c>
      <c r="B577" s="34" t="s">
        <v>1250</v>
      </c>
      <c r="C577" s="34" t="s">
        <v>139</v>
      </c>
    </row>
    <row r="578" customFormat="false" ht="63.75" hidden="false" customHeight="false" outlineLevel="0" collapsed="false">
      <c r="A578" s="37" t="s">
        <v>1251</v>
      </c>
      <c r="B578" s="34" t="s">
        <v>1252</v>
      </c>
      <c r="C578" s="34" t="s">
        <v>139</v>
      </c>
    </row>
    <row r="579" customFormat="false" ht="63.75" hidden="false" customHeight="false" outlineLevel="0" collapsed="false">
      <c r="A579" s="37" t="s">
        <v>1253</v>
      </c>
      <c r="B579" s="34" t="s">
        <v>1254</v>
      </c>
      <c r="C579" s="34" t="s">
        <v>139</v>
      </c>
    </row>
    <row r="580" customFormat="false" ht="38.25" hidden="false" customHeight="false" outlineLevel="0" collapsed="false">
      <c r="A580" s="37" t="s">
        <v>1255</v>
      </c>
      <c r="B580" s="34" t="s">
        <v>1256</v>
      </c>
      <c r="C580" s="34" t="s">
        <v>463</v>
      </c>
    </row>
    <row r="581" customFormat="false" ht="38.25" hidden="false" customHeight="false" outlineLevel="0" collapsed="false">
      <c r="A581" s="37" t="s">
        <v>1257</v>
      </c>
      <c r="B581" s="34" t="s">
        <v>1258</v>
      </c>
      <c r="C581" s="34" t="s">
        <v>466</v>
      </c>
    </row>
    <row r="582" customFormat="false" ht="38.25" hidden="false" customHeight="false" outlineLevel="0" collapsed="false">
      <c r="A582" s="37" t="s">
        <v>1259</v>
      </c>
      <c r="B582" s="34" t="s">
        <v>1260</v>
      </c>
      <c r="C582" s="34" t="s">
        <v>469</v>
      </c>
    </row>
    <row r="583" customFormat="false" ht="38.25" hidden="false" customHeight="false" outlineLevel="0" collapsed="false">
      <c r="A583" s="37" t="s">
        <v>1261</v>
      </c>
      <c r="B583" s="34" t="s">
        <v>1262</v>
      </c>
      <c r="C583" s="34" t="s">
        <v>472</v>
      </c>
    </row>
    <row r="584" customFormat="false" ht="38.25" hidden="false" customHeight="false" outlineLevel="0" collapsed="false">
      <c r="A584" s="37" t="s">
        <v>1263</v>
      </c>
      <c r="B584" s="34" t="s">
        <v>1264</v>
      </c>
      <c r="C584" s="34" t="s">
        <v>475</v>
      </c>
    </row>
    <row r="585" customFormat="false" ht="38.25" hidden="false" customHeight="false" outlineLevel="0" collapsed="false">
      <c r="A585" s="37" t="s">
        <v>1265</v>
      </c>
      <c r="B585" s="34" t="s">
        <v>1266</v>
      </c>
      <c r="C585" s="34" t="s">
        <v>478</v>
      </c>
    </row>
    <row r="586" customFormat="false" ht="38.25" hidden="false" customHeight="false" outlineLevel="0" collapsed="false">
      <c r="A586" s="37" t="s">
        <v>1267</v>
      </c>
      <c r="B586" s="34" t="s">
        <v>1268</v>
      </c>
      <c r="C586" s="34" t="s">
        <v>481</v>
      </c>
    </row>
    <row r="587" customFormat="false" ht="38.25" hidden="false" customHeight="false" outlineLevel="0" collapsed="false">
      <c r="A587" s="37" t="s">
        <v>1269</v>
      </c>
      <c r="B587" s="34" t="s">
        <v>1270</v>
      </c>
      <c r="C587" s="34" t="s">
        <v>484</v>
      </c>
    </row>
    <row r="588" customFormat="false" ht="38.25" hidden="false" customHeight="false" outlineLevel="0" collapsed="false">
      <c r="A588" s="37" t="s">
        <v>1271</v>
      </c>
      <c r="B588" s="34" t="s">
        <v>1272</v>
      </c>
      <c r="C588" s="34" t="s">
        <v>487</v>
      </c>
    </row>
    <row r="589" customFormat="false" ht="38.25" hidden="false" customHeight="false" outlineLevel="0" collapsed="false">
      <c r="A589" s="37" t="s">
        <v>1273</v>
      </c>
      <c r="B589" s="34" t="s">
        <v>1274</v>
      </c>
      <c r="C589" s="34" t="s">
        <v>490</v>
      </c>
    </row>
    <row r="590" customFormat="false" ht="38.25" hidden="false" customHeight="false" outlineLevel="0" collapsed="false">
      <c r="A590" s="37" t="s">
        <v>1275</v>
      </c>
      <c r="B590" s="34" t="s">
        <v>1276</v>
      </c>
      <c r="C590" s="34" t="s">
        <v>493</v>
      </c>
    </row>
    <row r="591" customFormat="false" ht="38.25" hidden="false" customHeight="false" outlineLevel="0" collapsed="false">
      <c r="A591" s="37" t="s">
        <v>1277</v>
      </c>
      <c r="B591" s="34" t="s">
        <v>1278</v>
      </c>
      <c r="C591" s="34" t="s">
        <v>496</v>
      </c>
    </row>
    <row r="592" customFormat="false" ht="38.25" hidden="false" customHeight="false" outlineLevel="0" collapsed="false">
      <c r="A592" s="37" t="s">
        <v>1279</v>
      </c>
      <c r="B592" s="34" t="s">
        <v>1280</v>
      </c>
      <c r="C592" s="34" t="s">
        <v>499</v>
      </c>
    </row>
    <row r="593" customFormat="false" ht="38.25" hidden="false" customHeight="false" outlineLevel="0" collapsed="false">
      <c r="A593" s="37" t="s">
        <v>1281</v>
      </c>
      <c r="B593" s="34" t="s">
        <v>1282</v>
      </c>
      <c r="C593" s="34" t="s">
        <v>502</v>
      </c>
    </row>
    <row r="594" customFormat="false" ht="38.25" hidden="false" customHeight="false" outlineLevel="0" collapsed="false">
      <c r="A594" s="37" t="s">
        <v>1283</v>
      </c>
      <c r="B594" s="34" t="s">
        <v>1284</v>
      </c>
      <c r="C594" s="34" t="s">
        <v>505</v>
      </c>
    </row>
    <row r="595" customFormat="false" ht="51" hidden="false" customHeight="false" outlineLevel="0" collapsed="false">
      <c r="A595" s="37" t="s">
        <v>1285</v>
      </c>
      <c r="B595" s="34" t="s">
        <v>1286</v>
      </c>
      <c r="C595" s="34" t="s">
        <v>508</v>
      </c>
    </row>
    <row r="596" customFormat="false" ht="51" hidden="false" customHeight="false" outlineLevel="0" collapsed="false">
      <c r="A596" s="37" t="s">
        <v>1287</v>
      </c>
      <c r="B596" s="34" t="s">
        <v>1288</v>
      </c>
      <c r="C596" s="34" t="s">
        <v>511</v>
      </c>
    </row>
    <row r="597" customFormat="false" ht="51" hidden="false" customHeight="false" outlineLevel="0" collapsed="false">
      <c r="A597" s="37" t="s">
        <v>1289</v>
      </c>
      <c r="B597" s="34" t="s">
        <v>1290</v>
      </c>
      <c r="C597" s="34" t="s">
        <v>514</v>
      </c>
    </row>
    <row r="598" customFormat="false" ht="51" hidden="false" customHeight="false" outlineLevel="0" collapsed="false">
      <c r="A598" s="37" t="s">
        <v>1291</v>
      </c>
      <c r="B598" s="34" t="s">
        <v>1292</v>
      </c>
      <c r="C598" s="34" t="s">
        <v>517</v>
      </c>
    </row>
    <row r="599" customFormat="false" ht="51" hidden="false" customHeight="false" outlineLevel="0" collapsed="false">
      <c r="A599" s="37" t="s">
        <v>1293</v>
      </c>
      <c r="B599" s="34" t="s">
        <v>1294</v>
      </c>
      <c r="C599" s="34" t="s">
        <v>517</v>
      </c>
    </row>
    <row r="600" customFormat="false" ht="51" hidden="false" customHeight="false" outlineLevel="0" collapsed="false">
      <c r="A600" s="37" t="s">
        <v>1295</v>
      </c>
      <c r="B600" s="34" t="s">
        <v>1296</v>
      </c>
      <c r="C600" s="34" t="s">
        <v>517</v>
      </c>
    </row>
    <row r="601" customFormat="false" ht="51" hidden="false" customHeight="false" outlineLevel="0" collapsed="false">
      <c r="A601" s="37" t="s">
        <v>1297</v>
      </c>
      <c r="B601" s="34" t="s">
        <v>1298</v>
      </c>
      <c r="C601" s="34" t="s">
        <v>517</v>
      </c>
    </row>
    <row r="602" customFormat="false" ht="51" hidden="false" customHeight="false" outlineLevel="0" collapsed="false">
      <c r="A602" s="37" t="s">
        <v>1299</v>
      </c>
      <c r="B602" s="34" t="s">
        <v>1300</v>
      </c>
      <c r="C602" s="34" t="s">
        <v>511</v>
      </c>
    </row>
    <row r="603" customFormat="false" ht="51" hidden="false" customHeight="false" outlineLevel="0" collapsed="false">
      <c r="A603" s="37" t="s">
        <v>1301</v>
      </c>
      <c r="B603" s="34" t="s">
        <v>1302</v>
      </c>
      <c r="C603" s="34" t="s">
        <v>511</v>
      </c>
    </row>
    <row r="604" customFormat="false" ht="51" hidden="false" customHeight="false" outlineLevel="0" collapsed="false">
      <c r="A604" s="37" t="s">
        <v>1303</v>
      </c>
      <c r="B604" s="34" t="s">
        <v>1304</v>
      </c>
      <c r="C604" s="34" t="s">
        <v>511</v>
      </c>
    </row>
    <row r="605" customFormat="false" ht="51" hidden="false" customHeight="false" outlineLevel="0" collapsed="false">
      <c r="A605" s="37" t="s">
        <v>1305</v>
      </c>
      <c r="B605" s="34" t="s">
        <v>1306</v>
      </c>
      <c r="C605" s="34" t="s">
        <v>511</v>
      </c>
    </row>
    <row r="606" customFormat="false" ht="51" hidden="false" customHeight="false" outlineLevel="0" collapsed="false">
      <c r="A606" s="37" t="s">
        <v>1307</v>
      </c>
      <c r="B606" s="34" t="s">
        <v>1308</v>
      </c>
      <c r="C606" s="34" t="s">
        <v>511</v>
      </c>
    </row>
    <row r="607" customFormat="false" ht="51" hidden="false" customHeight="false" outlineLevel="0" collapsed="false">
      <c r="A607" s="37" t="s">
        <v>1309</v>
      </c>
      <c r="B607" s="34" t="s">
        <v>1310</v>
      </c>
      <c r="C607" s="34" t="s">
        <v>511</v>
      </c>
    </row>
    <row r="608" customFormat="false" ht="51" hidden="false" customHeight="false" outlineLevel="0" collapsed="false">
      <c r="A608" s="37" t="s">
        <v>1311</v>
      </c>
      <c r="B608" s="34" t="s">
        <v>1312</v>
      </c>
      <c r="C608" s="34" t="s">
        <v>511</v>
      </c>
    </row>
    <row r="609" customFormat="false" ht="51" hidden="false" customHeight="false" outlineLevel="0" collapsed="false">
      <c r="A609" s="37" t="s">
        <v>1313</v>
      </c>
      <c r="B609" s="34" t="s">
        <v>1314</v>
      </c>
      <c r="C609" s="34" t="s">
        <v>511</v>
      </c>
    </row>
    <row r="610" customFormat="false" ht="51" hidden="false" customHeight="false" outlineLevel="0" collapsed="false">
      <c r="A610" s="37" t="s">
        <v>1315</v>
      </c>
      <c r="B610" s="34" t="s">
        <v>1316</v>
      </c>
      <c r="C610" s="34" t="s">
        <v>511</v>
      </c>
    </row>
    <row r="611" customFormat="false" ht="51" hidden="false" customHeight="false" outlineLevel="0" collapsed="false">
      <c r="A611" s="37" t="s">
        <v>1317</v>
      </c>
      <c r="B611" s="34" t="s">
        <v>1318</v>
      </c>
      <c r="C611" s="34" t="s">
        <v>511</v>
      </c>
    </row>
    <row r="612" customFormat="false" ht="51" hidden="false" customHeight="false" outlineLevel="0" collapsed="false">
      <c r="A612" s="37" t="s">
        <v>1319</v>
      </c>
      <c r="B612" s="34" t="s">
        <v>1320</v>
      </c>
      <c r="C612" s="34" t="s">
        <v>546</v>
      </c>
    </row>
    <row r="613" customFormat="false" ht="51" hidden="false" customHeight="false" outlineLevel="0" collapsed="false">
      <c r="A613" s="37" t="s">
        <v>1321</v>
      </c>
      <c r="B613" s="34" t="s">
        <v>1322</v>
      </c>
      <c r="C613" s="34" t="s">
        <v>546</v>
      </c>
    </row>
    <row r="614" customFormat="false" ht="51" hidden="false" customHeight="false" outlineLevel="0" collapsed="false">
      <c r="A614" s="37" t="s">
        <v>1323</v>
      </c>
      <c r="B614" s="34" t="s">
        <v>1324</v>
      </c>
      <c r="C614" s="34" t="s">
        <v>546</v>
      </c>
    </row>
    <row r="615" customFormat="false" ht="51" hidden="false" customHeight="false" outlineLevel="0" collapsed="false">
      <c r="A615" s="37" t="s">
        <v>1325</v>
      </c>
      <c r="B615" s="34" t="s">
        <v>1326</v>
      </c>
      <c r="C615" s="34" t="s">
        <v>546</v>
      </c>
    </row>
    <row r="616" customFormat="false" ht="51" hidden="false" customHeight="false" outlineLevel="0" collapsed="false">
      <c r="A616" s="37" t="s">
        <v>1327</v>
      </c>
      <c r="B616" s="34" t="s">
        <v>1328</v>
      </c>
      <c r="C616" s="34" t="s">
        <v>546</v>
      </c>
    </row>
    <row r="617" customFormat="false" ht="51" hidden="false" customHeight="false" outlineLevel="0" collapsed="false">
      <c r="A617" s="37" t="s">
        <v>1329</v>
      </c>
      <c r="B617" s="34" t="s">
        <v>1330</v>
      </c>
      <c r="C617" s="34" t="s">
        <v>546</v>
      </c>
    </row>
    <row r="618" customFormat="false" ht="51" hidden="false" customHeight="false" outlineLevel="0" collapsed="false">
      <c r="A618" s="37" t="s">
        <v>1331</v>
      </c>
      <c r="B618" s="34" t="s">
        <v>1332</v>
      </c>
      <c r="C618" s="34" t="s">
        <v>546</v>
      </c>
    </row>
    <row r="619" customFormat="false" ht="63.75" hidden="false" customHeight="false" outlineLevel="0" collapsed="false">
      <c r="A619" s="37" t="s">
        <v>1333</v>
      </c>
      <c r="B619" s="34" t="s">
        <v>1334</v>
      </c>
      <c r="C619" s="34" t="s">
        <v>561</v>
      </c>
    </row>
    <row r="620" customFormat="false" ht="63.75" hidden="false" customHeight="false" outlineLevel="0" collapsed="false">
      <c r="A620" s="37" t="s">
        <v>1335</v>
      </c>
      <c r="B620" s="34" t="s">
        <v>1336</v>
      </c>
      <c r="C620" s="34" t="s">
        <v>561</v>
      </c>
    </row>
    <row r="621" customFormat="false" ht="89.25" hidden="false" customHeight="false" outlineLevel="0" collapsed="false">
      <c r="A621" s="37" t="s">
        <v>1337</v>
      </c>
      <c r="B621" s="34" t="s">
        <v>1338</v>
      </c>
      <c r="C621" s="34" t="s">
        <v>566</v>
      </c>
    </row>
    <row r="622" customFormat="false" ht="63.75" hidden="false" customHeight="false" outlineLevel="0" collapsed="false">
      <c r="A622" s="37" t="s">
        <v>1339</v>
      </c>
      <c r="B622" s="34" t="s">
        <v>1340</v>
      </c>
      <c r="C622" s="34" t="s">
        <v>561</v>
      </c>
    </row>
    <row r="623" customFormat="false" ht="63.75" hidden="false" customHeight="false" outlineLevel="0" collapsed="false">
      <c r="A623" s="37" t="s">
        <v>1341</v>
      </c>
      <c r="B623" s="34" t="s">
        <v>1342</v>
      </c>
      <c r="C623" s="34" t="s">
        <v>571</v>
      </c>
    </row>
    <row r="624" customFormat="false" ht="89.25" hidden="false" customHeight="false" outlineLevel="0" collapsed="false">
      <c r="A624" s="37" t="s">
        <v>1343</v>
      </c>
      <c r="B624" s="34" t="s">
        <v>1344</v>
      </c>
      <c r="C624" s="34" t="s">
        <v>574</v>
      </c>
    </row>
    <row r="625" customFormat="false" ht="89.25" hidden="false" customHeight="false" outlineLevel="0" collapsed="false">
      <c r="A625" s="37" t="s">
        <v>1345</v>
      </c>
      <c r="B625" s="34" t="s">
        <v>1346</v>
      </c>
      <c r="C625" s="34" t="s">
        <v>574</v>
      </c>
    </row>
    <row r="626" customFormat="false" ht="89.25" hidden="false" customHeight="false" outlineLevel="0" collapsed="false">
      <c r="A626" s="37" t="s">
        <v>1347</v>
      </c>
      <c r="B626" s="34" t="s">
        <v>1348</v>
      </c>
      <c r="C626" s="34" t="s">
        <v>574</v>
      </c>
    </row>
    <row r="627" customFormat="false" ht="89.25" hidden="false" customHeight="false" outlineLevel="0" collapsed="false">
      <c r="A627" s="37" t="s">
        <v>1349</v>
      </c>
      <c r="B627" s="34" t="s">
        <v>1350</v>
      </c>
      <c r="C627" s="34" t="s">
        <v>574</v>
      </c>
    </row>
    <row r="628" customFormat="false" ht="89.25" hidden="false" customHeight="false" outlineLevel="0" collapsed="false">
      <c r="A628" s="37" t="s">
        <v>1351</v>
      </c>
      <c r="B628" s="34" t="s">
        <v>1352</v>
      </c>
      <c r="C628" s="34" t="s">
        <v>574</v>
      </c>
    </row>
    <row r="629" customFormat="false" ht="63.75" hidden="false" customHeight="false" outlineLevel="0" collapsed="false">
      <c r="A629" s="37" t="s">
        <v>1353</v>
      </c>
      <c r="B629" s="34" t="s">
        <v>1354</v>
      </c>
      <c r="C629" s="34" t="s">
        <v>585</v>
      </c>
    </row>
    <row r="630" customFormat="false" ht="63.75" hidden="false" customHeight="false" outlineLevel="0" collapsed="false">
      <c r="A630" s="37" t="s">
        <v>1355</v>
      </c>
      <c r="B630" s="34" t="s">
        <v>1356</v>
      </c>
      <c r="C630" s="34" t="s">
        <v>588</v>
      </c>
    </row>
    <row r="631" customFormat="false" ht="51" hidden="false" customHeight="false" outlineLevel="0" collapsed="false">
      <c r="A631" s="37" t="s">
        <v>1357</v>
      </c>
      <c r="B631" s="34" t="s">
        <v>1358</v>
      </c>
      <c r="C631" s="34" t="s">
        <v>546</v>
      </c>
    </row>
    <row r="632" customFormat="false" ht="51" hidden="false" customHeight="false" outlineLevel="0" collapsed="false">
      <c r="A632" s="37" t="s">
        <v>1359</v>
      </c>
      <c r="B632" s="34" t="s">
        <v>1360</v>
      </c>
      <c r="C632" s="34" t="s">
        <v>546</v>
      </c>
    </row>
    <row r="633" customFormat="false" ht="51" hidden="false" customHeight="false" outlineLevel="0" collapsed="false">
      <c r="A633" s="37" t="s">
        <v>1361</v>
      </c>
      <c r="B633" s="34" t="s">
        <v>1362</v>
      </c>
      <c r="C633" s="34" t="s">
        <v>546</v>
      </c>
    </row>
    <row r="634" customFormat="false" ht="51" hidden="false" customHeight="false" outlineLevel="0" collapsed="false">
      <c r="A634" s="37" t="s">
        <v>1363</v>
      </c>
      <c r="B634" s="34" t="s">
        <v>1364</v>
      </c>
      <c r="C634" s="34" t="s">
        <v>546</v>
      </c>
    </row>
    <row r="635" customFormat="false" ht="51" hidden="false" customHeight="false" outlineLevel="0" collapsed="false">
      <c r="A635" s="37" t="s">
        <v>1365</v>
      </c>
      <c r="B635" s="34" t="s">
        <v>1366</v>
      </c>
      <c r="C635" s="34" t="s">
        <v>546</v>
      </c>
    </row>
    <row r="636" customFormat="false" ht="51" hidden="false" customHeight="false" outlineLevel="0" collapsed="false">
      <c r="A636" s="37" t="s">
        <v>1367</v>
      </c>
      <c r="B636" s="34" t="s">
        <v>1368</v>
      </c>
      <c r="C636" s="34" t="s">
        <v>546</v>
      </c>
    </row>
    <row r="637" customFormat="false" ht="51" hidden="false" customHeight="false" outlineLevel="0" collapsed="false">
      <c r="A637" s="37" t="s">
        <v>1369</v>
      </c>
      <c r="B637" s="34" t="s">
        <v>1370</v>
      </c>
      <c r="C637" s="34" t="s">
        <v>546</v>
      </c>
    </row>
    <row r="638" customFormat="false" ht="51" hidden="false" customHeight="false" outlineLevel="0" collapsed="false">
      <c r="A638" s="37" t="s">
        <v>1371</v>
      </c>
      <c r="B638" s="34" t="s">
        <v>1372</v>
      </c>
      <c r="C638" s="34" t="s">
        <v>546</v>
      </c>
    </row>
    <row r="639" customFormat="false" ht="51" hidden="false" customHeight="false" outlineLevel="0" collapsed="false">
      <c r="A639" s="37" t="s">
        <v>1373</v>
      </c>
      <c r="B639" s="34" t="s">
        <v>1374</v>
      </c>
      <c r="C639" s="34" t="s">
        <v>546</v>
      </c>
    </row>
    <row r="640" customFormat="false" ht="51" hidden="false" customHeight="false" outlineLevel="0" collapsed="false">
      <c r="A640" s="37" t="s">
        <v>1375</v>
      </c>
      <c r="B640" s="34" t="s">
        <v>1376</v>
      </c>
      <c r="C640" s="34" t="s">
        <v>546</v>
      </c>
    </row>
    <row r="641" customFormat="false" ht="51" hidden="false" customHeight="false" outlineLevel="0" collapsed="false">
      <c r="A641" s="37" t="s">
        <v>1377</v>
      </c>
      <c r="B641" s="34" t="s">
        <v>1378</v>
      </c>
      <c r="C641" s="34" t="s">
        <v>546</v>
      </c>
    </row>
    <row r="642" customFormat="false" ht="38.25" hidden="false" customHeight="false" outlineLevel="0" collapsed="false">
      <c r="A642" s="37" t="s">
        <v>1379</v>
      </c>
      <c r="B642" s="34" t="s">
        <v>1380</v>
      </c>
      <c r="C642" s="34" t="s">
        <v>613</v>
      </c>
    </row>
    <row r="643" customFormat="false" ht="51" hidden="false" customHeight="false" outlineLevel="0" collapsed="false">
      <c r="A643" s="37" t="s">
        <v>1381</v>
      </c>
      <c r="B643" s="34" t="s">
        <v>1382</v>
      </c>
      <c r="C643" s="34" t="s">
        <v>546</v>
      </c>
    </row>
    <row r="644" customFormat="false" ht="51" hidden="false" customHeight="false" outlineLevel="0" collapsed="false">
      <c r="A644" s="37" t="s">
        <v>1383</v>
      </c>
      <c r="B644" s="34" t="s">
        <v>1384</v>
      </c>
      <c r="C644" s="34" t="s">
        <v>546</v>
      </c>
    </row>
    <row r="645" customFormat="false" ht="51" hidden="false" customHeight="false" outlineLevel="0" collapsed="false">
      <c r="A645" s="37" t="s">
        <v>1385</v>
      </c>
      <c r="B645" s="34" t="s">
        <v>1386</v>
      </c>
      <c r="C645" s="34" t="s">
        <v>546</v>
      </c>
    </row>
    <row r="646" customFormat="false" ht="51" hidden="false" customHeight="false" outlineLevel="0" collapsed="false">
      <c r="A646" s="37" t="s">
        <v>1387</v>
      </c>
      <c r="B646" s="34" t="s">
        <v>1388</v>
      </c>
      <c r="C646" s="34" t="s">
        <v>546</v>
      </c>
    </row>
    <row r="647" customFormat="false" ht="51" hidden="false" customHeight="false" outlineLevel="0" collapsed="false">
      <c r="A647" s="37" t="s">
        <v>1389</v>
      </c>
      <c r="B647" s="34" t="s">
        <v>1390</v>
      </c>
      <c r="C647" s="34" t="s">
        <v>546</v>
      </c>
    </row>
    <row r="648" customFormat="false" ht="38.25" hidden="false" customHeight="false" outlineLevel="0" collapsed="false">
      <c r="A648" s="37" t="s">
        <v>1391</v>
      </c>
      <c r="B648" s="34" t="s">
        <v>1392</v>
      </c>
      <c r="C648" s="34" t="s">
        <v>613</v>
      </c>
    </row>
    <row r="649" customFormat="false" ht="51" hidden="false" customHeight="false" outlineLevel="0" collapsed="false">
      <c r="A649" s="37" t="s">
        <v>1393</v>
      </c>
      <c r="B649" s="34" t="s">
        <v>1394</v>
      </c>
      <c r="C649" s="34" t="s">
        <v>546</v>
      </c>
    </row>
    <row r="650" customFormat="false" ht="51" hidden="false" customHeight="false" outlineLevel="0" collapsed="false">
      <c r="A650" s="37" t="s">
        <v>1395</v>
      </c>
      <c r="B650" s="34" t="s">
        <v>1396</v>
      </c>
      <c r="C650" s="34" t="s">
        <v>546</v>
      </c>
    </row>
    <row r="651" customFormat="false" ht="51" hidden="false" customHeight="false" outlineLevel="0" collapsed="false">
      <c r="A651" s="37" t="s">
        <v>1397</v>
      </c>
      <c r="B651" s="34" t="s">
        <v>1398</v>
      </c>
      <c r="C651" s="34" t="s">
        <v>546</v>
      </c>
    </row>
    <row r="652" customFormat="false" ht="38.25" hidden="false" customHeight="false" outlineLevel="0" collapsed="false">
      <c r="A652" s="37" t="s">
        <v>1399</v>
      </c>
      <c r="B652" s="34" t="s">
        <v>1400</v>
      </c>
      <c r="C652" s="34" t="s">
        <v>634</v>
      </c>
    </row>
    <row r="653" customFormat="false" ht="38.25" hidden="false" customHeight="false" outlineLevel="0" collapsed="false">
      <c r="A653" s="37" t="s">
        <v>1401</v>
      </c>
      <c r="B653" s="34" t="s">
        <v>1402</v>
      </c>
      <c r="C653" s="34" t="s">
        <v>637</v>
      </c>
    </row>
    <row r="654" customFormat="false" ht="51" hidden="false" customHeight="false" outlineLevel="0" collapsed="false">
      <c r="A654" s="37" t="s">
        <v>1403</v>
      </c>
      <c r="B654" s="34" t="s">
        <v>1404</v>
      </c>
      <c r="C654" s="34" t="s">
        <v>546</v>
      </c>
    </row>
    <row r="655" customFormat="false" ht="51" hidden="false" customHeight="false" outlineLevel="0" collapsed="false">
      <c r="A655" s="37" t="s">
        <v>1405</v>
      </c>
      <c r="B655" s="34" t="s">
        <v>1406</v>
      </c>
      <c r="C655" s="34" t="s">
        <v>546</v>
      </c>
    </row>
    <row r="656" customFormat="false" ht="51" hidden="false" customHeight="false" outlineLevel="0" collapsed="false">
      <c r="A656" s="37" t="s">
        <v>1407</v>
      </c>
      <c r="B656" s="34" t="s">
        <v>1408</v>
      </c>
      <c r="C656" s="34" t="s">
        <v>546</v>
      </c>
    </row>
    <row r="657" customFormat="false" ht="63.75" hidden="false" customHeight="false" outlineLevel="0" collapsed="false">
      <c r="A657" s="37" t="s">
        <v>1409</v>
      </c>
      <c r="B657" s="34" t="s">
        <v>1410</v>
      </c>
      <c r="C657" s="34" t="s">
        <v>139</v>
      </c>
    </row>
    <row r="658" customFormat="false" ht="63.75" hidden="false" customHeight="false" outlineLevel="0" collapsed="false">
      <c r="A658" s="37" t="s">
        <v>1411</v>
      </c>
      <c r="B658" s="34" t="s">
        <v>1412</v>
      </c>
      <c r="C658" s="34" t="s">
        <v>139</v>
      </c>
    </row>
    <row r="659" customFormat="false" ht="63.75" hidden="false" customHeight="false" outlineLevel="0" collapsed="false">
      <c r="A659" s="37" t="s">
        <v>1413</v>
      </c>
      <c r="B659" s="34" t="s">
        <v>1414</v>
      </c>
      <c r="C659" s="34" t="s">
        <v>139</v>
      </c>
    </row>
    <row r="660" customFormat="false" ht="63.75" hidden="false" customHeight="false" outlineLevel="0" collapsed="false">
      <c r="A660" s="37" t="s">
        <v>1415</v>
      </c>
      <c r="B660" s="34" t="s">
        <v>1416</v>
      </c>
      <c r="C660" s="34" t="s">
        <v>139</v>
      </c>
    </row>
    <row r="661" customFormat="false" ht="63.75" hidden="false" customHeight="false" outlineLevel="0" collapsed="false">
      <c r="A661" s="37" t="s">
        <v>1417</v>
      </c>
      <c r="B661" s="34" t="s">
        <v>1418</v>
      </c>
      <c r="C661" s="34" t="s">
        <v>139</v>
      </c>
    </row>
    <row r="662" customFormat="false" ht="63.75" hidden="false" customHeight="false" outlineLevel="0" collapsed="false">
      <c r="A662" s="37" t="s">
        <v>1419</v>
      </c>
      <c r="B662" s="34" t="s">
        <v>1420</v>
      </c>
      <c r="C662" s="34" t="s">
        <v>139</v>
      </c>
    </row>
    <row r="663" customFormat="false" ht="63.75" hidden="false" customHeight="false" outlineLevel="0" collapsed="false">
      <c r="A663" s="37" t="s">
        <v>1421</v>
      </c>
      <c r="B663" s="34" t="s">
        <v>1422</v>
      </c>
      <c r="C663" s="34" t="s">
        <v>139</v>
      </c>
    </row>
    <row r="664" customFormat="false" ht="63.75" hidden="false" customHeight="false" outlineLevel="0" collapsed="false">
      <c r="A664" s="37" t="s">
        <v>1423</v>
      </c>
      <c r="B664" s="34" t="s">
        <v>1424</v>
      </c>
      <c r="C664" s="34" t="s">
        <v>139</v>
      </c>
    </row>
    <row r="665" customFormat="false" ht="102" hidden="false" customHeight="false" outlineLevel="0" collapsed="false">
      <c r="A665" s="37" t="s">
        <v>1425</v>
      </c>
      <c r="B665" s="34" t="s">
        <v>1426</v>
      </c>
      <c r="C665" s="34" t="s">
        <v>783</v>
      </c>
    </row>
    <row r="666" customFormat="false" ht="63.75" hidden="false" customHeight="false" outlineLevel="0" collapsed="false">
      <c r="A666" s="37" t="s">
        <v>1427</v>
      </c>
      <c r="B666" s="34" t="s">
        <v>1428</v>
      </c>
      <c r="C666" s="34" t="s">
        <v>1033</v>
      </c>
    </row>
    <row r="667" customFormat="false" ht="38.25" hidden="false" customHeight="false" outlineLevel="0" collapsed="false">
      <c r="A667" s="37" t="s">
        <v>1429</v>
      </c>
      <c r="B667" s="34" t="s">
        <v>1430</v>
      </c>
      <c r="C667" s="34" t="s">
        <v>687</v>
      </c>
    </row>
    <row r="668" customFormat="false" ht="51" hidden="false" customHeight="false" outlineLevel="0" collapsed="false">
      <c r="A668" s="37" t="s">
        <v>1431</v>
      </c>
      <c r="B668" s="34" t="s">
        <v>1432</v>
      </c>
      <c r="C668" s="34" t="s">
        <v>1038</v>
      </c>
    </row>
    <row r="669" customFormat="false" ht="38.25" hidden="false" customHeight="false" outlineLevel="0" collapsed="false">
      <c r="A669" s="37" t="s">
        <v>1433</v>
      </c>
      <c r="B669" s="34" t="s">
        <v>1434</v>
      </c>
      <c r="C669" s="34" t="s">
        <v>1041</v>
      </c>
    </row>
    <row r="670" customFormat="false" ht="51" hidden="false" customHeight="false" outlineLevel="0" collapsed="false">
      <c r="A670" s="37" t="s">
        <v>1435</v>
      </c>
      <c r="B670" s="34" t="s">
        <v>1436</v>
      </c>
      <c r="C670" s="34" t="s">
        <v>696</v>
      </c>
    </row>
    <row r="671" customFormat="false" ht="51" hidden="false" customHeight="false" outlineLevel="0" collapsed="false">
      <c r="A671" s="37" t="s">
        <v>1437</v>
      </c>
      <c r="B671" s="34" t="s">
        <v>1438</v>
      </c>
      <c r="C671" s="34" t="s">
        <v>1050</v>
      </c>
    </row>
    <row r="672" customFormat="false" ht="89.25" hidden="false" customHeight="false" outlineLevel="0" collapsed="false">
      <c r="A672" s="37" t="s">
        <v>1439</v>
      </c>
      <c r="B672" s="34" t="s">
        <v>1440</v>
      </c>
      <c r="C672" s="34" t="s">
        <v>702</v>
      </c>
    </row>
    <row r="673" customFormat="false" ht="89.25" hidden="false" customHeight="false" outlineLevel="0" collapsed="false">
      <c r="A673" s="37" t="s">
        <v>1441</v>
      </c>
      <c r="B673" s="34" t="s">
        <v>1442</v>
      </c>
      <c r="C673" s="34" t="s">
        <v>702</v>
      </c>
    </row>
    <row r="674" customFormat="false" ht="38.25" hidden="false" customHeight="false" outlineLevel="0" collapsed="false">
      <c r="A674" s="37" t="s">
        <v>1443</v>
      </c>
      <c r="B674" s="34" t="s">
        <v>1444</v>
      </c>
      <c r="C674" s="34" t="s">
        <v>707</v>
      </c>
    </row>
    <row r="675" customFormat="false" ht="89.25" hidden="false" customHeight="false" outlineLevel="0" collapsed="false">
      <c r="A675" s="37" t="s">
        <v>1445</v>
      </c>
      <c r="B675" s="34" t="s">
        <v>1446</v>
      </c>
      <c r="C675" s="34" t="s">
        <v>1447</v>
      </c>
    </row>
    <row r="676" customFormat="false" ht="89.25" hidden="false" customHeight="false" outlineLevel="0" collapsed="false">
      <c r="A676" s="37" t="s">
        <v>1448</v>
      </c>
      <c r="B676" s="34" t="s">
        <v>1449</v>
      </c>
      <c r="C676" s="34" t="s">
        <v>1450</v>
      </c>
    </row>
    <row r="677" customFormat="false" ht="102" hidden="false" customHeight="false" outlineLevel="0" collapsed="false">
      <c r="A677" s="37" t="s">
        <v>1451</v>
      </c>
      <c r="B677" s="34" t="s">
        <v>1452</v>
      </c>
      <c r="C677" s="34" t="s">
        <v>1453</v>
      </c>
    </row>
    <row r="678" customFormat="false" ht="76.5" hidden="false" customHeight="false" outlineLevel="0" collapsed="false">
      <c r="A678" s="37" t="s">
        <v>1454</v>
      </c>
      <c r="B678" s="34" t="s">
        <v>1455</v>
      </c>
      <c r="C678" s="34" t="s">
        <v>719</v>
      </c>
    </row>
    <row r="679" customFormat="false" ht="63.75" hidden="false" customHeight="false" outlineLevel="0" collapsed="false">
      <c r="A679" s="37" t="s">
        <v>1456</v>
      </c>
      <c r="B679" s="34" t="s">
        <v>1457</v>
      </c>
      <c r="C679" s="34" t="s">
        <v>1458</v>
      </c>
    </row>
    <row r="680" customFormat="false" ht="76.5" hidden="false" customHeight="false" outlineLevel="0" collapsed="false">
      <c r="A680" s="37" t="s">
        <v>1459</v>
      </c>
      <c r="B680" s="34" t="s">
        <v>724</v>
      </c>
      <c r="C680" s="34" t="s">
        <v>725</v>
      </c>
    </row>
    <row r="681" customFormat="false" ht="76.5" hidden="false" customHeight="false" outlineLevel="0" collapsed="false">
      <c r="A681" s="37" t="s">
        <v>1460</v>
      </c>
      <c r="B681" s="34" t="s">
        <v>727</v>
      </c>
      <c r="C681" s="34" t="s">
        <v>725</v>
      </c>
    </row>
    <row r="682" customFormat="false" ht="76.5" hidden="false" customHeight="false" outlineLevel="0" collapsed="false">
      <c r="A682" s="37" t="s">
        <v>1461</v>
      </c>
      <c r="B682" s="34" t="s">
        <v>729</v>
      </c>
      <c r="C682" s="34" t="s">
        <v>725</v>
      </c>
    </row>
    <row r="683" customFormat="false" ht="76.5" hidden="false" customHeight="false" outlineLevel="0" collapsed="false">
      <c r="A683" s="37" t="s">
        <v>1462</v>
      </c>
      <c r="B683" s="34" t="s">
        <v>1463</v>
      </c>
      <c r="C683" s="34" t="s">
        <v>725</v>
      </c>
    </row>
    <row r="684" customFormat="false" ht="63.75" hidden="false" customHeight="false" outlineLevel="0" collapsed="false">
      <c r="A684" s="37" t="s">
        <v>1464</v>
      </c>
      <c r="B684" s="34" t="s">
        <v>1465</v>
      </c>
      <c r="C684" s="34" t="s">
        <v>139</v>
      </c>
    </row>
    <row r="685" customFormat="false" ht="63.75" hidden="false" customHeight="false" outlineLevel="0" collapsed="false">
      <c r="A685" s="37" t="s">
        <v>1466</v>
      </c>
      <c r="B685" s="34" t="s">
        <v>1467</v>
      </c>
      <c r="C685" s="34" t="s">
        <v>139</v>
      </c>
    </row>
    <row r="686" customFormat="false" ht="63.75" hidden="false" customHeight="false" outlineLevel="0" collapsed="false">
      <c r="A686" s="37" t="s">
        <v>1468</v>
      </c>
      <c r="B686" s="34" t="s">
        <v>1469</v>
      </c>
      <c r="C686" s="34" t="s">
        <v>139</v>
      </c>
    </row>
    <row r="687" customFormat="false" ht="63.75" hidden="false" customHeight="false" outlineLevel="0" collapsed="false">
      <c r="A687" s="37" t="s">
        <v>1470</v>
      </c>
      <c r="B687" s="34" t="s">
        <v>1471</v>
      </c>
      <c r="C687" s="34" t="s">
        <v>139</v>
      </c>
    </row>
    <row r="688" customFormat="false" ht="63.75" hidden="false" customHeight="false" outlineLevel="0" collapsed="false">
      <c r="A688" s="37" t="s">
        <v>1470</v>
      </c>
      <c r="B688" s="34" t="s">
        <v>1471</v>
      </c>
      <c r="C688" s="34" t="s">
        <v>142</v>
      </c>
    </row>
    <row r="689" customFormat="false" ht="51" hidden="false" customHeight="false" outlineLevel="0" collapsed="false">
      <c r="A689" s="37" t="s">
        <v>1472</v>
      </c>
      <c r="B689" s="34" t="s">
        <v>1473</v>
      </c>
      <c r="C689" s="34" t="s">
        <v>965</v>
      </c>
    </row>
    <row r="690" customFormat="false" ht="63.75" hidden="false" customHeight="false" outlineLevel="0" collapsed="false">
      <c r="A690" s="37" t="s">
        <v>1474</v>
      </c>
      <c r="B690" s="34" t="s">
        <v>1475</v>
      </c>
      <c r="C690" s="34" t="s">
        <v>139</v>
      </c>
    </row>
    <row r="691" customFormat="false" ht="63.75" hidden="false" customHeight="false" outlineLevel="0" collapsed="false">
      <c r="A691" s="37" t="s">
        <v>1476</v>
      </c>
      <c r="B691" s="34" t="s">
        <v>1477</v>
      </c>
      <c r="C691" s="34" t="s">
        <v>139</v>
      </c>
    </row>
    <row r="692" customFormat="false" ht="63.75" hidden="false" customHeight="false" outlineLevel="0" collapsed="false">
      <c r="A692" s="37" t="s">
        <v>1478</v>
      </c>
      <c r="B692" s="34" t="s">
        <v>1479</v>
      </c>
      <c r="C692" s="34" t="s">
        <v>139</v>
      </c>
    </row>
    <row r="693" customFormat="false" ht="63.75" hidden="false" customHeight="false" outlineLevel="0" collapsed="false">
      <c r="A693" s="37" t="s">
        <v>1480</v>
      </c>
      <c r="B693" s="34" t="s">
        <v>1481</v>
      </c>
      <c r="C693" s="34" t="s">
        <v>139</v>
      </c>
    </row>
    <row r="694" customFormat="false" ht="63.75" hidden="false" customHeight="false" outlineLevel="0" collapsed="false">
      <c r="A694" s="37" t="s">
        <v>1482</v>
      </c>
      <c r="B694" s="34" t="s">
        <v>1483</v>
      </c>
      <c r="C694" s="34" t="s">
        <v>139</v>
      </c>
    </row>
    <row r="695" customFormat="false" ht="63.75" hidden="false" customHeight="false" outlineLevel="0" collapsed="false">
      <c r="A695" s="37" t="s">
        <v>1484</v>
      </c>
      <c r="B695" s="34" t="s">
        <v>1485</v>
      </c>
      <c r="C695" s="34" t="s">
        <v>139</v>
      </c>
    </row>
    <row r="696" customFormat="false" ht="63.75" hidden="false" customHeight="false" outlineLevel="0" collapsed="false">
      <c r="A696" s="37" t="s">
        <v>1486</v>
      </c>
      <c r="B696" s="34" t="s">
        <v>1487</v>
      </c>
      <c r="C696" s="34" t="s">
        <v>139</v>
      </c>
    </row>
    <row r="697" customFormat="false" ht="63.75" hidden="false" customHeight="false" outlineLevel="0" collapsed="false">
      <c r="A697" s="37" t="s">
        <v>1488</v>
      </c>
      <c r="B697" s="34" t="s">
        <v>1416</v>
      </c>
      <c r="C697" s="34" t="s">
        <v>139</v>
      </c>
    </row>
    <row r="698" customFormat="false" ht="63.75" hidden="false" customHeight="false" outlineLevel="0" collapsed="false">
      <c r="A698" s="37" t="s">
        <v>1489</v>
      </c>
      <c r="B698" s="34" t="s">
        <v>1490</v>
      </c>
      <c r="C698" s="34" t="s">
        <v>139</v>
      </c>
    </row>
    <row r="699" customFormat="false" ht="51" hidden="false" customHeight="false" outlineLevel="0" collapsed="false">
      <c r="A699" s="37" t="s">
        <v>1491</v>
      </c>
      <c r="B699" s="34" t="s">
        <v>1492</v>
      </c>
      <c r="C699" s="34" t="s">
        <v>965</v>
      </c>
    </row>
    <row r="700" customFormat="false" ht="63.75" hidden="false" customHeight="false" outlineLevel="0" collapsed="false">
      <c r="A700" s="37" t="s">
        <v>1493</v>
      </c>
      <c r="B700" s="34" t="s">
        <v>1494</v>
      </c>
      <c r="C700" s="34" t="s">
        <v>139</v>
      </c>
    </row>
    <row r="701" customFormat="false" ht="63.75" hidden="false" customHeight="false" outlineLevel="0" collapsed="false">
      <c r="A701" s="37" t="s">
        <v>1495</v>
      </c>
      <c r="B701" s="34" t="s">
        <v>1496</v>
      </c>
      <c r="C701" s="34" t="s">
        <v>139</v>
      </c>
    </row>
    <row r="702" customFormat="false" ht="63.75" hidden="false" customHeight="false" outlineLevel="0" collapsed="false">
      <c r="A702" s="37" t="s">
        <v>1497</v>
      </c>
      <c r="B702" s="34" t="s">
        <v>1498</v>
      </c>
      <c r="C702" s="34" t="s">
        <v>139</v>
      </c>
    </row>
    <row r="703" customFormat="false" ht="38.25" hidden="false" customHeight="false" outlineLevel="0" collapsed="false">
      <c r="A703" s="37" t="s">
        <v>1499</v>
      </c>
      <c r="B703" s="34" t="s">
        <v>1500</v>
      </c>
      <c r="C703" s="34" t="s">
        <v>73</v>
      </c>
    </row>
    <row r="704" customFormat="false" ht="38.25" hidden="false" customHeight="false" outlineLevel="0" collapsed="false">
      <c r="A704" s="37" t="s">
        <v>1501</v>
      </c>
      <c r="B704" s="34" t="s">
        <v>1502</v>
      </c>
      <c r="C704" s="34" t="s">
        <v>1503</v>
      </c>
    </row>
    <row r="705" customFormat="false" ht="102" hidden="false" customHeight="false" outlineLevel="0" collapsed="false">
      <c r="A705" s="37" t="n">
        <v>5300100</v>
      </c>
      <c r="B705" s="34" t="s">
        <v>1504</v>
      </c>
      <c r="C705" s="34" t="s">
        <v>95</v>
      </c>
    </row>
    <row r="706" customFormat="false" ht="102" hidden="false" customHeight="false" outlineLevel="0" collapsed="false">
      <c r="A706" s="37" t="n">
        <v>5300200</v>
      </c>
      <c r="B706" s="34" t="s">
        <v>1505</v>
      </c>
      <c r="C706" s="34" t="s">
        <v>1506</v>
      </c>
    </row>
    <row r="707" customFormat="false" ht="89.25" hidden="false" customHeight="false" outlineLevel="0" collapsed="false">
      <c r="A707" s="37" t="n">
        <v>5300300</v>
      </c>
      <c r="B707" s="34" t="s">
        <v>1507</v>
      </c>
      <c r="C707" s="34" t="s">
        <v>1508</v>
      </c>
    </row>
    <row r="708" customFormat="false" ht="102" hidden="false" customHeight="false" outlineLevel="0" collapsed="false">
      <c r="A708" s="37" t="n">
        <v>5300400</v>
      </c>
      <c r="B708" s="34" t="s">
        <v>1509</v>
      </c>
      <c r="C708" s="34" t="s">
        <v>1510</v>
      </c>
    </row>
    <row r="709" customFormat="false" ht="76.5" hidden="false" customHeight="false" outlineLevel="0" collapsed="false">
      <c r="A709" s="37" t="n">
        <v>5300500</v>
      </c>
      <c r="B709" s="34" t="s">
        <v>1511</v>
      </c>
      <c r="C709" s="34" t="s">
        <v>1512</v>
      </c>
    </row>
    <row r="710" customFormat="false" ht="102" hidden="false" customHeight="false" outlineLevel="0" collapsed="false">
      <c r="A710" s="37" t="n">
        <v>5300600</v>
      </c>
      <c r="B710" s="34" t="s">
        <v>1513</v>
      </c>
      <c r="C710" s="34" t="s">
        <v>1514</v>
      </c>
    </row>
    <row r="711" customFormat="false" ht="89.25" hidden="false" customHeight="false" outlineLevel="0" collapsed="false">
      <c r="A711" s="37" t="s">
        <v>1515</v>
      </c>
      <c r="B711" s="34" t="s">
        <v>1516</v>
      </c>
      <c r="C711" s="34" t="s">
        <v>1517</v>
      </c>
    </row>
    <row r="712" customFormat="false" ht="51" hidden="false" customHeight="false" outlineLevel="0" collapsed="false">
      <c r="A712" s="37" t="s">
        <v>1518</v>
      </c>
      <c r="B712" s="34" t="s">
        <v>1519</v>
      </c>
      <c r="C712" s="34" t="s">
        <v>1520</v>
      </c>
    </row>
    <row r="713" customFormat="false" ht="51" hidden="false" customHeight="false" outlineLevel="0" collapsed="false">
      <c r="A713" s="37" t="s">
        <v>1521</v>
      </c>
      <c r="B713" s="34" t="s">
        <v>1522</v>
      </c>
      <c r="C713" s="34" t="s">
        <v>1520</v>
      </c>
    </row>
    <row r="714" customFormat="false" ht="51" hidden="false" customHeight="false" outlineLevel="0" collapsed="false">
      <c r="A714" s="37" t="s">
        <v>1523</v>
      </c>
      <c r="B714" s="34" t="s">
        <v>1524</v>
      </c>
      <c r="C714" s="34" t="s">
        <v>1520</v>
      </c>
    </row>
    <row r="715" customFormat="false" ht="51" hidden="false" customHeight="false" outlineLevel="0" collapsed="false">
      <c r="A715" s="37" t="s">
        <v>1525</v>
      </c>
      <c r="B715" s="34" t="s">
        <v>1526</v>
      </c>
      <c r="C715" s="34" t="s">
        <v>1520</v>
      </c>
    </row>
    <row r="716" customFormat="false" ht="51" hidden="false" customHeight="false" outlineLevel="0" collapsed="false">
      <c r="A716" s="37" t="s">
        <v>1527</v>
      </c>
      <c r="B716" s="34" t="s">
        <v>1528</v>
      </c>
      <c r="C716" s="34" t="s">
        <v>1520</v>
      </c>
    </row>
    <row r="717" customFormat="false" ht="102" hidden="false" customHeight="false" outlineLevel="0" collapsed="false">
      <c r="A717" s="37" t="s">
        <v>1529</v>
      </c>
      <c r="B717" s="34" t="s">
        <v>1505</v>
      </c>
      <c r="C717" s="34" t="s">
        <v>1530</v>
      </c>
    </row>
    <row r="718" customFormat="false" ht="102" hidden="false" customHeight="false" outlineLevel="0" collapsed="false">
      <c r="A718" s="37" t="n">
        <v>5301100</v>
      </c>
      <c r="B718" s="34" t="s">
        <v>1531</v>
      </c>
      <c r="C718" s="34" t="s">
        <v>97</v>
      </c>
    </row>
    <row r="719" customFormat="false" ht="102" hidden="false" customHeight="false" outlineLevel="0" collapsed="false">
      <c r="A719" s="37" t="n">
        <v>5301200</v>
      </c>
      <c r="B719" s="34" t="s">
        <v>1532</v>
      </c>
      <c r="C719" s="34" t="s">
        <v>97</v>
      </c>
    </row>
    <row r="720" customFormat="false" ht="102" hidden="false" customHeight="false" outlineLevel="0" collapsed="false">
      <c r="A720" s="37" t="n">
        <v>5301300</v>
      </c>
      <c r="B720" s="34" t="s">
        <v>1533</v>
      </c>
      <c r="C720" s="34" t="s">
        <v>786</v>
      </c>
    </row>
    <row r="721" customFormat="false" ht="114.75" hidden="false" customHeight="false" outlineLevel="0" collapsed="false">
      <c r="A721" s="37" t="n">
        <v>5301400</v>
      </c>
      <c r="B721" s="34" t="s">
        <v>1534</v>
      </c>
      <c r="C721" s="34" t="s">
        <v>849</v>
      </c>
    </row>
    <row r="722" customFormat="false" ht="89.25" hidden="false" customHeight="false" outlineLevel="0" collapsed="false">
      <c r="A722" s="37" t="n">
        <v>5301500</v>
      </c>
      <c r="B722" s="34" t="s">
        <v>1535</v>
      </c>
      <c r="C722" s="34" t="s">
        <v>891</v>
      </c>
    </row>
    <row r="723" customFormat="false" ht="114.75" hidden="false" customHeight="false" outlineLevel="0" collapsed="false">
      <c r="A723" s="37" t="n">
        <v>5301600</v>
      </c>
      <c r="B723" s="34" t="s">
        <v>1536</v>
      </c>
      <c r="C723" s="34" t="s">
        <v>853</v>
      </c>
    </row>
    <row r="724" customFormat="false" ht="76.5" hidden="false" customHeight="false" outlineLevel="0" collapsed="false">
      <c r="A724" s="37" t="s">
        <v>1537</v>
      </c>
      <c r="B724" s="34" t="s">
        <v>1538</v>
      </c>
      <c r="C724" s="34" t="s">
        <v>108</v>
      </c>
    </row>
    <row r="725" customFormat="false" ht="89.25" hidden="false" customHeight="false" outlineLevel="0" collapsed="false">
      <c r="A725" s="37" t="s">
        <v>1539</v>
      </c>
      <c r="B725" s="34" t="s">
        <v>1540</v>
      </c>
      <c r="C725" s="34" t="s">
        <v>871</v>
      </c>
    </row>
    <row r="726" customFormat="false" ht="89.25" hidden="false" customHeight="false" outlineLevel="0" collapsed="false">
      <c r="A726" s="37" t="s">
        <v>1541</v>
      </c>
      <c r="B726" s="34" t="s">
        <v>1542</v>
      </c>
      <c r="C726" s="34" t="s">
        <v>1543</v>
      </c>
    </row>
    <row r="727" customFormat="false" ht="89.25" hidden="false" customHeight="false" outlineLevel="0" collapsed="false">
      <c r="A727" s="37" t="s">
        <v>1544</v>
      </c>
      <c r="B727" s="34" t="s">
        <v>1545</v>
      </c>
      <c r="C727" s="34" t="s">
        <v>1546</v>
      </c>
    </row>
    <row r="728" customFormat="false" ht="89.25" hidden="false" customHeight="false" outlineLevel="0" collapsed="false">
      <c r="A728" s="37" t="s">
        <v>1547</v>
      </c>
      <c r="B728" s="34" t="s">
        <v>1548</v>
      </c>
      <c r="C728" s="34" t="s">
        <v>1546</v>
      </c>
    </row>
    <row r="729" customFormat="false" ht="89.25" hidden="false" customHeight="false" outlineLevel="0" collapsed="false">
      <c r="A729" s="37" t="s">
        <v>1549</v>
      </c>
      <c r="B729" s="34" t="s">
        <v>1550</v>
      </c>
      <c r="C729" s="34" t="s">
        <v>122</v>
      </c>
    </row>
    <row r="730" customFormat="false" ht="89.25" hidden="false" customHeight="false" outlineLevel="0" collapsed="false">
      <c r="A730" s="37" t="s">
        <v>1551</v>
      </c>
      <c r="B730" s="34" t="s">
        <v>1552</v>
      </c>
      <c r="C730" s="34" t="s">
        <v>874</v>
      </c>
    </row>
    <row r="731" customFormat="false" ht="89.25" hidden="false" customHeight="false" outlineLevel="0" collapsed="false">
      <c r="A731" s="37" t="s">
        <v>1553</v>
      </c>
      <c r="B731" s="34" t="s">
        <v>1554</v>
      </c>
      <c r="C731" s="34" t="s">
        <v>874</v>
      </c>
    </row>
    <row r="732" customFormat="false" ht="89.25" hidden="false" customHeight="false" outlineLevel="0" collapsed="false">
      <c r="A732" s="37" t="s">
        <v>1555</v>
      </c>
      <c r="B732" s="34" t="s">
        <v>1556</v>
      </c>
      <c r="C732" s="34" t="s">
        <v>874</v>
      </c>
    </row>
    <row r="733" customFormat="false" ht="89.25" hidden="false" customHeight="false" outlineLevel="0" collapsed="false">
      <c r="A733" s="37" t="s">
        <v>1557</v>
      </c>
      <c r="B733" s="34" t="s">
        <v>1558</v>
      </c>
      <c r="C733" s="34" t="s">
        <v>874</v>
      </c>
    </row>
    <row r="734" customFormat="false" ht="102" hidden="false" customHeight="false" outlineLevel="0" collapsed="false">
      <c r="A734" s="37" t="s">
        <v>1559</v>
      </c>
      <c r="B734" s="34" t="s">
        <v>1560</v>
      </c>
      <c r="C734" s="34" t="s">
        <v>883</v>
      </c>
    </row>
    <row r="735" customFormat="false" ht="102" hidden="false" customHeight="false" outlineLevel="0" collapsed="false">
      <c r="A735" s="37" t="n">
        <v>5302100</v>
      </c>
      <c r="B735" s="34" t="s">
        <v>1561</v>
      </c>
      <c r="C735" s="34" t="s">
        <v>97</v>
      </c>
    </row>
    <row r="736" customFormat="false" ht="102" hidden="false" customHeight="false" outlineLevel="0" collapsed="false">
      <c r="A736" s="37" t="n">
        <v>5302200</v>
      </c>
      <c r="B736" s="34" t="s">
        <v>1562</v>
      </c>
      <c r="C736" s="34" t="s">
        <v>97</v>
      </c>
    </row>
    <row r="737" customFormat="false" ht="102" hidden="false" customHeight="false" outlineLevel="0" collapsed="false">
      <c r="A737" s="37" t="n">
        <v>5302300</v>
      </c>
      <c r="B737" s="34" t="s">
        <v>1563</v>
      </c>
      <c r="C737" s="34" t="s">
        <v>887</v>
      </c>
    </row>
    <row r="738" customFormat="false" ht="114.75" hidden="false" customHeight="false" outlineLevel="0" collapsed="false">
      <c r="A738" s="37" t="n">
        <v>5302400</v>
      </c>
      <c r="B738" s="34" t="s">
        <v>1564</v>
      </c>
      <c r="C738" s="34" t="s">
        <v>849</v>
      </c>
    </row>
    <row r="739" customFormat="false" ht="89.25" hidden="false" customHeight="false" outlineLevel="0" collapsed="false">
      <c r="A739" s="37" t="n">
        <v>5302500</v>
      </c>
      <c r="B739" s="34" t="s">
        <v>1565</v>
      </c>
      <c r="C739" s="34" t="s">
        <v>891</v>
      </c>
    </row>
    <row r="740" customFormat="false" ht="114.75" hidden="false" customHeight="false" outlineLevel="0" collapsed="false">
      <c r="A740" s="37" t="n">
        <v>5302600</v>
      </c>
      <c r="B740" s="34" t="s">
        <v>1566</v>
      </c>
      <c r="C740" s="34" t="s">
        <v>853</v>
      </c>
    </row>
    <row r="741" customFormat="false" ht="76.5" hidden="false" customHeight="false" outlineLevel="0" collapsed="false">
      <c r="A741" s="37" t="s">
        <v>1567</v>
      </c>
      <c r="B741" s="34" t="s">
        <v>1568</v>
      </c>
      <c r="C741" s="34" t="s">
        <v>108</v>
      </c>
    </row>
    <row r="742" customFormat="false" ht="89.25" hidden="false" customHeight="false" outlineLevel="0" collapsed="false">
      <c r="A742" s="37" t="s">
        <v>1569</v>
      </c>
      <c r="B742" s="34" t="s">
        <v>1570</v>
      </c>
      <c r="C742" s="34" t="s">
        <v>871</v>
      </c>
    </row>
    <row r="743" customFormat="false" ht="89.25" hidden="false" customHeight="false" outlineLevel="0" collapsed="false">
      <c r="A743" s="37" t="s">
        <v>1571</v>
      </c>
      <c r="B743" s="34" t="s">
        <v>1572</v>
      </c>
      <c r="C743" s="34" t="s">
        <v>858</v>
      </c>
    </row>
    <row r="744" customFormat="false" ht="89.25" hidden="false" customHeight="false" outlineLevel="0" collapsed="false">
      <c r="A744" s="37" t="s">
        <v>1573</v>
      </c>
      <c r="B744" s="34" t="s">
        <v>1574</v>
      </c>
      <c r="C744" s="34" t="s">
        <v>902</v>
      </c>
    </row>
    <row r="745" customFormat="false" ht="89.25" hidden="false" customHeight="false" outlineLevel="0" collapsed="false">
      <c r="A745" s="37" t="s">
        <v>1575</v>
      </c>
      <c r="B745" s="34" t="s">
        <v>1576</v>
      </c>
      <c r="C745" s="34" t="s">
        <v>902</v>
      </c>
    </row>
    <row r="746" customFormat="false" ht="89.25" hidden="false" customHeight="false" outlineLevel="0" collapsed="false">
      <c r="A746" s="37" t="s">
        <v>1577</v>
      </c>
      <c r="B746" s="34" t="s">
        <v>1578</v>
      </c>
      <c r="C746" s="34" t="s">
        <v>122</v>
      </c>
    </row>
    <row r="747" customFormat="false" ht="89.25" hidden="false" customHeight="false" outlineLevel="0" collapsed="false">
      <c r="A747" s="37" t="s">
        <v>1579</v>
      </c>
      <c r="B747" s="34" t="s">
        <v>1580</v>
      </c>
      <c r="C747" s="34" t="s">
        <v>874</v>
      </c>
    </row>
    <row r="748" customFormat="false" ht="89.25" hidden="false" customHeight="false" outlineLevel="0" collapsed="false">
      <c r="A748" s="37" t="s">
        <v>1581</v>
      </c>
      <c r="B748" s="34" t="s">
        <v>1582</v>
      </c>
      <c r="C748" s="34" t="s">
        <v>874</v>
      </c>
    </row>
    <row r="749" customFormat="false" ht="89.25" hidden="false" customHeight="false" outlineLevel="0" collapsed="false">
      <c r="A749" s="37" t="s">
        <v>1583</v>
      </c>
      <c r="B749" s="34" t="s">
        <v>1584</v>
      </c>
      <c r="C749" s="34" t="s">
        <v>874</v>
      </c>
    </row>
    <row r="750" customFormat="false" ht="89.25" hidden="false" customHeight="false" outlineLevel="0" collapsed="false">
      <c r="A750" s="37" t="s">
        <v>1585</v>
      </c>
      <c r="B750" s="34" t="s">
        <v>1586</v>
      </c>
      <c r="C750" s="34" t="s">
        <v>874</v>
      </c>
    </row>
    <row r="751" customFormat="false" ht="102" hidden="false" customHeight="false" outlineLevel="0" collapsed="false">
      <c r="A751" s="37" t="s">
        <v>1587</v>
      </c>
      <c r="B751" s="34" t="s">
        <v>1588</v>
      </c>
      <c r="C751" s="34" t="s">
        <v>883</v>
      </c>
    </row>
    <row r="752" customFormat="false" ht="102" hidden="false" customHeight="false" outlineLevel="0" collapsed="false">
      <c r="A752" s="37" t="n">
        <v>5305100</v>
      </c>
      <c r="B752" s="34" t="s">
        <v>1589</v>
      </c>
      <c r="C752" s="34" t="s">
        <v>883</v>
      </c>
    </row>
    <row r="753" customFormat="false" ht="102" hidden="false" customHeight="false" outlineLevel="0" collapsed="false">
      <c r="A753" s="37" t="n">
        <v>5305200</v>
      </c>
      <c r="B753" s="34" t="s">
        <v>1590</v>
      </c>
      <c r="C753" s="34" t="s">
        <v>97</v>
      </c>
    </row>
    <row r="754" customFormat="false" ht="102" hidden="false" customHeight="false" outlineLevel="0" collapsed="false">
      <c r="A754" s="37" t="n">
        <v>5305300</v>
      </c>
      <c r="B754" s="34" t="s">
        <v>1591</v>
      </c>
      <c r="C754" s="34" t="s">
        <v>887</v>
      </c>
    </row>
    <row r="755" customFormat="false" ht="114.75" hidden="false" customHeight="false" outlineLevel="0" collapsed="false">
      <c r="A755" s="37" t="n">
        <v>5305400</v>
      </c>
      <c r="B755" s="34" t="s">
        <v>1592</v>
      </c>
      <c r="C755" s="34" t="s">
        <v>1593</v>
      </c>
    </row>
    <row r="756" customFormat="false" ht="89.25" hidden="false" customHeight="false" outlineLevel="0" collapsed="false">
      <c r="A756" s="37" t="n">
        <v>5305500</v>
      </c>
      <c r="B756" s="34" t="s">
        <v>1594</v>
      </c>
      <c r="C756" s="34" t="s">
        <v>891</v>
      </c>
    </row>
    <row r="757" customFormat="false" ht="114.75" hidden="false" customHeight="false" outlineLevel="0" collapsed="false">
      <c r="A757" s="37" t="n">
        <v>5305600</v>
      </c>
      <c r="B757" s="34" t="s">
        <v>1595</v>
      </c>
      <c r="C757" s="34" t="s">
        <v>1596</v>
      </c>
    </row>
    <row r="758" customFormat="false" ht="76.5" hidden="false" customHeight="false" outlineLevel="0" collapsed="false">
      <c r="A758" s="37" t="s">
        <v>1597</v>
      </c>
      <c r="B758" s="34" t="s">
        <v>1598</v>
      </c>
      <c r="C758" s="34" t="s">
        <v>108</v>
      </c>
    </row>
    <row r="759" customFormat="false" ht="89.25" hidden="false" customHeight="false" outlineLevel="0" collapsed="false">
      <c r="A759" s="37" t="s">
        <v>1599</v>
      </c>
      <c r="B759" s="34" t="s">
        <v>1600</v>
      </c>
      <c r="C759" s="34" t="s">
        <v>871</v>
      </c>
    </row>
    <row r="760" customFormat="false" ht="89.25" hidden="false" customHeight="false" outlineLevel="0" collapsed="false">
      <c r="A760" s="37" t="s">
        <v>1601</v>
      </c>
      <c r="B760" s="34" t="s">
        <v>1602</v>
      </c>
      <c r="C760" s="34" t="s">
        <v>874</v>
      </c>
    </row>
    <row r="761" customFormat="false" ht="89.25" hidden="false" customHeight="false" outlineLevel="0" collapsed="false">
      <c r="A761" s="37" t="s">
        <v>1603</v>
      </c>
      <c r="B761" s="34" t="s">
        <v>1604</v>
      </c>
      <c r="C761" s="34" t="s">
        <v>874</v>
      </c>
    </row>
    <row r="762" customFormat="false" ht="89.25" hidden="false" customHeight="false" outlineLevel="0" collapsed="false">
      <c r="A762" s="37" t="s">
        <v>1605</v>
      </c>
      <c r="B762" s="34" t="s">
        <v>1606</v>
      </c>
      <c r="C762" s="34" t="s">
        <v>874</v>
      </c>
    </row>
    <row r="763" customFormat="false" ht="89.25" hidden="false" customHeight="false" outlineLevel="0" collapsed="false">
      <c r="A763" s="37" t="s">
        <v>1607</v>
      </c>
      <c r="B763" s="34" t="s">
        <v>1608</v>
      </c>
      <c r="C763" s="34" t="s">
        <v>874</v>
      </c>
    </row>
    <row r="764" customFormat="false" ht="102" hidden="false" customHeight="false" outlineLevel="0" collapsed="false">
      <c r="A764" s="37" t="s">
        <v>1609</v>
      </c>
      <c r="B764" s="34" t="s">
        <v>1610</v>
      </c>
      <c r="C764" s="34" t="s">
        <v>883</v>
      </c>
    </row>
    <row r="765" customFormat="false" ht="89.25" hidden="false" customHeight="false" outlineLevel="0" collapsed="false">
      <c r="A765" s="37" t="s">
        <v>1611</v>
      </c>
      <c r="B765" s="34" t="s">
        <v>1612</v>
      </c>
      <c r="C765" s="34" t="s">
        <v>858</v>
      </c>
    </row>
    <row r="766" customFormat="false" ht="89.25" hidden="false" customHeight="false" outlineLevel="0" collapsed="false">
      <c r="A766" s="37" t="s">
        <v>1613</v>
      </c>
      <c r="B766" s="34" t="s">
        <v>1614</v>
      </c>
      <c r="C766" s="34" t="s">
        <v>902</v>
      </c>
    </row>
    <row r="767" customFormat="false" ht="89.25" hidden="false" customHeight="false" outlineLevel="0" collapsed="false">
      <c r="A767" s="37" t="s">
        <v>1615</v>
      </c>
      <c r="B767" s="34" t="s">
        <v>1616</v>
      </c>
      <c r="C767" s="34" t="s">
        <v>902</v>
      </c>
    </row>
    <row r="768" customFormat="false" ht="102" hidden="false" customHeight="false" outlineLevel="0" collapsed="false">
      <c r="A768" s="37" t="n">
        <v>5307100</v>
      </c>
      <c r="B768" s="34" t="s">
        <v>1617</v>
      </c>
      <c r="C768" s="34" t="s">
        <v>97</v>
      </c>
    </row>
    <row r="769" customFormat="false" ht="102" hidden="false" customHeight="false" outlineLevel="0" collapsed="false">
      <c r="A769" s="37" t="n">
        <v>5307200</v>
      </c>
      <c r="B769" s="34" t="s">
        <v>1618</v>
      </c>
      <c r="C769" s="34" t="s">
        <v>97</v>
      </c>
    </row>
    <row r="770" customFormat="false" ht="102" hidden="false" customHeight="false" outlineLevel="0" collapsed="false">
      <c r="A770" s="37" t="n">
        <v>5307300</v>
      </c>
      <c r="B770" s="34" t="s">
        <v>1619</v>
      </c>
      <c r="C770" s="34" t="s">
        <v>887</v>
      </c>
    </row>
    <row r="771" customFormat="false" ht="114.75" hidden="false" customHeight="false" outlineLevel="0" collapsed="false">
      <c r="A771" s="37" t="n">
        <v>5307400</v>
      </c>
      <c r="B771" s="34" t="s">
        <v>1620</v>
      </c>
      <c r="C771" s="34" t="s">
        <v>849</v>
      </c>
    </row>
    <row r="772" customFormat="false" ht="89.25" hidden="false" customHeight="false" outlineLevel="0" collapsed="false">
      <c r="A772" s="37" t="n">
        <v>5307500</v>
      </c>
      <c r="B772" s="34" t="s">
        <v>1621</v>
      </c>
      <c r="C772" s="34" t="s">
        <v>891</v>
      </c>
    </row>
    <row r="773" customFormat="false" ht="114.75" hidden="false" customHeight="false" outlineLevel="0" collapsed="false">
      <c r="A773" s="37" t="n">
        <v>5307600</v>
      </c>
      <c r="B773" s="34" t="s">
        <v>1622</v>
      </c>
      <c r="C773" s="34" t="s">
        <v>853</v>
      </c>
    </row>
    <row r="774" customFormat="false" ht="76.5" hidden="false" customHeight="false" outlineLevel="0" collapsed="false">
      <c r="A774" s="37" t="s">
        <v>1623</v>
      </c>
      <c r="B774" s="34" t="s">
        <v>1624</v>
      </c>
      <c r="C774" s="34" t="s">
        <v>108</v>
      </c>
    </row>
    <row r="775" customFormat="false" ht="89.25" hidden="false" customHeight="false" outlineLevel="0" collapsed="false">
      <c r="A775" s="37" t="s">
        <v>1625</v>
      </c>
      <c r="B775" s="34" t="s">
        <v>1626</v>
      </c>
      <c r="C775" s="34" t="s">
        <v>871</v>
      </c>
    </row>
    <row r="776" customFormat="false" ht="89.25" hidden="false" customHeight="false" outlineLevel="0" collapsed="false">
      <c r="A776" s="37" t="s">
        <v>1627</v>
      </c>
      <c r="B776" s="34" t="s">
        <v>1628</v>
      </c>
      <c r="C776" s="34" t="s">
        <v>858</v>
      </c>
    </row>
    <row r="777" customFormat="false" ht="89.25" hidden="false" customHeight="false" outlineLevel="0" collapsed="false">
      <c r="A777" s="37" t="s">
        <v>1629</v>
      </c>
      <c r="B777" s="34" t="s">
        <v>1630</v>
      </c>
      <c r="C777" s="34" t="s">
        <v>902</v>
      </c>
    </row>
    <row r="778" customFormat="false" ht="89.25" hidden="false" customHeight="false" outlineLevel="0" collapsed="false">
      <c r="A778" s="37" t="s">
        <v>1631</v>
      </c>
      <c r="B778" s="34" t="s">
        <v>1632</v>
      </c>
      <c r="C778" s="34" t="s">
        <v>902</v>
      </c>
    </row>
    <row r="779" customFormat="false" ht="89.25" hidden="false" customHeight="false" outlineLevel="0" collapsed="false">
      <c r="A779" s="37" t="s">
        <v>1633</v>
      </c>
      <c r="B779" s="34" t="s">
        <v>1634</v>
      </c>
      <c r="C779" s="34" t="s">
        <v>122</v>
      </c>
    </row>
    <row r="780" customFormat="false" ht="89.25" hidden="false" customHeight="false" outlineLevel="0" collapsed="false">
      <c r="A780" s="37" t="s">
        <v>1635</v>
      </c>
      <c r="B780" s="34" t="s">
        <v>1636</v>
      </c>
      <c r="C780" s="34" t="s">
        <v>874</v>
      </c>
    </row>
    <row r="781" customFormat="false" ht="89.25" hidden="false" customHeight="false" outlineLevel="0" collapsed="false">
      <c r="A781" s="37" t="s">
        <v>1637</v>
      </c>
      <c r="B781" s="34" t="s">
        <v>1638</v>
      </c>
      <c r="C781" s="34" t="s">
        <v>874</v>
      </c>
    </row>
    <row r="782" customFormat="false" ht="89.25" hidden="false" customHeight="false" outlineLevel="0" collapsed="false">
      <c r="A782" s="37" t="s">
        <v>1639</v>
      </c>
      <c r="B782" s="34" t="s">
        <v>1640</v>
      </c>
      <c r="C782" s="34" t="s">
        <v>874</v>
      </c>
    </row>
    <row r="783" customFormat="false" ht="89.25" hidden="false" customHeight="false" outlineLevel="0" collapsed="false">
      <c r="A783" s="37" t="s">
        <v>1641</v>
      </c>
      <c r="B783" s="34" t="s">
        <v>1642</v>
      </c>
      <c r="C783" s="34" t="s">
        <v>874</v>
      </c>
    </row>
    <row r="784" customFormat="false" ht="102" hidden="false" customHeight="false" outlineLevel="0" collapsed="false">
      <c r="A784" s="37" t="s">
        <v>1643</v>
      </c>
      <c r="B784" s="34" t="s">
        <v>1644</v>
      </c>
      <c r="C784" s="34" t="s">
        <v>883</v>
      </c>
    </row>
    <row r="785" customFormat="false" ht="25.5" hidden="false" customHeight="false" outlineLevel="0" collapsed="false">
      <c r="A785" s="37" t="s">
        <v>1645</v>
      </c>
      <c r="B785" s="34" t="s">
        <v>1646</v>
      </c>
      <c r="C785" s="34" t="s">
        <v>965</v>
      </c>
    </row>
    <row r="786" customFormat="false" ht="25.5" hidden="false" customHeight="false" outlineLevel="0" collapsed="false">
      <c r="A786" s="37" t="s">
        <v>1647</v>
      </c>
      <c r="B786" s="34" t="s">
        <v>1646</v>
      </c>
      <c r="C786" s="34" t="s">
        <v>965</v>
      </c>
    </row>
    <row r="787" customFormat="false" ht="25.5" hidden="false" customHeight="false" outlineLevel="0" collapsed="false">
      <c r="A787" s="37" t="s">
        <v>1648</v>
      </c>
      <c r="B787" s="34" t="s">
        <v>1646</v>
      </c>
      <c r="C787" s="34" t="s">
        <v>965</v>
      </c>
    </row>
    <row r="788" customFormat="false" ht="25.5" hidden="false" customHeight="false" outlineLevel="0" collapsed="false">
      <c r="A788" s="37" t="s">
        <v>1649</v>
      </c>
      <c r="B788" s="34" t="s">
        <v>1646</v>
      </c>
      <c r="C788" s="34" t="s">
        <v>965</v>
      </c>
    </row>
    <row r="789" customFormat="false" ht="25.5" hidden="false" customHeight="false" outlineLevel="0" collapsed="false">
      <c r="A789" s="37" t="s">
        <v>1650</v>
      </c>
      <c r="B789" s="34" t="s">
        <v>1646</v>
      </c>
      <c r="C789" s="34" t="s">
        <v>965</v>
      </c>
    </row>
    <row r="790" customFormat="false" ht="25.5" hidden="false" customHeight="false" outlineLevel="0" collapsed="false">
      <c r="A790" s="37" t="s">
        <v>1651</v>
      </c>
      <c r="B790" s="34" t="s">
        <v>1646</v>
      </c>
      <c r="C790" s="34" t="s">
        <v>965</v>
      </c>
    </row>
    <row r="791" customFormat="false" ht="25.5" hidden="false" customHeight="false" outlineLevel="0" collapsed="false">
      <c r="A791" s="37" t="s">
        <v>1652</v>
      </c>
      <c r="B791" s="34" t="s">
        <v>1646</v>
      </c>
      <c r="C791" s="34" t="s">
        <v>965</v>
      </c>
    </row>
    <row r="792" customFormat="false" ht="25.5" hidden="false" customHeight="false" outlineLevel="0" collapsed="false">
      <c r="A792" s="37" t="s">
        <v>1653</v>
      </c>
      <c r="B792" s="34" t="s">
        <v>1646</v>
      </c>
      <c r="C792" s="34" t="s">
        <v>965</v>
      </c>
    </row>
    <row r="793" customFormat="false" ht="89.25" hidden="false" customHeight="false" outlineLevel="0" collapsed="false">
      <c r="A793" s="37" t="s">
        <v>1654</v>
      </c>
      <c r="B793" s="34" t="s">
        <v>1655</v>
      </c>
      <c r="C793" s="34" t="s">
        <v>985</v>
      </c>
    </row>
    <row r="794" customFormat="false" ht="89.25" hidden="false" customHeight="false" outlineLevel="0" collapsed="false">
      <c r="A794" s="37" t="s">
        <v>1656</v>
      </c>
      <c r="B794" s="34" t="s">
        <v>1657</v>
      </c>
      <c r="C794" s="34" t="s">
        <v>1658</v>
      </c>
    </row>
    <row r="795" customFormat="false" ht="76.5" hidden="false" customHeight="false" outlineLevel="0" collapsed="false">
      <c r="A795" s="37" t="s">
        <v>1659</v>
      </c>
      <c r="B795" s="34" t="s">
        <v>1660</v>
      </c>
      <c r="C795" s="34" t="s">
        <v>1661</v>
      </c>
    </row>
    <row r="796" customFormat="false" ht="38.25" hidden="false" customHeight="false" outlineLevel="0" collapsed="false">
      <c r="A796" s="37" t="s">
        <v>1662</v>
      </c>
      <c r="B796" s="34" t="s">
        <v>1663</v>
      </c>
      <c r="C796" s="34" t="s">
        <v>965</v>
      </c>
    </row>
    <row r="797" customFormat="false" ht="38.25" hidden="false" customHeight="false" outlineLevel="0" collapsed="false">
      <c r="A797" s="37" t="s">
        <v>1664</v>
      </c>
      <c r="B797" s="34" t="s">
        <v>1665</v>
      </c>
      <c r="C797" s="34" t="s">
        <v>965</v>
      </c>
    </row>
    <row r="798" customFormat="false" ht="38.25" hidden="false" customHeight="false" outlineLevel="0" collapsed="false">
      <c r="A798" s="37" t="s">
        <v>1666</v>
      </c>
      <c r="B798" s="34" t="s">
        <v>1667</v>
      </c>
      <c r="C798" s="34" t="s">
        <v>965</v>
      </c>
    </row>
    <row r="799" customFormat="false" ht="89.25" hidden="false" customHeight="false" outlineLevel="0" collapsed="false">
      <c r="A799" s="37" t="s">
        <v>1668</v>
      </c>
      <c r="B799" s="34" t="s">
        <v>1669</v>
      </c>
      <c r="C799" s="34" t="s">
        <v>997</v>
      </c>
    </row>
    <row r="800" customFormat="false" ht="89.25" hidden="false" customHeight="false" outlineLevel="0" collapsed="false">
      <c r="A800" s="37" t="s">
        <v>1670</v>
      </c>
      <c r="B800" s="34" t="s">
        <v>1671</v>
      </c>
      <c r="C800" s="34" t="s">
        <v>997</v>
      </c>
    </row>
    <row r="801" customFormat="false" ht="89.25" hidden="false" customHeight="false" outlineLevel="0" collapsed="false">
      <c r="A801" s="37" t="s">
        <v>1672</v>
      </c>
      <c r="B801" s="34" t="s">
        <v>1673</v>
      </c>
      <c r="C801" s="34" t="s">
        <v>997</v>
      </c>
    </row>
    <row r="802" customFormat="false" ht="38.25" hidden="false" customHeight="false" outlineLevel="0" collapsed="false">
      <c r="A802" s="37" t="s">
        <v>1674</v>
      </c>
      <c r="B802" s="34" t="s">
        <v>1675</v>
      </c>
      <c r="C802" s="34" t="s">
        <v>1002</v>
      </c>
    </row>
    <row r="803" customFormat="false" ht="76.5" hidden="false" customHeight="false" outlineLevel="0" collapsed="false">
      <c r="A803" s="37" t="s">
        <v>1676</v>
      </c>
      <c r="B803" s="34" t="s">
        <v>1677</v>
      </c>
      <c r="C803" s="34" t="s">
        <v>1002</v>
      </c>
    </row>
    <row r="804" customFormat="false" ht="76.5" hidden="false" customHeight="false" outlineLevel="0" collapsed="false">
      <c r="A804" s="37" t="s">
        <v>1676</v>
      </c>
      <c r="B804" s="34" t="s">
        <v>1677</v>
      </c>
      <c r="C804" s="34" t="s">
        <v>1678</v>
      </c>
    </row>
    <row r="805" customFormat="false" ht="38.25" hidden="false" customHeight="false" outlineLevel="0" collapsed="false">
      <c r="A805" s="37" t="s">
        <v>1679</v>
      </c>
      <c r="B805" s="34" t="s">
        <v>1680</v>
      </c>
      <c r="C805" s="34" t="s">
        <v>965</v>
      </c>
    </row>
    <row r="806" customFormat="false" ht="38.25" hidden="false" customHeight="false" outlineLevel="0" collapsed="false">
      <c r="A806" s="37" t="s">
        <v>1681</v>
      </c>
      <c r="B806" s="34" t="s">
        <v>1682</v>
      </c>
      <c r="C806" s="34" t="s">
        <v>965</v>
      </c>
    </row>
    <row r="807" customFormat="false" ht="63.75" hidden="false" customHeight="false" outlineLevel="0" collapsed="false">
      <c r="A807" s="37" t="s">
        <v>1683</v>
      </c>
      <c r="B807" s="34" t="s">
        <v>1684</v>
      </c>
      <c r="C807" s="34" t="s">
        <v>139</v>
      </c>
    </row>
    <row r="808" customFormat="false" ht="76.5" hidden="false" customHeight="false" outlineLevel="0" collapsed="false">
      <c r="A808" s="37" t="s">
        <v>1685</v>
      </c>
      <c r="B808" s="34" t="s">
        <v>1686</v>
      </c>
      <c r="C808" s="34" t="s">
        <v>1687</v>
      </c>
    </row>
    <row r="809" customFormat="false" ht="63.75" hidden="false" customHeight="false" outlineLevel="0" collapsed="false">
      <c r="A809" s="37" t="s">
        <v>1688</v>
      </c>
      <c r="B809" s="34" t="s">
        <v>1689</v>
      </c>
      <c r="C809" s="34" t="s">
        <v>142</v>
      </c>
    </row>
    <row r="810" customFormat="false" ht="63.75" hidden="false" customHeight="false" outlineLevel="0" collapsed="false">
      <c r="A810" s="37" t="s">
        <v>1690</v>
      </c>
      <c r="B810" s="34" t="s">
        <v>1691</v>
      </c>
      <c r="C810" s="34" t="s">
        <v>1033</v>
      </c>
    </row>
    <row r="811" customFormat="false" ht="38.25" hidden="false" customHeight="false" outlineLevel="0" collapsed="false">
      <c r="A811" s="37" t="s">
        <v>1692</v>
      </c>
      <c r="B811" s="34" t="s">
        <v>1693</v>
      </c>
      <c r="C811" s="34" t="s">
        <v>687</v>
      </c>
    </row>
    <row r="812" customFormat="false" ht="51" hidden="false" customHeight="false" outlineLevel="0" collapsed="false">
      <c r="A812" s="37" t="s">
        <v>1694</v>
      </c>
      <c r="B812" s="34" t="s">
        <v>1695</v>
      </c>
      <c r="C812" s="34" t="s">
        <v>1038</v>
      </c>
    </row>
    <row r="813" customFormat="false" ht="38.25" hidden="false" customHeight="false" outlineLevel="0" collapsed="false">
      <c r="A813" s="37" t="s">
        <v>1696</v>
      </c>
      <c r="B813" s="34" t="s">
        <v>1697</v>
      </c>
      <c r="C813" s="34" t="s">
        <v>1041</v>
      </c>
    </row>
    <row r="814" customFormat="false" ht="25.5" hidden="false" customHeight="false" outlineLevel="0" collapsed="false">
      <c r="A814" s="37" t="s">
        <v>1698</v>
      </c>
      <c r="B814" s="34" t="s">
        <v>1699</v>
      </c>
      <c r="C814" s="34" t="s">
        <v>1044</v>
      </c>
    </row>
    <row r="815" customFormat="false" ht="51" hidden="false" customHeight="false" outlineLevel="0" collapsed="false">
      <c r="A815" s="37" t="s">
        <v>1700</v>
      </c>
      <c r="B815" s="34" t="s">
        <v>1701</v>
      </c>
      <c r="C815" s="34" t="s">
        <v>1047</v>
      </c>
    </row>
    <row r="816" customFormat="false" ht="51" hidden="false" customHeight="false" outlineLevel="0" collapsed="false">
      <c r="A816" s="37" t="s">
        <v>1702</v>
      </c>
      <c r="B816" s="34" t="s">
        <v>1703</v>
      </c>
      <c r="C816" s="34" t="s">
        <v>1050</v>
      </c>
    </row>
    <row r="817" customFormat="false" ht="51" hidden="false" customHeight="false" outlineLevel="0" collapsed="false">
      <c r="A817" s="37" t="s">
        <v>1704</v>
      </c>
      <c r="B817" s="34" t="s">
        <v>1705</v>
      </c>
      <c r="C817" s="34" t="s">
        <v>1053</v>
      </c>
    </row>
    <row r="818" customFormat="false" ht="38.25" hidden="false" customHeight="false" outlineLevel="0" collapsed="false">
      <c r="A818" s="37" t="s">
        <v>1706</v>
      </c>
      <c r="B818" s="34" t="s">
        <v>1707</v>
      </c>
      <c r="C818" s="34" t="s">
        <v>1056</v>
      </c>
    </row>
    <row r="819" customFormat="false" ht="63.75" hidden="false" customHeight="false" outlineLevel="0" collapsed="false">
      <c r="A819" s="37" t="s">
        <v>1708</v>
      </c>
      <c r="B819" s="34" t="s">
        <v>1709</v>
      </c>
      <c r="C819" s="34" t="s">
        <v>1059</v>
      </c>
    </row>
    <row r="820" customFormat="false" ht="63.75" hidden="false" customHeight="false" outlineLevel="0" collapsed="false">
      <c r="A820" s="37" t="s">
        <v>1710</v>
      </c>
      <c r="B820" s="34" t="s">
        <v>1711</v>
      </c>
      <c r="C820" s="34" t="s">
        <v>139</v>
      </c>
    </row>
    <row r="821" customFormat="false" ht="63.75" hidden="false" customHeight="false" outlineLevel="0" collapsed="false">
      <c r="A821" s="37" t="s">
        <v>1712</v>
      </c>
      <c r="B821" s="34" t="s">
        <v>1713</v>
      </c>
      <c r="C821" s="34" t="s">
        <v>139</v>
      </c>
    </row>
    <row r="822" customFormat="false" ht="63.75" hidden="false" customHeight="false" outlineLevel="0" collapsed="false">
      <c r="A822" s="37" t="s">
        <v>1714</v>
      </c>
      <c r="B822" s="34" t="s">
        <v>1715</v>
      </c>
      <c r="C822" s="34" t="s">
        <v>139</v>
      </c>
    </row>
    <row r="823" customFormat="false" ht="89.25" hidden="false" customHeight="false" outlineLevel="0" collapsed="false">
      <c r="A823" s="37" t="n">
        <v>5310500</v>
      </c>
      <c r="B823" s="34" t="s">
        <v>1716</v>
      </c>
      <c r="C823" s="34" t="s">
        <v>1717</v>
      </c>
    </row>
    <row r="824" customFormat="false" ht="127.5" hidden="false" customHeight="false" outlineLevel="0" collapsed="false">
      <c r="A824" s="37" t="n">
        <v>5311100</v>
      </c>
      <c r="B824" s="34" t="s">
        <v>1718</v>
      </c>
      <c r="C824" s="34" t="s">
        <v>1069</v>
      </c>
    </row>
    <row r="825" customFormat="false" ht="127.5" hidden="false" customHeight="false" outlineLevel="0" collapsed="false">
      <c r="A825" s="37" t="n">
        <v>5311200</v>
      </c>
      <c r="B825" s="34" t="s">
        <v>1719</v>
      </c>
      <c r="C825" s="34" t="s">
        <v>1069</v>
      </c>
    </row>
    <row r="826" customFormat="false" ht="127.5" hidden="false" customHeight="false" outlineLevel="0" collapsed="false">
      <c r="A826" s="37" t="n">
        <v>5311500</v>
      </c>
      <c r="B826" s="34" t="s">
        <v>1720</v>
      </c>
      <c r="C826" s="34" t="s">
        <v>1721</v>
      </c>
    </row>
    <row r="827" customFormat="false" ht="127.5" hidden="false" customHeight="false" outlineLevel="0" collapsed="false">
      <c r="A827" s="37" t="n">
        <v>5312100</v>
      </c>
      <c r="B827" s="34" t="s">
        <v>1722</v>
      </c>
      <c r="C827" s="34" t="s">
        <v>1069</v>
      </c>
    </row>
    <row r="828" customFormat="false" ht="127.5" hidden="false" customHeight="false" outlineLevel="0" collapsed="false">
      <c r="A828" s="37" t="n">
        <v>5312200</v>
      </c>
      <c r="B828" s="34" t="s">
        <v>1723</v>
      </c>
      <c r="C828" s="34" t="s">
        <v>1069</v>
      </c>
    </row>
    <row r="829" customFormat="false" ht="127.5" hidden="false" customHeight="false" outlineLevel="0" collapsed="false">
      <c r="A829" s="37" t="n">
        <v>5312500</v>
      </c>
      <c r="B829" s="34" t="s">
        <v>1724</v>
      </c>
      <c r="C829" s="34" t="s">
        <v>1069</v>
      </c>
    </row>
    <row r="830" customFormat="false" ht="127.5" hidden="false" customHeight="false" outlineLevel="0" collapsed="false">
      <c r="A830" s="37" t="n">
        <v>5315500</v>
      </c>
      <c r="B830" s="34" t="s">
        <v>1725</v>
      </c>
      <c r="C830" s="34" t="s">
        <v>1069</v>
      </c>
    </row>
    <row r="831" customFormat="false" ht="127.5" hidden="false" customHeight="false" outlineLevel="0" collapsed="false">
      <c r="A831" s="37" t="n">
        <v>5316500</v>
      </c>
      <c r="B831" s="34" t="s">
        <v>1726</v>
      </c>
      <c r="C831" s="34" t="s">
        <v>1069</v>
      </c>
    </row>
    <row r="832" customFormat="false" ht="127.5" hidden="false" customHeight="false" outlineLevel="0" collapsed="false">
      <c r="A832" s="37" t="n">
        <v>5317500</v>
      </c>
      <c r="B832" s="34" t="s">
        <v>1727</v>
      </c>
      <c r="C832" s="34" t="s">
        <v>1069</v>
      </c>
    </row>
    <row r="833" customFormat="false" ht="127.5" hidden="false" customHeight="false" outlineLevel="0" collapsed="false">
      <c r="A833" s="37" t="s">
        <v>1728</v>
      </c>
      <c r="B833" s="34" t="s">
        <v>1729</v>
      </c>
      <c r="C833" s="34" t="s">
        <v>1069</v>
      </c>
    </row>
    <row r="834" customFormat="false" ht="127.5" hidden="false" customHeight="false" outlineLevel="0" collapsed="false">
      <c r="A834" s="37" t="s">
        <v>1730</v>
      </c>
      <c r="B834" s="34" t="s">
        <v>1731</v>
      </c>
      <c r="C834" s="34" t="s">
        <v>1732</v>
      </c>
    </row>
    <row r="835" customFormat="false" ht="127.5" hidden="false" customHeight="false" outlineLevel="0" collapsed="false">
      <c r="A835" s="37" t="s">
        <v>1733</v>
      </c>
      <c r="B835" s="34" t="s">
        <v>1734</v>
      </c>
      <c r="C835" s="34" t="s">
        <v>1732</v>
      </c>
    </row>
    <row r="836" customFormat="false" ht="102" hidden="false" customHeight="false" outlineLevel="0" collapsed="false">
      <c r="A836" s="37" t="s">
        <v>1735</v>
      </c>
      <c r="B836" s="34" t="s">
        <v>1736</v>
      </c>
      <c r="C836" s="34" t="s">
        <v>1737</v>
      </c>
    </row>
    <row r="837" customFormat="false" ht="102" hidden="false" customHeight="false" outlineLevel="0" collapsed="false">
      <c r="A837" s="37" t="s">
        <v>1738</v>
      </c>
      <c r="B837" s="34" t="s">
        <v>168</v>
      </c>
      <c r="C837" s="34" t="s">
        <v>1737</v>
      </c>
    </row>
    <row r="838" customFormat="false" ht="76.5" hidden="false" customHeight="false" outlineLevel="0" collapsed="false">
      <c r="A838" s="37" t="s">
        <v>1739</v>
      </c>
      <c r="B838" s="34" t="s">
        <v>1740</v>
      </c>
      <c r="C838" s="34" t="s">
        <v>1741</v>
      </c>
    </row>
    <row r="839" customFormat="false" ht="63.75" hidden="false" customHeight="false" outlineLevel="0" collapsed="false">
      <c r="A839" s="37" t="s">
        <v>1742</v>
      </c>
      <c r="B839" s="34" t="s">
        <v>1743</v>
      </c>
      <c r="C839" s="34" t="s">
        <v>1744</v>
      </c>
    </row>
    <row r="840" customFormat="false" ht="102" hidden="false" customHeight="false" outlineLevel="0" collapsed="false">
      <c r="A840" s="37" t="s">
        <v>1745</v>
      </c>
      <c r="B840" s="34" t="s">
        <v>1746</v>
      </c>
      <c r="C840" s="34" t="s">
        <v>177</v>
      </c>
    </row>
    <row r="841" customFormat="false" ht="102" hidden="false" customHeight="false" outlineLevel="0" collapsed="false">
      <c r="A841" s="37" t="s">
        <v>1747</v>
      </c>
      <c r="B841" s="34" t="s">
        <v>1748</v>
      </c>
      <c r="C841" s="34" t="s">
        <v>177</v>
      </c>
    </row>
    <row r="842" customFormat="false" ht="102" hidden="false" customHeight="false" outlineLevel="0" collapsed="false">
      <c r="A842" s="37" t="s">
        <v>1749</v>
      </c>
      <c r="B842" s="34" t="s">
        <v>1750</v>
      </c>
      <c r="C842" s="34" t="s">
        <v>1751</v>
      </c>
    </row>
    <row r="843" customFormat="false" ht="102" hidden="false" customHeight="false" outlineLevel="0" collapsed="false">
      <c r="A843" s="37" t="s">
        <v>1752</v>
      </c>
      <c r="B843" s="34" t="s">
        <v>1753</v>
      </c>
      <c r="C843" s="34" t="s">
        <v>1751</v>
      </c>
    </row>
    <row r="844" customFormat="false" ht="102" hidden="false" customHeight="false" outlineLevel="0" collapsed="false">
      <c r="A844" s="37" t="s">
        <v>1754</v>
      </c>
      <c r="B844" s="34" t="s">
        <v>1755</v>
      </c>
      <c r="C844" s="34" t="s">
        <v>1737</v>
      </c>
    </row>
    <row r="845" customFormat="false" ht="102" hidden="false" customHeight="false" outlineLevel="0" collapsed="false">
      <c r="A845" s="37" t="s">
        <v>1756</v>
      </c>
      <c r="B845" s="34" t="s">
        <v>1757</v>
      </c>
      <c r="C845" s="34" t="s">
        <v>1737</v>
      </c>
    </row>
    <row r="846" customFormat="false" ht="127.5" hidden="false" customHeight="false" outlineLevel="0" collapsed="false">
      <c r="A846" s="37" t="s">
        <v>1758</v>
      </c>
      <c r="B846" s="34" t="s">
        <v>1759</v>
      </c>
      <c r="C846" s="34" t="s">
        <v>186</v>
      </c>
    </row>
    <row r="847" customFormat="false" ht="89.25" hidden="false" customHeight="false" outlineLevel="0" collapsed="false">
      <c r="A847" s="37" t="s">
        <v>1760</v>
      </c>
      <c r="B847" s="34" t="s">
        <v>1761</v>
      </c>
      <c r="C847" s="34" t="s">
        <v>1762</v>
      </c>
    </row>
    <row r="848" customFormat="false" ht="63.75" hidden="false" customHeight="false" outlineLevel="0" collapsed="false">
      <c r="A848" s="37" t="s">
        <v>1763</v>
      </c>
      <c r="B848" s="34" t="s">
        <v>1764</v>
      </c>
      <c r="C848" s="34" t="s">
        <v>139</v>
      </c>
    </row>
    <row r="849" customFormat="false" ht="63.75" hidden="false" customHeight="false" outlineLevel="0" collapsed="false">
      <c r="A849" s="37" t="s">
        <v>1765</v>
      </c>
      <c r="B849" s="34" t="s">
        <v>1766</v>
      </c>
      <c r="C849" s="34" t="s">
        <v>139</v>
      </c>
    </row>
    <row r="850" customFormat="false" ht="63.75" hidden="false" customHeight="false" outlineLevel="0" collapsed="false">
      <c r="A850" s="37" t="s">
        <v>1767</v>
      </c>
      <c r="B850" s="34" t="s">
        <v>1768</v>
      </c>
      <c r="C850" s="34" t="s">
        <v>139</v>
      </c>
    </row>
    <row r="851" customFormat="false" ht="38.25" hidden="false" customHeight="false" outlineLevel="0" collapsed="false">
      <c r="A851" s="37" t="s">
        <v>1769</v>
      </c>
      <c r="B851" s="34" t="s">
        <v>1770</v>
      </c>
      <c r="C851" s="34" t="s">
        <v>965</v>
      </c>
    </row>
    <row r="852" customFormat="false" ht="25.5" hidden="false" customHeight="false" outlineLevel="0" collapsed="false">
      <c r="A852" s="37" t="s">
        <v>1771</v>
      </c>
      <c r="B852" s="34" t="s">
        <v>1772</v>
      </c>
      <c r="C852" s="34" t="s">
        <v>965</v>
      </c>
    </row>
    <row r="853" customFormat="false" ht="89.25" hidden="false" customHeight="false" outlineLevel="0" collapsed="false">
      <c r="A853" s="37" t="n">
        <v>5320500</v>
      </c>
      <c r="B853" s="34" t="s">
        <v>1773</v>
      </c>
      <c r="C853" s="34" t="s">
        <v>1774</v>
      </c>
    </row>
    <row r="854" customFormat="false" ht="127.5" hidden="false" customHeight="false" outlineLevel="0" collapsed="false">
      <c r="A854" s="37" t="n">
        <v>5321100</v>
      </c>
      <c r="B854" s="34" t="s">
        <v>1775</v>
      </c>
      <c r="C854" s="34" t="s">
        <v>1079</v>
      </c>
    </row>
    <row r="855" customFormat="false" ht="127.5" hidden="false" customHeight="false" outlineLevel="0" collapsed="false">
      <c r="A855" s="37" t="n">
        <v>5321200</v>
      </c>
      <c r="B855" s="34" t="s">
        <v>1776</v>
      </c>
      <c r="C855" s="34" t="s">
        <v>1079</v>
      </c>
    </row>
    <row r="856" customFormat="false" ht="127.5" hidden="false" customHeight="false" outlineLevel="0" collapsed="false">
      <c r="A856" s="37" t="n">
        <v>5321500</v>
      </c>
      <c r="B856" s="34" t="s">
        <v>1777</v>
      </c>
      <c r="C856" s="34" t="s">
        <v>1778</v>
      </c>
    </row>
    <row r="857" customFormat="false" ht="127.5" hidden="false" customHeight="false" outlineLevel="0" collapsed="false">
      <c r="A857" s="37" t="n">
        <v>5322100</v>
      </c>
      <c r="B857" s="34" t="s">
        <v>1779</v>
      </c>
      <c r="C857" s="34" t="s">
        <v>1079</v>
      </c>
    </row>
    <row r="858" customFormat="false" ht="127.5" hidden="false" customHeight="false" outlineLevel="0" collapsed="false">
      <c r="A858" s="37" t="n">
        <v>5322200</v>
      </c>
      <c r="B858" s="34" t="s">
        <v>1780</v>
      </c>
      <c r="C858" s="34" t="s">
        <v>1079</v>
      </c>
    </row>
    <row r="859" customFormat="false" ht="127.5" hidden="false" customHeight="false" outlineLevel="0" collapsed="false">
      <c r="A859" s="37" t="n">
        <v>5322500</v>
      </c>
      <c r="B859" s="34" t="s">
        <v>1781</v>
      </c>
      <c r="C859" s="34" t="s">
        <v>1079</v>
      </c>
    </row>
    <row r="860" customFormat="false" ht="127.5" hidden="false" customHeight="false" outlineLevel="0" collapsed="false">
      <c r="A860" s="37" t="n">
        <v>5325500</v>
      </c>
      <c r="B860" s="34" t="s">
        <v>1782</v>
      </c>
      <c r="C860" s="34" t="s">
        <v>1079</v>
      </c>
    </row>
    <row r="861" customFormat="false" ht="127.5" hidden="false" customHeight="false" outlineLevel="0" collapsed="false">
      <c r="A861" s="37" t="n">
        <v>5326500</v>
      </c>
      <c r="B861" s="34" t="s">
        <v>1783</v>
      </c>
      <c r="C861" s="34" t="s">
        <v>1079</v>
      </c>
    </row>
    <row r="862" customFormat="false" ht="127.5" hidden="false" customHeight="false" outlineLevel="0" collapsed="false">
      <c r="A862" s="37" t="n">
        <v>5327500</v>
      </c>
      <c r="B862" s="34" t="s">
        <v>1784</v>
      </c>
      <c r="C862" s="34" t="s">
        <v>1079</v>
      </c>
    </row>
    <row r="863" customFormat="false" ht="127.5" hidden="false" customHeight="false" outlineLevel="0" collapsed="false">
      <c r="A863" s="37" t="s">
        <v>1785</v>
      </c>
      <c r="B863" s="34" t="s">
        <v>1786</v>
      </c>
      <c r="C863" s="34" t="s">
        <v>1079</v>
      </c>
    </row>
    <row r="864" customFormat="false" ht="127.5" hidden="false" customHeight="false" outlineLevel="0" collapsed="false">
      <c r="A864" s="37" t="s">
        <v>1787</v>
      </c>
      <c r="B864" s="34" t="s">
        <v>1781</v>
      </c>
      <c r="C864" s="34" t="s">
        <v>1788</v>
      </c>
    </row>
    <row r="865" customFormat="false" ht="127.5" hidden="false" customHeight="false" outlineLevel="0" collapsed="false">
      <c r="A865" s="37" t="s">
        <v>1789</v>
      </c>
      <c r="B865" s="34" t="s">
        <v>1790</v>
      </c>
      <c r="C865" s="34" t="s">
        <v>1788</v>
      </c>
    </row>
    <row r="866" customFormat="false" ht="102" hidden="false" customHeight="false" outlineLevel="0" collapsed="false">
      <c r="A866" s="37" t="s">
        <v>1791</v>
      </c>
      <c r="B866" s="34" t="s">
        <v>1792</v>
      </c>
      <c r="C866" s="34" t="s">
        <v>1793</v>
      </c>
    </row>
    <row r="867" customFormat="false" ht="102" hidden="false" customHeight="false" outlineLevel="0" collapsed="false">
      <c r="A867" s="37" t="s">
        <v>1794</v>
      </c>
      <c r="B867" s="34" t="s">
        <v>1795</v>
      </c>
      <c r="C867" s="34" t="s">
        <v>1793</v>
      </c>
    </row>
    <row r="868" customFormat="false" ht="76.5" hidden="false" customHeight="false" outlineLevel="0" collapsed="false">
      <c r="A868" s="37" t="s">
        <v>1796</v>
      </c>
      <c r="B868" s="34" t="s">
        <v>1797</v>
      </c>
      <c r="C868" s="34" t="s">
        <v>1798</v>
      </c>
    </row>
    <row r="869" customFormat="false" ht="63.75" hidden="false" customHeight="false" outlineLevel="0" collapsed="false">
      <c r="A869" s="37" t="s">
        <v>1799</v>
      </c>
      <c r="B869" s="34" t="s">
        <v>1800</v>
      </c>
      <c r="C869" s="34" t="s">
        <v>1801</v>
      </c>
    </row>
    <row r="870" customFormat="false" ht="102" hidden="false" customHeight="false" outlineLevel="0" collapsed="false">
      <c r="A870" s="37" t="s">
        <v>1802</v>
      </c>
      <c r="B870" s="34" t="s">
        <v>1803</v>
      </c>
      <c r="C870" s="34" t="s">
        <v>221</v>
      </c>
    </row>
    <row r="871" customFormat="false" ht="102" hidden="false" customHeight="false" outlineLevel="0" collapsed="false">
      <c r="A871" s="37" t="s">
        <v>1804</v>
      </c>
      <c r="B871" s="34" t="s">
        <v>1805</v>
      </c>
      <c r="C871" s="34" t="s">
        <v>221</v>
      </c>
    </row>
    <row r="872" customFormat="false" ht="102" hidden="false" customHeight="false" outlineLevel="0" collapsed="false">
      <c r="A872" s="37" t="s">
        <v>1806</v>
      </c>
      <c r="B872" s="34" t="s">
        <v>1807</v>
      </c>
      <c r="C872" s="34" t="s">
        <v>1808</v>
      </c>
    </row>
    <row r="873" customFormat="false" ht="102" hidden="false" customHeight="false" outlineLevel="0" collapsed="false">
      <c r="A873" s="37" t="s">
        <v>1809</v>
      </c>
      <c r="B873" s="34" t="s">
        <v>1810</v>
      </c>
      <c r="C873" s="34" t="s">
        <v>1808</v>
      </c>
    </row>
    <row r="874" customFormat="false" ht="102" hidden="false" customHeight="false" outlineLevel="0" collapsed="false">
      <c r="A874" s="37" t="s">
        <v>1811</v>
      </c>
      <c r="B874" s="34" t="s">
        <v>1812</v>
      </c>
      <c r="C874" s="34" t="s">
        <v>1793</v>
      </c>
    </row>
    <row r="875" customFormat="false" ht="89.25" hidden="false" customHeight="false" outlineLevel="0" collapsed="false">
      <c r="A875" s="37" t="s">
        <v>1813</v>
      </c>
      <c r="B875" s="34" t="s">
        <v>1814</v>
      </c>
      <c r="C875" s="34" t="s">
        <v>210</v>
      </c>
    </row>
    <row r="876" customFormat="false" ht="127.5" hidden="false" customHeight="false" outlineLevel="0" collapsed="false">
      <c r="A876" s="37" t="s">
        <v>1815</v>
      </c>
      <c r="B876" s="34" t="s">
        <v>1816</v>
      </c>
      <c r="C876" s="34" t="s">
        <v>230</v>
      </c>
    </row>
    <row r="877" customFormat="false" ht="89.25" hidden="false" customHeight="false" outlineLevel="0" collapsed="false">
      <c r="A877" s="37" t="s">
        <v>1817</v>
      </c>
      <c r="B877" s="34" t="s">
        <v>1818</v>
      </c>
      <c r="C877" s="34" t="s">
        <v>1819</v>
      </c>
    </row>
    <row r="878" customFormat="false" ht="63.75" hidden="false" customHeight="false" outlineLevel="0" collapsed="false">
      <c r="A878" s="37" t="s">
        <v>1820</v>
      </c>
      <c r="B878" s="34" t="s">
        <v>1821</v>
      </c>
      <c r="C878" s="34" t="s">
        <v>139</v>
      </c>
    </row>
    <row r="879" customFormat="false" ht="63.75" hidden="false" customHeight="false" outlineLevel="0" collapsed="false">
      <c r="A879" s="37" t="s">
        <v>1822</v>
      </c>
      <c r="B879" s="34" t="s">
        <v>1823</v>
      </c>
      <c r="C879" s="34" t="s">
        <v>139</v>
      </c>
    </row>
    <row r="880" customFormat="false" ht="63.75" hidden="false" customHeight="false" outlineLevel="0" collapsed="false">
      <c r="A880" s="37" t="s">
        <v>1824</v>
      </c>
      <c r="B880" s="34" t="s">
        <v>1825</v>
      </c>
      <c r="C880" s="34" t="s">
        <v>139</v>
      </c>
    </row>
    <row r="881" customFormat="false" ht="38.25" hidden="false" customHeight="false" outlineLevel="0" collapsed="false">
      <c r="A881" s="37" t="s">
        <v>1826</v>
      </c>
      <c r="B881" s="34" t="s">
        <v>1827</v>
      </c>
      <c r="C881" s="34" t="s">
        <v>965</v>
      </c>
    </row>
    <row r="882" customFormat="false" ht="25.5" hidden="false" customHeight="false" outlineLevel="0" collapsed="false">
      <c r="A882" s="37" t="s">
        <v>1828</v>
      </c>
      <c r="B882" s="34" t="s">
        <v>1829</v>
      </c>
      <c r="C882" s="34" t="s">
        <v>965</v>
      </c>
    </row>
    <row r="883" customFormat="false" ht="89.25" hidden="false" customHeight="false" outlineLevel="0" collapsed="false">
      <c r="A883" s="37" t="n">
        <v>5330500</v>
      </c>
      <c r="B883" s="34" t="s">
        <v>1830</v>
      </c>
      <c r="C883" s="34" t="s">
        <v>1831</v>
      </c>
    </row>
    <row r="884" customFormat="false" ht="127.5" hidden="false" customHeight="false" outlineLevel="0" collapsed="false">
      <c r="A884" s="37" t="n">
        <v>5331100</v>
      </c>
      <c r="B884" s="34" t="s">
        <v>1832</v>
      </c>
      <c r="C884" s="34" t="s">
        <v>1089</v>
      </c>
    </row>
    <row r="885" customFormat="false" ht="127.5" hidden="false" customHeight="false" outlineLevel="0" collapsed="false">
      <c r="A885" s="37" t="n">
        <v>5331200</v>
      </c>
      <c r="B885" s="34" t="s">
        <v>1833</v>
      </c>
      <c r="C885" s="34" t="s">
        <v>1089</v>
      </c>
    </row>
    <row r="886" customFormat="false" ht="127.5" hidden="false" customHeight="false" outlineLevel="0" collapsed="false">
      <c r="A886" s="37" t="n">
        <v>5331500</v>
      </c>
      <c r="B886" s="34" t="s">
        <v>1834</v>
      </c>
      <c r="C886" s="34" t="s">
        <v>1835</v>
      </c>
    </row>
    <row r="887" customFormat="false" ht="127.5" hidden="false" customHeight="false" outlineLevel="0" collapsed="false">
      <c r="A887" s="37" t="n">
        <v>5332100</v>
      </c>
      <c r="B887" s="34" t="s">
        <v>1836</v>
      </c>
      <c r="C887" s="34" t="s">
        <v>1089</v>
      </c>
    </row>
    <row r="888" customFormat="false" ht="127.5" hidden="false" customHeight="false" outlineLevel="0" collapsed="false">
      <c r="A888" s="37" t="n">
        <v>5332200</v>
      </c>
      <c r="B888" s="34" t="s">
        <v>1837</v>
      </c>
      <c r="C888" s="34" t="s">
        <v>1089</v>
      </c>
    </row>
    <row r="889" customFormat="false" ht="127.5" hidden="false" customHeight="false" outlineLevel="0" collapsed="false">
      <c r="A889" s="37" t="n">
        <v>5332500</v>
      </c>
      <c r="B889" s="34" t="s">
        <v>1838</v>
      </c>
      <c r="C889" s="34" t="s">
        <v>1089</v>
      </c>
    </row>
    <row r="890" customFormat="false" ht="127.5" hidden="false" customHeight="false" outlineLevel="0" collapsed="false">
      <c r="A890" s="37" t="n">
        <v>5335500</v>
      </c>
      <c r="B890" s="34" t="s">
        <v>1839</v>
      </c>
      <c r="C890" s="34" t="s">
        <v>1089</v>
      </c>
    </row>
    <row r="891" customFormat="false" ht="127.5" hidden="false" customHeight="false" outlineLevel="0" collapsed="false">
      <c r="A891" s="37" t="n">
        <v>5336500</v>
      </c>
      <c r="B891" s="34" t="s">
        <v>1840</v>
      </c>
      <c r="C891" s="34" t="s">
        <v>1089</v>
      </c>
    </row>
    <row r="892" customFormat="false" ht="127.5" hidden="false" customHeight="false" outlineLevel="0" collapsed="false">
      <c r="A892" s="37" t="n">
        <v>5337500</v>
      </c>
      <c r="B892" s="34" t="s">
        <v>1841</v>
      </c>
      <c r="C892" s="34" t="s">
        <v>1089</v>
      </c>
    </row>
    <row r="893" customFormat="false" ht="127.5" hidden="false" customHeight="false" outlineLevel="0" collapsed="false">
      <c r="A893" s="37" t="s">
        <v>1842</v>
      </c>
      <c r="B893" s="34" t="s">
        <v>1843</v>
      </c>
      <c r="C893" s="34" t="s">
        <v>1089</v>
      </c>
    </row>
    <row r="894" customFormat="false" ht="127.5" hidden="false" customHeight="false" outlineLevel="0" collapsed="false">
      <c r="A894" s="37" t="s">
        <v>1844</v>
      </c>
      <c r="B894" s="34" t="s">
        <v>1845</v>
      </c>
      <c r="C894" s="34" t="s">
        <v>1846</v>
      </c>
    </row>
    <row r="895" customFormat="false" ht="127.5" hidden="false" customHeight="false" outlineLevel="0" collapsed="false">
      <c r="A895" s="37" t="s">
        <v>1847</v>
      </c>
      <c r="B895" s="34" t="s">
        <v>1848</v>
      </c>
      <c r="C895" s="34" t="s">
        <v>1846</v>
      </c>
    </row>
    <row r="896" customFormat="false" ht="102" hidden="false" customHeight="false" outlineLevel="0" collapsed="false">
      <c r="A896" s="37" t="s">
        <v>1849</v>
      </c>
      <c r="B896" s="34" t="s">
        <v>1850</v>
      </c>
      <c r="C896" s="34" t="s">
        <v>1851</v>
      </c>
    </row>
    <row r="897" customFormat="false" ht="102" hidden="false" customHeight="false" outlineLevel="0" collapsed="false">
      <c r="A897" s="37" t="s">
        <v>1852</v>
      </c>
      <c r="B897" s="34" t="s">
        <v>1853</v>
      </c>
      <c r="C897" s="34" t="s">
        <v>1851</v>
      </c>
    </row>
    <row r="898" customFormat="false" ht="76.5" hidden="false" customHeight="false" outlineLevel="0" collapsed="false">
      <c r="A898" s="37" t="s">
        <v>1854</v>
      </c>
      <c r="B898" s="34" t="s">
        <v>1855</v>
      </c>
      <c r="C898" s="34" t="s">
        <v>1856</v>
      </c>
    </row>
    <row r="899" customFormat="false" ht="63.75" hidden="false" customHeight="false" outlineLevel="0" collapsed="false">
      <c r="A899" s="37" t="s">
        <v>1857</v>
      </c>
      <c r="B899" s="34" t="s">
        <v>1858</v>
      </c>
      <c r="C899" s="34" t="s">
        <v>1859</v>
      </c>
    </row>
    <row r="900" customFormat="false" ht="102" hidden="false" customHeight="false" outlineLevel="0" collapsed="false">
      <c r="A900" s="37" t="s">
        <v>1860</v>
      </c>
      <c r="B900" s="34" t="s">
        <v>1861</v>
      </c>
      <c r="C900" s="34" t="s">
        <v>265</v>
      </c>
    </row>
    <row r="901" customFormat="false" ht="102" hidden="false" customHeight="false" outlineLevel="0" collapsed="false">
      <c r="A901" s="37" t="s">
        <v>1862</v>
      </c>
      <c r="B901" s="34" t="s">
        <v>1863</v>
      </c>
      <c r="C901" s="34" t="s">
        <v>265</v>
      </c>
    </row>
    <row r="902" customFormat="false" ht="102" hidden="false" customHeight="false" outlineLevel="0" collapsed="false">
      <c r="A902" s="37" t="s">
        <v>1864</v>
      </c>
      <c r="B902" s="34" t="s">
        <v>1865</v>
      </c>
      <c r="C902" s="34" t="s">
        <v>1866</v>
      </c>
    </row>
    <row r="903" customFormat="false" ht="102" hidden="false" customHeight="false" outlineLevel="0" collapsed="false">
      <c r="A903" s="37" t="s">
        <v>1867</v>
      </c>
      <c r="B903" s="34" t="s">
        <v>1868</v>
      </c>
      <c r="C903" s="34" t="s">
        <v>1866</v>
      </c>
    </row>
    <row r="904" customFormat="false" ht="102" hidden="false" customHeight="false" outlineLevel="0" collapsed="false">
      <c r="A904" s="37" t="s">
        <v>1869</v>
      </c>
      <c r="B904" s="34" t="s">
        <v>1870</v>
      </c>
      <c r="C904" s="34" t="s">
        <v>1851</v>
      </c>
    </row>
    <row r="905" customFormat="false" ht="89.25" hidden="false" customHeight="false" outlineLevel="0" collapsed="false">
      <c r="A905" s="37" t="s">
        <v>1871</v>
      </c>
      <c r="B905" s="34" t="s">
        <v>1872</v>
      </c>
      <c r="C905" s="34" t="s">
        <v>254</v>
      </c>
    </row>
    <row r="906" customFormat="false" ht="127.5" hidden="false" customHeight="false" outlineLevel="0" collapsed="false">
      <c r="A906" s="37" t="s">
        <v>1873</v>
      </c>
      <c r="B906" s="34" t="s">
        <v>1874</v>
      </c>
      <c r="C906" s="34" t="s">
        <v>274</v>
      </c>
    </row>
    <row r="907" customFormat="false" ht="89.25" hidden="false" customHeight="false" outlineLevel="0" collapsed="false">
      <c r="A907" s="37" t="s">
        <v>1875</v>
      </c>
      <c r="B907" s="34" t="s">
        <v>1876</v>
      </c>
      <c r="C907" s="34" t="s">
        <v>1877</v>
      </c>
    </row>
    <row r="908" customFormat="false" ht="63.75" hidden="false" customHeight="false" outlineLevel="0" collapsed="false">
      <c r="A908" s="37" t="s">
        <v>1878</v>
      </c>
      <c r="B908" s="34" t="s">
        <v>1879</v>
      </c>
      <c r="C908" s="34" t="s">
        <v>139</v>
      </c>
    </row>
    <row r="909" customFormat="false" ht="63.75" hidden="false" customHeight="false" outlineLevel="0" collapsed="false">
      <c r="A909" s="37" t="s">
        <v>1880</v>
      </c>
      <c r="B909" s="34" t="s">
        <v>1881</v>
      </c>
      <c r="C909" s="34" t="s">
        <v>139</v>
      </c>
    </row>
    <row r="910" customFormat="false" ht="63.75" hidden="false" customHeight="false" outlineLevel="0" collapsed="false">
      <c r="A910" s="37" t="s">
        <v>1882</v>
      </c>
      <c r="B910" s="34" t="s">
        <v>1883</v>
      </c>
      <c r="C910" s="34" t="s">
        <v>139</v>
      </c>
    </row>
    <row r="911" customFormat="false" ht="38.25" hidden="false" customHeight="false" outlineLevel="0" collapsed="false">
      <c r="A911" s="37" t="s">
        <v>1884</v>
      </c>
      <c r="B911" s="34" t="s">
        <v>1885</v>
      </c>
      <c r="C911" s="34" t="s">
        <v>965</v>
      </c>
    </row>
    <row r="912" customFormat="false" ht="25.5" hidden="false" customHeight="false" outlineLevel="0" collapsed="false">
      <c r="A912" s="37" t="s">
        <v>1886</v>
      </c>
      <c r="B912" s="34" t="s">
        <v>1887</v>
      </c>
      <c r="C912" s="34" t="s">
        <v>965</v>
      </c>
    </row>
    <row r="913" customFormat="false" ht="89.25" hidden="false" customHeight="false" outlineLevel="0" collapsed="false">
      <c r="A913" s="37" t="n">
        <v>5340500</v>
      </c>
      <c r="B913" s="34" t="s">
        <v>1888</v>
      </c>
      <c r="C913" s="34" t="s">
        <v>1889</v>
      </c>
    </row>
    <row r="914" customFormat="false" ht="127.5" hidden="false" customHeight="false" outlineLevel="0" collapsed="false">
      <c r="A914" s="37" t="n">
        <v>5341100</v>
      </c>
      <c r="B914" s="34" t="s">
        <v>1890</v>
      </c>
      <c r="C914" s="34" t="s">
        <v>1099</v>
      </c>
    </row>
    <row r="915" customFormat="false" ht="127.5" hidden="false" customHeight="false" outlineLevel="0" collapsed="false">
      <c r="A915" s="37" t="n">
        <v>5341200</v>
      </c>
      <c r="B915" s="34" t="s">
        <v>1891</v>
      </c>
      <c r="C915" s="34" t="s">
        <v>1099</v>
      </c>
    </row>
    <row r="916" customFormat="false" ht="127.5" hidden="false" customHeight="false" outlineLevel="0" collapsed="false">
      <c r="A916" s="37" t="n">
        <v>5341500</v>
      </c>
      <c r="B916" s="34" t="s">
        <v>1892</v>
      </c>
      <c r="C916" s="34" t="s">
        <v>1893</v>
      </c>
    </row>
    <row r="917" customFormat="false" ht="127.5" hidden="false" customHeight="false" outlineLevel="0" collapsed="false">
      <c r="A917" s="37" t="n">
        <v>5342100</v>
      </c>
      <c r="B917" s="34" t="s">
        <v>1894</v>
      </c>
      <c r="C917" s="34" t="s">
        <v>1099</v>
      </c>
    </row>
    <row r="918" customFormat="false" ht="127.5" hidden="false" customHeight="false" outlineLevel="0" collapsed="false">
      <c r="A918" s="37" t="n">
        <v>5342200</v>
      </c>
      <c r="B918" s="34" t="s">
        <v>1895</v>
      </c>
      <c r="C918" s="34" t="s">
        <v>1099</v>
      </c>
    </row>
    <row r="919" customFormat="false" ht="127.5" hidden="false" customHeight="false" outlineLevel="0" collapsed="false">
      <c r="A919" s="37" t="n">
        <v>5342500</v>
      </c>
      <c r="B919" s="34" t="s">
        <v>1896</v>
      </c>
      <c r="C919" s="34" t="s">
        <v>1099</v>
      </c>
    </row>
    <row r="920" customFormat="false" ht="127.5" hidden="false" customHeight="false" outlineLevel="0" collapsed="false">
      <c r="A920" s="37" t="n">
        <v>5345500</v>
      </c>
      <c r="B920" s="34" t="s">
        <v>1897</v>
      </c>
      <c r="C920" s="34" t="s">
        <v>1099</v>
      </c>
    </row>
    <row r="921" customFormat="false" ht="127.5" hidden="false" customHeight="false" outlineLevel="0" collapsed="false">
      <c r="A921" s="37" t="n">
        <v>5346500</v>
      </c>
      <c r="B921" s="34" t="s">
        <v>1898</v>
      </c>
      <c r="C921" s="34" t="s">
        <v>1099</v>
      </c>
    </row>
    <row r="922" customFormat="false" ht="127.5" hidden="false" customHeight="false" outlineLevel="0" collapsed="false">
      <c r="A922" s="37" t="n">
        <v>5347500</v>
      </c>
      <c r="B922" s="34" t="s">
        <v>1899</v>
      </c>
      <c r="C922" s="34" t="s">
        <v>1099</v>
      </c>
    </row>
    <row r="923" customFormat="false" ht="127.5" hidden="false" customHeight="false" outlineLevel="0" collapsed="false">
      <c r="A923" s="37" t="s">
        <v>1900</v>
      </c>
      <c r="B923" s="34" t="s">
        <v>1901</v>
      </c>
      <c r="C923" s="34" t="s">
        <v>1099</v>
      </c>
    </row>
    <row r="924" customFormat="false" ht="127.5" hidden="false" customHeight="false" outlineLevel="0" collapsed="false">
      <c r="A924" s="37" t="s">
        <v>1902</v>
      </c>
      <c r="B924" s="34" t="s">
        <v>1903</v>
      </c>
      <c r="C924" s="34" t="s">
        <v>1904</v>
      </c>
    </row>
    <row r="925" customFormat="false" ht="127.5" hidden="false" customHeight="false" outlineLevel="0" collapsed="false">
      <c r="A925" s="37" t="s">
        <v>1905</v>
      </c>
      <c r="B925" s="34" t="s">
        <v>1906</v>
      </c>
      <c r="C925" s="34" t="s">
        <v>1904</v>
      </c>
    </row>
    <row r="926" customFormat="false" ht="102" hidden="false" customHeight="false" outlineLevel="0" collapsed="false">
      <c r="A926" s="37" t="s">
        <v>1907</v>
      </c>
      <c r="B926" s="34" t="s">
        <v>1908</v>
      </c>
      <c r="C926" s="34" t="s">
        <v>1909</v>
      </c>
    </row>
    <row r="927" customFormat="false" ht="102" hidden="false" customHeight="false" outlineLevel="0" collapsed="false">
      <c r="A927" s="37" t="s">
        <v>1910</v>
      </c>
      <c r="B927" s="34" t="s">
        <v>1911</v>
      </c>
      <c r="C927" s="34" t="s">
        <v>1909</v>
      </c>
    </row>
    <row r="928" customFormat="false" ht="76.5" hidden="false" customHeight="false" outlineLevel="0" collapsed="false">
      <c r="A928" s="37" t="s">
        <v>1912</v>
      </c>
      <c r="B928" s="34" t="s">
        <v>1913</v>
      </c>
      <c r="C928" s="34" t="s">
        <v>1914</v>
      </c>
    </row>
    <row r="929" customFormat="false" ht="63.75" hidden="false" customHeight="false" outlineLevel="0" collapsed="false">
      <c r="A929" s="37" t="s">
        <v>1915</v>
      </c>
      <c r="B929" s="34" t="s">
        <v>1916</v>
      </c>
      <c r="C929" s="34" t="s">
        <v>1917</v>
      </c>
    </row>
    <row r="930" customFormat="false" ht="102" hidden="false" customHeight="false" outlineLevel="0" collapsed="false">
      <c r="A930" s="37" t="s">
        <v>1918</v>
      </c>
      <c r="B930" s="34" t="s">
        <v>1919</v>
      </c>
      <c r="C930" s="34" t="s">
        <v>309</v>
      </c>
    </row>
    <row r="931" customFormat="false" ht="102" hidden="false" customHeight="false" outlineLevel="0" collapsed="false">
      <c r="A931" s="37" t="s">
        <v>1920</v>
      </c>
      <c r="B931" s="34" t="s">
        <v>1921</v>
      </c>
      <c r="C931" s="34" t="s">
        <v>309</v>
      </c>
    </row>
    <row r="932" customFormat="false" ht="102" hidden="false" customHeight="false" outlineLevel="0" collapsed="false">
      <c r="A932" s="37" t="s">
        <v>1922</v>
      </c>
      <c r="B932" s="34" t="s">
        <v>1923</v>
      </c>
      <c r="C932" s="34" t="s">
        <v>1924</v>
      </c>
    </row>
    <row r="933" customFormat="false" ht="102" hidden="false" customHeight="false" outlineLevel="0" collapsed="false">
      <c r="A933" s="37" t="s">
        <v>1925</v>
      </c>
      <c r="B933" s="34" t="s">
        <v>1926</v>
      </c>
      <c r="C933" s="34" t="s">
        <v>1924</v>
      </c>
    </row>
    <row r="934" customFormat="false" ht="102" hidden="false" customHeight="false" outlineLevel="0" collapsed="false">
      <c r="A934" s="37" t="s">
        <v>1927</v>
      </c>
      <c r="B934" s="34" t="s">
        <v>1928</v>
      </c>
      <c r="C934" s="34" t="s">
        <v>1909</v>
      </c>
    </row>
    <row r="935" customFormat="false" ht="89.25" hidden="false" customHeight="false" outlineLevel="0" collapsed="false">
      <c r="A935" s="37" t="s">
        <v>1929</v>
      </c>
      <c r="B935" s="34" t="s">
        <v>1930</v>
      </c>
      <c r="C935" s="34" t="s">
        <v>298</v>
      </c>
    </row>
    <row r="936" customFormat="false" ht="127.5" hidden="false" customHeight="false" outlineLevel="0" collapsed="false">
      <c r="A936" s="37" t="s">
        <v>1931</v>
      </c>
      <c r="B936" s="34" t="s">
        <v>1932</v>
      </c>
      <c r="C936" s="34" t="s">
        <v>318</v>
      </c>
    </row>
    <row r="937" customFormat="false" ht="89.25" hidden="false" customHeight="false" outlineLevel="0" collapsed="false">
      <c r="A937" s="37" t="s">
        <v>1933</v>
      </c>
      <c r="B937" s="34" t="s">
        <v>1934</v>
      </c>
      <c r="C937" s="34" t="s">
        <v>1935</v>
      </c>
    </row>
    <row r="938" customFormat="false" ht="63.75" hidden="false" customHeight="false" outlineLevel="0" collapsed="false">
      <c r="A938" s="37" t="s">
        <v>1936</v>
      </c>
      <c r="B938" s="34" t="s">
        <v>1937</v>
      </c>
      <c r="C938" s="34" t="s">
        <v>139</v>
      </c>
    </row>
    <row r="939" customFormat="false" ht="63.75" hidden="false" customHeight="false" outlineLevel="0" collapsed="false">
      <c r="A939" s="37" t="s">
        <v>1938</v>
      </c>
      <c r="B939" s="34" t="s">
        <v>1939</v>
      </c>
      <c r="C939" s="34" t="s">
        <v>139</v>
      </c>
    </row>
    <row r="940" customFormat="false" ht="63.75" hidden="false" customHeight="false" outlineLevel="0" collapsed="false">
      <c r="A940" s="37" t="s">
        <v>1940</v>
      </c>
      <c r="B940" s="34" t="s">
        <v>1941</v>
      </c>
      <c r="C940" s="34" t="s">
        <v>139</v>
      </c>
    </row>
    <row r="941" customFormat="false" ht="38.25" hidden="false" customHeight="false" outlineLevel="0" collapsed="false">
      <c r="A941" s="37" t="s">
        <v>1942</v>
      </c>
      <c r="B941" s="34" t="s">
        <v>1943</v>
      </c>
      <c r="C941" s="34" t="s">
        <v>965</v>
      </c>
    </row>
    <row r="942" customFormat="false" ht="25.5" hidden="false" customHeight="false" outlineLevel="0" collapsed="false">
      <c r="A942" s="37" t="s">
        <v>1944</v>
      </c>
      <c r="B942" s="34" t="s">
        <v>1945</v>
      </c>
      <c r="C942" s="34" t="s">
        <v>965</v>
      </c>
    </row>
    <row r="943" customFormat="false" ht="89.25" hidden="false" customHeight="false" outlineLevel="0" collapsed="false">
      <c r="A943" s="37" t="s">
        <v>1946</v>
      </c>
      <c r="B943" s="34" t="s">
        <v>1947</v>
      </c>
      <c r="C943" s="34" t="s">
        <v>1948</v>
      </c>
    </row>
    <row r="944" customFormat="false" ht="127.5" hidden="false" customHeight="false" outlineLevel="0" collapsed="false">
      <c r="A944" s="37" t="s">
        <v>1949</v>
      </c>
      <c r="B944" s="34" t="s">
        <v>1950</v>
      </c>
      <c r="C944" s="34" t="s">
        <v>1108</v>
      </c>
    </row>
    <row r="945" customFormat="false" ht="127.5" hidden="false" customHeight="false" outlineLevel="0" collapsed="false">
      <c r="A945" s="37" t="n">
        <v>5351200</v>
      </c>
      <c r="B945" s="34" t="s">
        <v>1951</v>
      </c>
      <c r="C945" s="34" t="s">
        <v>1108</v>
      </c>
    </row>
    <row r="946" customFormat="false" ht="127.5" hidden="false" customHeight="false" outlineLevel="0" collapsed="false">
      <c r="A946" s="37" t="n">
        <v>5351500</v>
      </c>
      <c r="B946" s="34" t="s">
        <v>1952</v>
      </c>
      <c r="C946" s="34" t="s">
        <v>1953</v>
      </c>
    </row>
    <row r="947" customFormat="false" ht="127.5" hidden="false" customHeight="false" outlineLevel="0" collapsed="false">
      <c r="A947" s="37" t="s">
        <v>1954</v>
      </c>
      <c r="B947" s="34" t="s">
        <v>1955</v>
      </c>
      <c r="C947" s="34" t="s">
        <v>1108</v>
      </c>
    </row>
    <row r="948" customFormat="false" ht="127.5" hidden="false" customHeight="false" outlineLevel="0" collapsed="false">
      <c r="A948" s="37" t="s">
        <v>1956</v>
      </c>
      <c r="B948" s="34" t="s">
        <v>1957</v>
      </c>
      <c r="C948" s="34" t="s">
        <v>1108</v>
      </c>
    </row>
    <row r="949" customFormat="false" ht="127.5" hidden="false" customHeight="false" outlineLevel="0" collapsed="false">
      <c r="A949" s="37" t="n">
        <v>5352500</v>
      </c>
      <c r="B949" s="34" t="s">
        <v>1958</v>
      </c>
      <c r="C949" s="34" t="s">
        <v>1108</v>
      </c>
    </row>
    <row r="950" customFormat="false" ht="127.5" hidden="false" customHeight="false" outlineLevel="0" collapsed="false">
      <c r="A950" s="37" t="n">
        <v>5355500</v>
      </c>
      <c r="B950" s="34" t="s">
        <v>1959</v>
      </c>
      <c r="C950" s="34" t="s">
        <v>1108</v>
      </c>
    </row>
    <row r="951" customFormat="false" ht="127.5" hidden="false" customHeight="false" outlineLevel="0" collapsed="false">
      <c r="A951" s="37" t="s">
        <v>1960</v>
      </c>
      <c r="B951" s="34" t="s">
        <v>1961</v>
      </c>
      <c r="C951" s="34" t="s">
        <v>1108</v>
      </c>
    </row>
    <row r="952" customFormat="false" ht="127.5" hidden="false" customHeight="false" outlineLevel="0" collapsed="false">
      <c r="A952" s="37" t="n">
        <v>5357500</v>
      </c>
      <c r="B952" s="34" t="s">
        <v>1962</v>
      </c>
      <c r="C952" s="34" t="s">
        <v>1108</v>
      </c>
    </row>
    <row r="953" customFormat="false" ht="127.5" hidden="false" customHeight="false" outlineLevel="0" collapsed="false">
      <c r="A953" s="37" t="s">
        <v>1963</v>
      </c>
      <c r="B953" s="34" t="s">
        <v>1964</v>
      </c>
      <c r="C953" s="34" t="s">
        <v>1108</v>
      </c>
    </row>
    <row r="954" customFormat="false" ht="127.5" hidden="false" customHeight="false" outlineLevel="0" collapsed="false">
      <c r="A954" s="37" t="s">
        <v>1965</v>
      </c>
      <c r="B954" s="34" t="s">
        <v>1966</v>
      </c>
      <c r="C954" s="34" t="s">
        <v>1967</v>
      </c>
    </row>
    <row r="955" customFormat="false" ht="127.5" hidden="false" customHeight="false" outlineLevel="0" collapsed="false">
      <c r="A955" s="37" t="s">
        <v>1968</v>
      </c>
      <c r="B955" s="34" t="s">
        <v>1969</v>
      </c>
      <c r="C955" s="34" t="s">
        <v>1967</v>
      </c>
    </row>
    <row r="956" customFormat="false" ht="102" hidden="false" customHeight="false" outlineLevel="0" collapsed="false">
      <c r="A956" s="37" t="s">
        <v>1970</v>
      </c>
      <c r="B956" s="34" t="s">
        <v>1971</v>
      </c>
      <c r="C956" s="34" t="s">
        <v>1972</v>
      </c>
    </row>
    <row r="957" customFormat="false" ht="102" hidden="false" customHeight="false" outlineLevel="0" collapsed="false">
      <c r="A957" s="37" t="s">
        <v>1973</v>
      </c>
      <c r="B957" s="34" t="s">
        <v>1974</v>
      </c>
      <c r="C957" s="34" t="s">
        <v>1972</v>
      </c>
    </row>
    <row r="958" customFormat="false" ht="76.5" hidden="false" customHeight="false" outlineLevel="0" collapsed="false">
      <c r="A958" s="37" t="s">
        <v>1975</v>
      </c>
      <c r="B958" s="34" t="s">
        <v>1976</v>
      </c>
      <c r="C958" s="34" t="s">
        <v>1977</v>
      </c>
    </row>
    <row r="959" customFormat="false" ht="63.75" hidden="false" customHeight="false" outlineLevel="0" collapsed="false">
      <c r="A959" s="37" t="s">
        <v>1978</v>
      </c>
      <c r="B959" s="34" t="s">
        <v>1979</v>
      </c>
      <c r="C959" s="34" t="s">
        <v>1980</v>
      </c>
    </row>
    <row r="960" customFormat="false" ht="102" hidden="false" customHeight="false" outlineLevel="0" collapsed="false">
      <c r="A960" s="37" t="s">
        <v>1981</v>
      </c>
      <c r="B960" s="34" t="s">
        <v>1982</v>
      </c>
      <c r="C960" s="34" t="s">
        <v>351</v>
      </c>
    </row>
    <row r="961" customFormat="false" ht="102" hidden="false" customHeight="false" outlineLevel="0" collapsed="false">
      <c r="A961" s="37" t="s">
        <v>1983</v>
      </c>
      <c r="B961" s="34" t="s">
        <v>1984</v>
      </c>
      <c r="C961" s="34" t="s">
        <v>351</v>
      </c>
    </row>
    <row r="962" customFormat="false" ht="102" hidden="false" customHeight="false" outlineLevel="0" collapsed="false">
      <c r="A962" s="37" t="s">
        <v>1985</v>
      </c>
      <c r="B962" s="34" t="s">
        <v>1986</v>
      </c>
      <c r="C962" s="34" t="s">
        <v>1987</v>
      </c>
    </row>
    <row r="963" customFormat="false" ht="102" hidden="false" customHeight="false" outlineLevel="0" collapsed="false">
      <c r="A963" s="37" t="s">
        <v>1988</v>
      </c>
      <c r="B963" s="34" t="s">
        <v>1989</v>
      </c>
      <c r="C963" s="34" t="s">
        <v>1987</v>
      </c>
    </row>
    <row r="964" customFormat="false" ht="102" hidden="false" customHeight="false" outlineLevel="0" collapsed="false">
      <c r="A964" s="37" t="s">
        <v>1990</v>
      </c>
      <c r="B964" s="34" t="s">
        <v>1991</v>
      </c>
      <c r="C964" s="34" t="s">
        <v>1972</v>
      </c>
    </row>
    <row r="965" customFormat="false" ht="89.25" hidden="false" customHeight="false" outlineLevel="0" collapsed="false">
      <c r="A965" s="37" t="s">
        <v>1992</v>
      </c>
      <c r="B965" s="34" t="s">
        <v>1993</v>
      </c>
      <c r="C965" s="34" t="s">
        <v>340</v>
      </c>
    </row>
    <row r="966" customFormat="false" ht="127.5" hidden="false" customHeight="false" outlineLevel="0" collapsed="false">
      <c r="A966" s="37" t="s">
        <v>1994</v>
      </c>
      <c r="B966" s="34" t="s">
        <v>1995</v>
      </c>
      <c r="C966" s="34" t="s">
        <v>360</v>
      </c>
    </row>
    <row r="967" customFormat="false" ht="89.25" hidden="false" customHeight="false" outlineLevel="0" collapsed="false">
      <c r="A967" s="37" t="s">
        <v>1996</v>
      </c>
      <c r="B967" s="34" t="s">
        <v>1997</v>
      </c>
      <c r="C967" s="34" t="s">
        <v>1998</v>
      </c>
    </row>
    <row r="968" customFormat="false" ht="63.75" hidden="false" customHeight="false" outlineLevel="0" collapsed="false">
      <c r="A968" s="37" t="s">
        <v>1999</v>
      </c>
      <c r="B968" s="34" t="s">
        <v>2000</v>
      </c>
      <c r="C968" s="34" t="s">
        <v>139</v>
      </c>
    </row>
    <row r="969" customFormat="false" ht="63.75" hidden="false" customHeight="false" outlineLevel="0" collapsed="false">
      <c r="A969" s="37" t="s">
        <v>2001</v>
      </c>
      <c r="B969" s="34" t="s">
        <v>2002</v>
      </c>
      <c r="C969" s="34" t="s">
        <v>139</v>
      </c>
    </row>
    <row r="970" customFormat="false" ht="63.75" hidden="false" customHeight="false" outlineLevel="0" collapsed="false">
      <c r="A970" s="37" t="s">
        <v>2003</v>
      </c>
      <c r="B970" s="34" t="s">
        <v>2004</v>
      </c>
      <c r="C970" s="34" t="s">
        <v>139</v>
      </c>
    </row>
    <row r="971" customFormat="false" ht="38.25" hidden="false" customHeight="false" outlineLevel="0" collapsed="false">
      <c r="A971" s="37" t="s">
        <v>2005</v>
      </c>
      <c r="B971" s="34" t="s">
        <v>2006</v>
      </c>
      <c r="C971" s="34" t="s">
        <v>965</v>
      </c>
    </row>
    <row r="972" customFormat="false" ht="25.5" hidden="false" customHeight="false" outlineLevel="0" collapsed="false">
      <c r="A972" s="37" t="s">
        <v>2007</v>
      </c>
      <c r="B972" s="34" t="s">
        <v>2008</v>
      </c>
      <c r="C972" s="34" t="s">
        <v>965</v>
      </c>
    </row>
    <row r="973" customFormat="false" ht="63.75" hidden="false" customHeight="false" outlineLevel="0" collapsed="false">
      <c r="A973" s="37" t="s">
        <v>2009</v>
      </c>
      <c r="B973" s="34" t="s">
        <v>2010</v>
      </c>
      <c r="C973" s="34" t="s">
        <v>139</v>
      </c>
    </row>
    <row r="974" customFormat="false" ht="63.75" hidden="false" customHeight="false" outlineLevel="0" collapsed="false">
      <c r="A974" s="37" t="s">
        <v>2011</v>
      </c>
      <c r="B974" s="34" t="s">
        <v>2012</v>
      </c>
      <c r="C974" s="34" t="s">
        <v>139</v>
      </c>
    </row>
    <row r="975" customFormat="false" ht="63.75" hidden="false" customHeight="false" outlineLevel="0" collapsed="false">
      <c r="A975" s="37" t="s">
        <v>2013</v>
      </c>
      <c r="B975" s="34" t="s">
        <v>2014</v>
      </c>
      <c r="C975" s="34" t="s">
        <v>139</v>
      </c>
    </row>
    <row r="976" customFormat="false" ht="89.25" hidden="false" customHeight="false" outlineLevel="0" collapsed="false">
      <c r="A976" s="37" t="n">
        <v>5371300</v>
      </c>
      <c r="B976" s="34" t="s">
        <v>2015</v>
      </c>
      <c r="C976" s="34" t="s">
        <v>122</v>
      </c>
    </row>
    <row r="977" customFormat="false" ht="89.25" hidden="false" customHeight="false" outlineLevel="0" collapsed="false">
      <c r="A977" s="37" t="n">
        <v>5372100</v>
      </c>
      <c r="B977" s="34" t="s">
        <v>2016</v>
      </c>
      <c r="C977" s="34" t="s">
        <v>122</v>
      </c>
    </row>
    <row r="978" customFormat="false" ht="89.25" hidden="false" customHeight="false" outlineLevel="0" collapsed="false">
      <c r="A978" s="37" t="n">
        <v>5372200</v>
      </c>
      <c r="B978" s="34" t="s">
        <v>2017</v>
      </c>
      <c r="C978" s="34" t="s">
        <v>122</v>
      </c>
    </row>
    <row r="979" customFormat="false" ht="89.25" hidden="false" customHeight="false" outlineLevel="0" collapsed="false">
      <c r="A979" s="37" t="n">
        <v>5372300</v>
      </c>
      <c r="B979" s="34" t="s">
        <v>2018</v>
      </c>
      <c r="C979" s="34" t="s">
        <v>122</v>
      </c>
    </row>
    <row r="980" customFormat="false" ht="89.25" hidden="false" customHeight="false" outlineLevel="0" collapsed="false">
      <c r="A980" s="37" t="s">
        <v>2019</v>
      </c>
      <c r="B980" s="34" t="s">
        <v>2020</v>
      </c>
      <c r="C980" s="34" t="s">
        <v>122</v>
      </c>
    </row>
    <row r="981" customFormat="false" ht="51" hidden="false" customHeight="false" outlineLevel="0" collapsed="false">
      <c r="A981" s="37" t="s">
        <v>2021</v>
      </c>
      <c r="B981" s="34" t="s">
        <v>2022</v>
      </c>
      <c r="C981" s="34" t="s">
        <v>437</v>
      </c>
    </row>
    <row r="982" customFormat="false" ht="51" hidden="false" customHeight="false" outlineLevel="0" collapsed="false">
      <c r="A982" s="37" t="s">
        <v>2023</v>
      </c>
      <c r="B982" s="34" t="s">
        <v>439</v>
      </c>
      <c r="C982" s="34" t="s">
        <v>437</v>
      </c>
    </row>
    <row r="983" customFormat="false" ht="51" hidden="false" customHeight="false" outlineLevel="0" collapsed="false">
      <c r="A983" s="37" t="s">
        <v>2024</v>
      </c>
      <c r="B983" s="34" t="s">
        <v>2025</v>
      </c>
      <c r="C983" s="34" t="s">
        <v>437</v>
      </c>
    </row>
    <row r="984" customFormat="false" ht="89.25" hidden="false" customHeight="false" outlineLevel="0" collapsed="false">
      <c r="A984" s="37" t="s">
        <v>2026</v>
      </c>
      <c r="B984" s="34" t="s">
        <v>2027</v>
      </c>
      <c r="C984" s="34" t="s">
        <v>444</v>
      </c>
    </row>
    <row r="985" customFormat="false" ht="89.25" hidden="false" customHeight="false" outlineLevel="0" collapsed="false">
      <c r="A985" s="37" t="s">
        <v>2028</v>
      </c>
      <c r="B985" s="34" t="s">
        <v>2029</v>
      </c>
      <c r="C985" s="34" t="s">
        <v>444</v>
      </c>
    </row>
    <row r="986" customFormat="false" ht="89.25" hidden="false" customHeight="false" outlineLevel="0" collapsed="false">
      <c r="A986" s="37" t="s">
        <v>2030</v>
      </c>
      <c r="B986" s="34" t="s">
        <v>2031</v>
      </c>
      <c r="C986" s="34" t="s">
        <v>449</v>
      </c>
    </row>
    <row r="987" customFormat="false" ht="63.75" hidden="false" customHeight="false" outlineLevel="0" collapsed="false">
      <c r="A987" s="37" t="s">
        <v>2032</v>
      </c>
      <c r="B987" s="34" t="s">
        <v>2033</v>
      </c>
      <c r="C987" s="34" t="s">
        <v>452</v>
      </c>
    </row>
    <row r="988" customFormat="false" ht="76.5" hidden="false" customHeight="false" outlineLevel="0" collapsed="false">
      <c r="A988" s="37" t="s">
        <v>2034</v>
      </c>
      <c r="B988" s="34" t="s">
        <v>2035</v>
      </c>
      <c r="C988" s="34" t="s">
        <v>2036</v>
      </c>
    </row>
    <row r="989" customFormat="false" ht="25.5" hidden="false" customHeight="false" outlineLevel="0" collapsed="false">
      <c r="A989" s="37" t="s">
        <v>2037</v>
      </c>
      <c r="B989" s="34" t="s">
        <v>2038</v>
      </c>
      <c r="C989" s="34" t="s">
        <v>965</v>
      </c>
    </row>
    <row r="990" customFormat="false" ht="63.75" hidden="false" customHeight="false" outlineLevel="0" collapsed="false">
      <c r="A990" s="37" t="s">
        <v>2039</v>
      </c>
      <c r="B990" s="34" t="s">
        <v>2040</v>
      </c>
      <c r="C990" s="34" t="s">
        <v>139</v>
      </c>
    </row>
    <row r="991" customFormat="false" ht="63.75" hidden="false" customHeight="false" outlineLevel="0" collapsed="false">
      <c r="A991" s="37" t="s">
        <v>2041</v>
      </c>
      <c r="B991" s="34" t="s">
        <v>2042</v>
      </c>
      <c r="C991" s="34" t="s">
        <v>139</v>
      </c>
    </row>
    <row r="992" customFormat="false" ht="63.75" hidden="false" customHeight="false" outlineLevel="0" collapsed="false">
      <c r="A992" s="37" t="s">
        <v>2043</v>
      </c>
      <c r="B992" s="34" t="s">
        <v>2044</v>
      </c>
      <c r="C992" s="34" t="s">
        <v>139</v>
      </c>
    </row>
    <row r="993" customFormat="false" ht="38.25" hidden="false" customHeight="false" outlineLevel="0" collapsed="false">
      <c r="A993" s="37" t="s">
        <v>2045</v>
      </c>
      <c r="B993" s="34" t="s">
        <v>2046</v>
      </c>
      <c r="C993" s="34" t="s">
        <v>463</v>
      </c>
    </row>
    <row r="994" customFormat="false" ht="38.25" hidden="false" customHeight="false" outlineLevel="0" collapsed="false">
      <c r="A994" s="37" t="s">
        <v>2047</v>
      </c>
      <c r="B994" s="34" t="s">
        <v>2048</v>
      </c>
      <c r="C994" s="34" t="s">
        <v>466</v>
      </c>
    </row>
    <row r="995" customFormat="false" ht="38.25" hidden="false" customHeight="false" outlineLevel="0" collapsed="false">
      <c r="A995" s="37" t="s">
        <v>2049</v>
      </c>
      <c r="B995" s="34" t="s">
        <v>2050</v>
      </c>
      <c r="C995" s="34" t="s">
        <v>469</v>
      </c>
    </row>
    <row r="996" customFormat="false" ht="38.25" hidden="false" customHeight="false" outlineLevel="0" collapsed="false">
      <c r="A996" s="37" t="s">
        <v>2051</v>
      </c>
      <c r="B996" s="34" t="s">
        <v>2052</v>
      </c>
      <c r="C996" s="34" t="s">
        <v>472</v>
      </c>
    </row>
    <row r="997" customFormat="false" ht="38.25" hidden="false" customHeight="false" outlineLevel="0" collapsed="false">
      <c r="A997" s="37" t="s">
        <v>2053</v>
      </c>
      <c r="B997" s="34" t="s">
        <v>2054</v>
      </c>
      <c r="C997" s="34" t="s">
        <v>475</v>
      </c>
    </row>
    <row r="998" customFormat="false" ht="38.25" hidden="false" customHeight="false" outlineLevel="0" collapsed="false">
      <c r="A998" s="37" t="s">
        <v>2055</v>
      </c>
      <c r="B998" s="34" t="s">
        <v>2056</v>
      </c>
      <c r="C998" s="34" t="s">
        <v>478</v>
      </c>
    </row>
    <row r="999" customFormat="false" ht="38.25" hidden="false" customHeight="false" outlineLevel="0" collapsed="false">
      <c r="A999" s="37" t="s">
        <v>2057</v>
      </c>
      <c r="B999" s="34" t="s">
        <v>2058</v>
      </c>
      <c r="C999" s="34" t="s">
        <v>481</v>
      </c>
    </row>
    <row r="1000" customFormat="false" ht="38.25" hidden="false" customHeight="false" outlineLevel="0" collapsed="false">
      <c r="A1000" s="37" t="s">
        <v>2059</v>
      </c>
      <c r="B1000" s="34" t="s">
        <v>2060</v>
      </c>
      <c r="C1000" s="34" t="s">
        <v>484</v>
      </c>
    </row>
    <row r="1001" customFormat="false" ht="38.25" hidden="false" customHeight="false" outlineLevel="0" collapsed="false">
      <c r="A1001" s="37" t="s">
        <v>2061</v>
      </c>
      <c r="B1001" s="34" t="s">
        <v>2062</v>
      </c>
      <c r="C1001" s="34" t="s">
        <v>487</v>
      </c>
    </row>
    <row r="1002" customFormat="false" ht="38.25" hidden="false" customHeight="false" outlineLevel="0" collapsed="false">
      <c r="A1002" s="37" t="s">
        <v>2063</v>
      </c>
      <c r="B1002" s="34" t="s">
        <v>2064</v>
      </c>
      <c r="C1002" s="34" t="s">
        <v>490</v>
      </c>
    </row>
    <row r="1003" customFormat="false" ht="38.25" hidden="false" customHeight="false" outlineLevel="0" collapsed="false">
      <c r="A1003" s="37" t="s">
        <v>2065</v>
      </c>
      <c r="B1003" s="34" t="s">
        <v>2066</v>
      </c>
      <c r="C1003" s="34" t="s">
        <v>493</v>
      </c>
    </row>
    <row r="1004" customFormat="false" ht="38.25" hidden="false" customHeight="false" outlineLevel="0" collapsed="false">
      <c r="A1004" s="37" t="s">
        <v>2067</v>
      </c>
      <c r="B1004" s="34" t="s">
        <v>2068</v>
      </c>
      <c r="C1004" s="34" t="s">
        <v>496</v>
      </c>
    </row>
    <row r="1005" customFormat="false" ht="38.25" hidden="false" customHeight="false" outlineLevel="0" collapsed="false">
      <c r="A1005" s="37" t="s">
        <v>2069</v>
      </c>
      <c r="B1005" s="34" t="s">
        <v>2070</v>
      </c>
      <c r="C1005" s="34" t="s">
        <v>499</v>
      </c>
    </row>
    <row r="1006" customFormat="false" ht="38.25" hidden="false" customHeight="false" outlineLevel="0" collapsed="false">
      <c r="A1006" s="37" t="s">
        <v>2071</v>
      </c>
      <c r="B1006" s="34" t="s">
        <v>2072</v>
      </c>
      <c r="C1006" s="34" t="s">
        <v>502</v>
      </c>
    </row>
    <row r="1007" customFormat="false" ht="38.25" hidden="false" customHeight="false" outlineLevel="0" collapsed="false">
      <c r="A1007" s="37" t="s">
        <v>2073</v>
      </c>
      <c r="B1007" s="34" t="s">
        <v>2074</v>
      </c>
      <c r="C1007" s="34" t="s">
        <v>505</v>
      </c>
    </row>
    <row r="1008" customFormat="false" ht="51" hidden="false" customHeight="false" outlineLevel="0" collapsed="false">
      <c r="A1008" s="37" t="s">
        <v>2075</v>
      </c>
      <c r="B1008" s="34" t="s">
        <v>2076</v>
      </c>
      <c r="C1008" s="34" t="s">
        <v>508</v>
      </c>
    </row>
    <row r="1009" customFormat="false" ht="51" hidden="false" customHeight="false" outlineLevel="0" collapsed="false">
      <c r="A1009" s="37" t="s">
        <v>2077</v>
      </c>
      <c r="B1009" s="34" t="s">
        <v>2078</v>
      </c>
      <c r="C1009" s="34" t="s">
        <v>511</v>
      </c>
    </row>
    <row r="1010" customFormat="false" ht="51" hidden="false" customHeight="false" outlineLevel="0" collapsed="false">
      <c r="A1010" s="37" t="s">
        <v>2079</v>
      </c>
      <c r="B1010" s="34" t="s">
        <v>2080</v>
      </c>
      <c r="C1010" s="34" t="s">
        <v>514</v>
      </c>
    </row>
    <row r="1011" customFormat="false" ht="51" hidden="false" customHeight="false" outlineLevel="0" collapsed="false">
      <c r="A1011" s="37" t="s">
        <v>2081</v>
      </c>
      <c r="B1011" s="34" t="s">
        <v>2082</v>
      </c>
      <c r="C1011" s="34" t="s">
        <v>517</v>
      </c>
    </row>
    <row r="1012" customFormat="false" ht="51" hidden="false" customHeight="false" outlineLevel="0" collapsed="false">
      <c r="A1012" s="37" t="s">
        <v>2083</v>
      </c>
      <c r="B1012" s="34" t="s">
        <v>2084</v>
      </c>
      <c r="C1012" s="34" t="s">
        <v>517</v>
      </c>
    </row>
    <row r="1013" customFormat="false" ht="51" hidden="false" customHeight="false" outlineLevel="0" collapsed="false">
      <c r="A1013" s="37" t="s">
        <v>2085</v>
      </c>
      <c r="B1013" s="34" t="s">
        <v>2086</v>
      </c>
      <c r="C1013" s="34" t="s">
        <v>517</v>
      </c>
    </row>
    <row r="1014" customFormat="false" ht="51" hidden="false" customHeight="false" outlineLevel="0" collapsed="false">
      <c r="A1014" s="37" t="s">
        <v>2087</v>
      </c>
      <c r="B1014" s="34" t="s">
        <v>2088</v>
      </c>
      <c r="C1014" s="34" t="s">
        <v>517</v>
      </c>
    </row>
    <row r="1015" customFormat="false" ht="51" hidden="false" customHeight="false" outlineLevel="0" collapsed="false">
      <c r="A1015" s="37" t="s">
        <v>2089</v>
      </c>
      <c r="B1015" s="34" t="s">
        <v>2090</v>
      </c>
      <c r="C1015" s="34" t="s">
        <v>511</v>
      </c>
    </row>
    <row r="1016" customFormat="false" ht="51" hidden="false" customHeight="false" outlineLevel="0" collapsed="false">
      <c r="A1016" s="37" t="s">
        <v>2091</v>
      </c>
      <c r="B1016" s="34" t="s">
        <v>2092</v>
      </c>
      <c r="C1016" s="34" t="s">
        <v>511</v>
      </c>
    </row>
    <row r="1017" customFormat="false" ht="51" hidden="false" customHeight="false" outlineLevel="0" collapsed="false">
      <c r="A1017" s="37" t="s">
        <v>2093</v>
      </c>
      <c r="B1017" s="34" t="s">
        <v>2094</v>
      </c>
      <c r="C1017" s="34" t="s">
        <v>511</v>
      </c>
    </row>
    <row r="1018" customFormat="false" ht="51" hidden="false" customHeight="false" outlineLevel="0" collapsed="false">
      <c r="A1018" s="37" t="s">
        <v>2095</v>
      </c>
      <c r="B1018" s="34" t="s">
        <v>2096</v>
      </c>
      <c r="C1018" s="34" t="s">
        <v>511</v>
      </c>
    </row>
    <row r="1019" customFormat="false" ht="51" hidden="false" customHeight="false" outlineLevel="0" collapsed="false">
      <c r="A1019" s="37" t="s">
        <v>2097</v>
      </c>
      <c r="B1019" s="34" t="s">
        <v>2098</v>
      </c>
      <c r="C1019" s="34" t="s">
        <v>511</v>
      </c>
    </row>
    <row r="1020" customFormat="false" ht="51" hidden="false" customHeight="false" outlineLevel="0" collapsed="false">
      <c r="A1020" s="37" t="s">
        <v>2099</v>
      </c>
      <c r="B1020" s="34" t="s">
        <v>2100</v>
      </c>
      <c r="C1020" s="34" t="s">
        <v>511</v>
      </c>
    </row>
    <row r="1021" customFormat="false" ht="51" hidden="false" customHeight="false" outlineLevel="0" collapsed="false">
      <c r="A1021" s="37" t="s">
        <v>2101</v>
      </c>
      <c r="B1021" s="34" t="s">
        <v>2102</v>
      </c>
      <c r="C1021" s="34" t="s">
        <v>511</v>
      </c>
    </row>
    <row r="1022" customFormat="false" ht="51" hidden="false" customHeight="false" outlineLevel="0" collapsed="false">
      <c r="A1022" s="37" t="s">
        <v>2103</v>
      </c>
      <c r="B1022" s="34" t="s">
        <v>2104</v>
      </c>
      <c r="C1022" s="34" t="s">
        <v>511</v>
      </c>
    </row>
    <row r="1023" customFormat="false" ht="51" hidden="false" customHeight="false" outlineLevel="0" collapsed="false">
      <c r="A1023" s="37" t="s">
        <v>2105</v>
      </c>
      <c r="B1023" s="34" t="s">
        <v>2106</v>
      </c>
      <c r="C1023" s="34" t="s">
        <v>511</v>
      </c>
    </row>
    <row r="1024" customFormat="false" ht="51" hidden="false" customHeight="false" outlineLevel="0" collapsed="false">
      <c r="A1024" s="37" t="s">
        <v>2107</v>
      </c>
      <c r="B1024" s="34" t="s">
        <v>2108</v>
      </c>
      <c r="C1024" s="34" t="s">
        <v>511</v>
      </c>
    </row>
    <row r="1025" customFormat="false" ht="51" hidden="false" customHeight="false" outlineLevel="0" collapsed="false">
      <c r="A1025" s="37" t="s">
        <v>2109</v>
      </c>
      <c r="B1025" s="34" t="s">
        <v>2110</v>
      </c>
      <c r="C1025" s="34" t="s">
        <v>546</v>
      </c>
    </row>
    <row r="1026" customFormat="false" ht="51" hidden="false" customHeight="false" outlineLevel="0" collapsed="false">
      <c r="A1026" s="37" t="s">
        <v>2111</v>
      </c>
      <c r="B1026" s="34" t="s">
        <v>2112</v>
      </c>
      <c r="C1026" s="34" t="s">
        <v>546</v>
      </c>
    </row>
    <row r="1027" customFormat="false" ht="51" hidden="false" customHeight="false" outlineLevel="0" collapsed="false">
      <c r="A1027" s="37" t="s">
        <v>2113</v>
      </c>
      <c r="B1027" s="34" t="s">
        <v>2114</v>
      </c>
      <c r="C1027" s="34" t="s">
        <v>546</v>
      </c>
    </row>
    <row r="1028" customFormat="false" ht="51" hidden="false" customHeight="false" outlineLevel="0" collapsed="false">
      <c r="A1028" s="37" t="s">
        <v>2115</v>
      </c>
      <c r="B1028" s="34" t="s">
        <v>2116</v>
      </c>
      <c r="C1028" s="34" t="s">
        <v>546</v>
      </c>
    </row>
    <row r="1029" customFormat="false" ht="51" hidden="false" customHeight="false" outlineLevel="0" collapsed="false">
      <c r="A1029" s="37" t="s">
        <v>2117</v>
      </c>
      <c r="B1029" s="34" t="s">
        <v>2118</v>
      </c>
      <c r="C1029" s="34" t="s">
        <v>546</v>
      </c>
    </row>
    <row r="1030" customFormat="false" ht="51" hidden="false" customHeight="false" outlineLevel="0" collapsed="false">
      <c r="A1030" s="37" t="s">
        <v>2119</v>
      </c>
      <c r="B1030" s="34" t="s">
        <v>2120</v>
      </c>
      <c r="C1030" s="34" t="s">
        <v>546</v>
      </c>
    </row>
    <row r="1031" customFormat="false" ht="51" hidden="false" customHeight="false" outlineLevel="0" collapsed="false">
      <c r="A1031" s="37" t="s">
        <v>2121</v>
      </c>
      <c r="B1031" s="34" t="s">
        <v>2122</v>
      </c>
      <c r="C1031" s="34" t="s">
        <v>546</v>
      </c>
    </row>
    <row r="1032" customFormat="false" ht="63.75" hidden="false" customHeight="false" outlineLevel="0" collapsed="false">
      <c r="A1032" s="37" t="s">
        <v>2123</v>
      </c>
      <c r="B1032" s="34" t="s">
        <v>2124</v>
      </c>
      <c r="C1032" s="34" t="s">
        <v>561</v>
      </c>
    </row>
    <row r="1033" customFormat="false" ht="63.75" hidden="false" customHeight="false" outlineLevel="0" collapsed="false">
      <c r="A1033" s="37" t="s">
        <v>2125</v>
      </c>
      <c r="B1033" s="34" t="s">
        <v>2126</v>
      </c>
      <c r="C1033" s="34" t="s">
        <v>561</v>
      </c>
    </row>
    <row r="1034" customFormat="false" ht="89.25" hidden="false" customHeight="false" outlineLevel="0" collapsed="false">
      <c r="A1034" s="37" t="s">
        <v>2127</v>
      </c>
      <c r="B1034" s="34" t="s">
        <v>2128</v>
      </c>
      <c r="C1034" s="34" t="s">
        <v>566</v>
      </c>
    </row>
    <row r="1035" customFormat="false" ht="63.75" hidden="false" customHeight="false" outlineLevel="0" collapsed="false">
      <c r="A1035" s="37" t="s">
        <v>2129</v>
      </c>
      <c r="B1035" s="34" t="s">
        <v>2130</v>
      </c>
      <c r="C1035" s="34" t="s">
        <v>561</v>
      </c>
    </row>
    <row r="1036" customFormat="false" ht="63.75" hidden="false" customHeight="false" outlineLevel="0" collapsed="false">
      <c r="A1036" s="37" t="s">
        <v>2131</v>
      </c>
      <c r="B1036" s="34" t="s">
        <v>2132</v>
      </c>
      <c r="C1036" s="34" t="s">
        <v>571</v>
      </c>
    </row>
    <row r="1037" customFormat="false" ht="89.25" hidden="false" customHeight="false" outlineLevel="0" collapsed="false">
      <c r="A1037" s="37" t="s">
        <v>2133</v>
      </c>
      <c r="B1037" s="34" t="s">
        <v>2134</v>
      </c>
      <c r="C1037" s="34" t="s">
        <v>574</v>
      </c>
    </row>
    <row r="1038" customFormat="false" ht="89.25" hidden="false" customHeight="false" outlineLevel="0" collapsed="false">
      <c r="A1038" s="37" t="s">
        <v>2135</v>
      </c>
      <c r="B1038" s="34" t="s">
        <v>2136</v>
      </c>
      <c r="C1038" s="34" t="s">
        <v>574</v>
      </c>
    </row>
    <row r="1039" customFormat="false" ht="89.25" hidden="false" customHeight="false" outlineLevel="0" collapsed="false">
      <c r="A1039" s="37" t="s">
        <v>2137</v>
      </c>
      <c r="B1039" s="34" t="s">
        <v>2138</v>
      </c>
      <c r="C1039" s="34" t="s">
        <v>574</v>
      </c>
    </row>
    <row r="1040" customFormat="false" ht="89.25" hidden="false" customHeight="false" outlineLevel="0" collapsed="false">
      <c r="A1040" s="37" t="s">
        <v>2139</v>
      </c>
      <c r="B1040" s="34" t="s">
        <v>2140</v>
      </c>
      <c r="C1040" s="34" t="s">
        <v>574</v>
      </c>
    </row>
    <row r="1041" customFormat="false" ht="89.25" hidden="false" customHeight="false" outlineLevel="0" collapsed="false">
      <c r="A1041" s="37" t="s">
        <v>2141</v>
      </c>
      <c r="B1041" s="34" t="s">
        <v>2142</v>
      </c>
      <c r="C1041" s="34" t="s">
        <v>574</v>
      </c>
    </row>
    <row r="1042" customFormat="false" ht="63.75" hidden="false" customHeight="false" outlineLevel="0" collapsed="false">
      <c r="A1042" s="37" t="s">
        <v>2143</v>
      </c>
      <c r="B1042" s="34" t="s">
        <v>2144</v>
      </c>
      <c r="C1042" s="34" t="s">
        <v>585</v>
      </c>
    </row>
    <row r="1043" customFormat="false" ht="63.75" hidden="false" customHeight="false" outlineLevel="0" collapsed="false">
      <c r="A1043" s="37" t="s">
        <v>2145</v>
      </c>
      <c r="B1043" s="34" t="s">
        <v>2146</v>
      </c>
      <c r="C1043" s="34" t="s">
        <v>588</v>
      </c>
    </row>
    <row r="1044" customFormat="false" ht="51" hidden="false" customHeight="false" outlineLevel="0" collapsed="false">
      <c r="A1044" s="37" t="s">
        <v>2147</v>
      </c>
      <c r="B1044" s="34" t="s">
        <v>2148</v>
      </c>
      <c r="C1044" s="34" t="s">
        <v>546</v>
      </c>
    </row>
    <row r="1045" customFormat="false" ht="51" hidden="false" customHeight="false" outlineLevel="0" collapsed="false">
      <c r="A1045" s="37" t="s">
        <v>2149</v>
      </c>
      <c r="B1045" s="34" t="s">
        <v>2150</v>
      </c>
      <c r="C1045" s="34" t="s">
        <v>546</v>
      </c>
    </row>
    <row r="1046" customFormat="false" ht="51" hidden="false" customHeight="false" outlineLevel="0" collapsed="false">
      <c r="A1046" s="37" t="s">
        <v>2151</v>
      </c>
      <c r="B1046" s="34" t="s">
        <v>2152</v>
      </c>
      <c r="C1046" s="34" t="s">
        <v>546</v>
      </c>
    </row>
    <row r="1047" customFormat="false" ht="51" hidden="false" customHeight="false" outlineLevel="0" collapsed="false">
      <c r="A1047" s="37" t="s">
        <v>2153</v>
      </c>
      <c r="B1047" s="34" t="s">
        <v>2154</v>
      </c>
      <c r="C1047" s="34" t="s">
        <v>546</v>
      </c>
    </row>
    <row r="1048" customFormat="false" ht="51" hidden="false" customHeight="false" outlineLevel="0" collapsed="false">
      <c r="A1048" s="37" t="s">
        <v>2155</v>
      </c>
      <c r="B1048" s="34" t="s">
        <v>2156</v>
      </c>
      <c r="C1048" s="34" t="s">
        <v>546</v>
      </c>
    </row>
    <row r="1049" customFormat="false" ht="51" hidden="false" customHeight="false" outlineLevel="0" collapsed="false">
      <c r="A1049" s="37" t="s">
        <v>2157</v>
      </c>
      <c r="B1049" s="34" t="s">
        <v>2158</v>
      </c>
      <c r="C1049" s="34" t="s">
        <v>546</v>
      </c>
    </row>
    <row r="1050" customFormat="false" ht="51" hidden="false" customHeight="false" outlineLevel="0" collapsed="false">
      <c r="A1050" s="37" t="s">
        <v>2159</v>
      </c>
      <c r="B1050" s="34" t="s">
        <v>2160</v>
      </c>
      <c r="C1050" s="34" t="s">
        <v>546</v>
      </c>
    </row>
    <row r="1051" customFormat="false" ht="51" hidden="false" customHeight="false" outlineLevel="0" collapsed="false">
      <c r="A1051" s="37" t="s">
        <v>2161</v>
      </c>
      <c r="B1051" s="34" t="s">
        <v>2162</v>
      </c>
      <c r="C1051" s="34" t="s">
        <v>546</v>
      </c>
    </row>
    <row r="1052" customFormat="false" ht="51" hidden="false" customHeight="false" outlineLevel="0" collapsed="false">
      <c r="A1052" s="37" t="s">
        <v>2163</v>
      </c>
      <c r="B1052" s="34" t="s">
        <v>2164</v>
      </c>
      <c r="C1052" s="34" t="s">
        <v>546</v>
      </c>
    </row>
    <row r="1053" customFormat="false" ht="51" hidden="false" customHeight="false" outlineLevel="0" collapsed="false">
      <c r="A1053" s="37" t="s">
        <v>2165</v>
      </c>
      <c r="B1053" s="34" t="s">
        <v>2166</v>
      </c>
      <c r="C1053" s="34" t="s">
        <v>546</v>
      </c>
    </row>
    <row r="1054" customFormat="false" ht="51" hidden="false" customHeight="false" outlineLevel="0" collapsed="false">
      <c r="A1054" s="37" t="s">
        <v>2167</v>
      </c>
      <c r="B1054" s="34" t="s">
        <v>2168</v>
      </c>
      <c r="C1054" s="34" t="s">
        <v>546</v>
      </c>
    </row>
    <row r="1055" customFormat="false" ht="38.25" hidden="false" customHeight="false" outlineLevel="0" collapsed="false">
      <c r="A1055" s="37" t="s">
        <v>2169</v>
      </c>
      <c r="B1055" s="34" t="s">
        <v>2170</v>
      </c>
      <c r="C1055" s="34" t="s">
        <v>613</v>
      </c>
    </row>
    <row r="1056" customFormat="false" ht="51" hidden="false" customHeight="false" outlineLevel="0" collapsed="false">
      <c r="A1056" s="37" t="s">
        <v>2171</v>
      </c>
      <c r="B1056" s="34" t="s">
        <v>2172</v>
      </c>
      <c r="C1056" s="34" t="s">
        <v>546</v>
      </c>
    </row>
    <row r="1057" customFormat="false" ht="51" hidden="false" customHeight="false" outlineLevel="0" collapsed="false">
      <c r="A1057" s="37" t="s">
        <v>2173</v>
      </c>
      <c r="B1057" s="34" t="s">
        <v>2174</v>
      </c>
      <c r="C1057" s="34" t="s">
        <v>546</v>
      </c>
    </row>
    <row r="1058" customFormat="false" ht="51" hidden="false" customHeight="false" outlineLevel="0" collapsed="false">
      <c r="A1058" s="37" t="s">
        <v>2175</v>
      </c>
      <c r="B1058" s="34" t="s">
        <v>2176</v>
      </c>
      <c r="C1058" s="34" t="s">
        <v>546</v>
      </c>
    </row>
    <row r="1059" customFormat="false" ht="51" hidden="false" customHeight="false" outlineLevel="0" collapsed="false">
      <c r="A1059" s="37" t="s">
        <v>2177</v>
      </c>
      <c r="B1059" s="34" t="s">
        <v>2178</v>
      </c>
      <c r="C1059" s="34" t="s">
        <v>546</v>
      </c>
    </row>
    <row r="1060" customFormat="false" ht="51" hidden="false" customHeight="false" outlineLevel="0" collapsed="false">
      <c r="A1060" s="37" t="s">
        <v>2179</v>
      </c>
      <c r="B1060" s="34" t="s">
        <v>2180</v>
      </c>
      <c r="C1060" s="34" t="s">
        <v>546</v>
      </c>
    </row>
    <row r="1061" customFormat="false" ht="38.25" hidden="false" customHeight="false" outlineLevel="0" collapsed="false">
      <c r="A1061" s="37" t="s">
        <v>2181</v>
      </c>
      <c r="B1061" s="34" t="s">
        <v>2182</v>
      </c>
      <c r="C1061" s="34" t="s">
        <v>613</v>
      </c>
    </row>
    <row r="1062" customFormat="false" ht="51" hidden="false" customHeight="false" outlineLevel="0" collapsed="false">
      <c r="A1062" s="37" t="s">
        <v>2183</v>
      </c>
      <c r="B1062" s="34" t="s">
        <v>2184</v>
      </c>
      <c r="C1062" s="34" t="s">
        <v>546</v>
      </c>
    </row>
    <row r="1063" customFormat="false" ht="51" hidden="false" customHeight="false" outlineLevel="0" collapsed="false">
      <c r="A1063" s="37" t="s">
        <v>2185</v>
      </c>
      <c r="B1063" s="34" t="s">
        <v>2186</v>
      </c>
      <c r="C1063" s="34" t="s">
        <v>546</v>
      </c>
    </row>
    <row r="1064" customFormat="false" ht="51" hidden="false" customHeight="false" outlineLevel="0" collapsed="false">
      <c r="A1064" s="37" t="s">
        <v>2187</v>
      </c>
      <c r="B1064" s="34" t="s">
        <v>2188</v>
      </c>
      <c r="C1064" s="34" t="s">
        <v>546</v>
      </c>
    </row>
    <row r="1065" customFormat="false" ht="25.5" hidden="false" customHeight="false" outlineLevel="0" collapsed="false">
      <c r="A1065" s="37" t="s">
        <v>2189</v>
      </c>
      <c r="B1065" s="34" t="s">
        <v>2190</v>
      </c>
      <c r="C1065" s="34" t="s">
        <v>634</v>
      </c>
    </row>
    <row r="1066" customFormat="false" ht="25.5" hidden="false" customHeight="false" outlineLevel="0" collapsed="false">
      <c r="A1066" s="37" t="s">
        <v>2191</v>
      </c>
      <c r="B1066" s="34" t="s">
        <v>2192</v>
      </c>
      <c r="C1066" s="34" t="s">
        <v>637</v>
      </c>
    </row>
    <row r="1067" customFormat="false" ht="51" hidden="false" customHeight="false" outlineLevel="0" collapsed="false">
      <c r="A1067" s="37" t="s">
        <v>2193</v>
      </c>
      <c r="B1067" s="34" t="s">
        <v>2194</v>
      </c>
      <c r="C1067" s="34" t="s">
        <v>546</v>
      </c>
    </row>
    <row r="1068" customFormat="false" ht="51" hidden="false" customHeight="false" outlineLevel="0" collapsed="false">
      <c r="A1068" s="37" t="s">
        <v>2195</v>
      </c>
      <c r="B1068" s="34" t="s">
        <v>2196</v>
      </c>
      <c r="C1068" s="34" t="s">
        <v>546</v>
      </c>
    </row>
    <row r="1069" customFormat="false" ht="51" hidden="false" customHeight="false" outlineLevel="0" collapsed="false">
      <c r="A1069" s="37" t="s">
        <v>2197</v>
      </c>
      <c r="B1069" s="34" t="s">
        <v>2198</v>
      </c>
      <c r="C1069" s="34" t="s">
        <v>546</v>
      </c>
    </row>
    <row r="1070" customFormat="false" ht="63.75" hidden="false" customHeight="false" outlineLevel="0" collapsed="false">
      <c r="A1070" s="37" t="s">
        <v>2199</v>
      </c>
      <c r="B1070" s="34" t="s">
        <v>2200</v>
      </c>
      <c r="C1070" s="34" t="s">
        <v>139</v>
      </c>
    </row>
    <row r="1071" customFormat="false" ht="63.75" hidden="false" customHeight="false" outlineLevel="0" collapsed="false">
      <c r="A1071" s="37" t="s">
        <v>2201</v>
      </c>
      <c r="B1071" s="34" t="s">
        <v>2202</v>
      </c>
      <c r="C1071" s="34" t="s">
        <v>139</v>
      </c>
    </row>
    <row r="1072" customFormat="false" ht="63.75" hidden="false" customHeight="false" outlineLevel="0" collapsed="false">
      <c r="A1072" s="37" t="s">
        <v>2203</v>
      </c>
      <c r="B1072" s="34" t="s">
        <v>2204</v>
      </c>
      <c r="C1072" s="34" t="s">
        <v>139</v>
      </c>
    </row>
    <row r="1073" customFormat="false" ht="63.75" hidden="false" customHeight="false" outlineLevel="0" collapsed="false">
      <c r="A1073" s="37" t="s">
        <v>2205</v>
      </c>
      <c r="B1073" s="34" t="s">
        <v>2206</v>
      </c>
      <c r="C1073" s="34" t="s">
        <v>139</v>
      </c>
    </row>
    <row r="1074" customFormat="false" ht="63.75" hidden="false" customHeight="false" outlineLevel="0" collapsed="false">
      <c r="A1074" s="37" t="s">
        <v>2207</v>
      </c>
      <c r="B1074" s="34" t="s">
        <v>2208</v>
      </c>
      <c r="C1074" s="34" t="s">
        <v>139</v>
      </c>
    </row>
    <row r="1075" customFormat="false" ht="63.75" hidden="false" customHeight="false" outlineLevel="0" collapsed="false">
      <c r="A1075" s="37" t="s">
        <v>2209</v>
      </c>
      <c r="B1075" s="34" t="s">
        <v>2210</v>
      </c>
      <c r="C1075" s="34" t="s">
        <v>139</v>
      </c>
    </row>
    <row r="1076" customFormat="false" ht="63.75" hidden="false" customHeight="false" outlineLevel="0" collapsed="false">
      <c r="A1076" s="37" t="s">
        <v>2211</v>
      </c>
      <c r="B1076" s="34" t="s">
        <v>2212</v>
      </c>
      <c r="C1076" s="34" t="s">
        <v>139</v>
      </c>
    </row>
    <row r="1077" customFormat="false" ht="63.75" hidden="false" customHeight="false" outlineLevel="0" collapsed="false">
      <c r="A1077" s="37" t="s">
        <v>2213</v>
      </c>
      <c r="B1077" s="34" t="s">
        <v>2214</v>
      </c>
      <c r="C1077" s="34" t="s">
        <v>139</v>
      </c>
    </row>
    <row r="1078" customFormat="false" ht="102" hidden="false" customHeight="false" outlineLevel="0" collapsed="false">
      <c r="A1078" s="37" t="n">
        <v>5391300</v>
      </c>
      <c r="B1078" s="34" t="s">
        <v>2215</v>
      </c>
      <c r="C1078" s="34" t="s">
        <v>2216</v>
      </c>
    </row>
    <row r="1079" customFormat="false" ht="102" hidden="false" customHeight="false" outlineLevel="0" collapsed="false">
      <c r="A1079" s="37" t="n">
        <v>5391500</v>
      </c>
      <c r="B1079" s="34" t="s">
        <v>2217</v>
      </c>
      <c r="C1079" s="34" t="s">
        <v>2216</v>
      </c>
    </row>
    <row r="1080" customFormat="false" ht="89.25" hidden="false" customHeight="false" outlineLevel="0" collapsed="false">
      <c r="A1080" s="37" t="s">
        <v>2218</v>
      </c>
      <c r="B1080" s="34" t="s">
        <v>2219</v>
      </c>
      <c r="C1080" s="34" t="s">
        <v>1450</v>
      </c>
    </row>
    <row r="1081" customFormat="false" ht="76.5" hidden="false" customHeight="false" outlineLevel="0" collapsed="false">
      <c r="A1081" s="37" t="s">
        <v>2220</v>
      </c>
      <c r="B1081" s="34" t="s">
        <v>2221</v>
      </c>
      <c r="C1081" s="34" t="s">
        <v>2222</v>
      </c>
    </row>
    <row r="1082" customFormat="false" ht="63.75" hidden="false" customHeight="false" outlineLevel="0" collapsed="false">
      <c r="A1082" s="37" t="s">
        <v>2223</v>
      </c>
      <c r="B1082" s="34" t="s">
        <v>2224</v>
      </c>
      <c r="C1082" s="34" t="s">
        <v>139</v>
      </c>
    </row>
    <row r="1083" customFormat="false" ht="63.75" hidden="false" customHeight="false" outlineLevel="0" collapsed="false">
      <c r="A1083" s="37" t="s">
        <v>2225</v>
      </c>
      <c r="B1083" s="34" t="s">
        <v>2226</v>
      </c>
      <c r="C1083" s="34" t="s">
        <v>139</v>
      </c>
    </row>
    <row r="1084" customFormat="false" ht="63.75" hidden="false" customHeight="false" outlineLevel="0" collapsed="false">
      <c r="A1084" s="37" t="s">
        <v>2227</v>
      </c>
      <c r="B1084" s="34" t="s">
        <v>2228</v>
      </c>
      <c r="C1084" s="34" t="s">
        <v>139</v>
      </c>
    </row>
    <row r="1085" customFormat="false" ht="102" hidden="false" customHeight="false" outlineLevel="0" collapsed="false">
      <c r="A1085" s="37" t="s">
        <v>2229</v>
      </c>
      <c r="B1085" s="34" t="s">
        <v>2230</v>
      </c>
      <c r="C1085" s="34" t="s">
        <v>97</v>
      </c>
    </row>
    <row r="1086" customFormat="false" ht="102" hidden="false" customHeight="false" outlineLevel="0" collapsed="false">
      <c r="A1086" s="37" t="s">
        <v>2231</v>
      </c>
      <c r="B1086" s="34" t="s">
        <v>2232</v>
      </c>
      <c r="C1086" s="34" t="s">
        <v>97</v>
      </c>
    </row>
    <row r="1087" customFormat="false" ht="102" hidden="false" customHeight="false" outlineLevel="0" collapsed="false">
      <c r="A1087" s="37" t="s">
        <v>2233</v>
      </c>
      <c r="B1087" s="34" t="s">
        <v>2234</v>
      </c>
      <c r="C1087" s="34" t="s">
        <v>887</v>
      </c>
    </row>
    <row r="1088" customFormat="false" ht="114.75" hidden="false" customHeight="false" outlineLevel="0" collapsed="false">
      <c r="A1088" s="37" t="s">
        <v>2235</v>
      </c>
      <c r="B1088" s="34" t="s">
        <v>2236</v>
      </c>
      <c r="C1088" s="34" t="s">
        <v>849</v>
      </c>
    </row>
    <row r="1089" customFormat="false" ht="89.25" hidden="false" customHeight="false" outlineLevel="0" collapsed="false">
      <c r="A1089" s="37" t="s">
        <v>2237</v>
      </c>
      <c r="B1089" s="34" t="s">
        <v>2238</v>
      </c>
      <c r="C1089" s="34" t="s">
        <v>891</v>
      </c>
    </row>
    <row r="1090" customFormat="false" ht="114.75" hidden="false" customHeight="false" outlineLevel="0" collapsed="false">
      <c r="A1090" s="37" t="s">
        <v>2239</v>
      </c>
      <c r="B1090" s="34" t="s">
        <v>2240</v>
      </c>
      <c r="C1090" s="34" t="s">
        <v>849</v>
      </c>
    </row>
    <row r="1091" customFormat="false" ht="114.75" hidden="false" customHeight="false" outlineLevel="0" collapsed="false">
      <c r="A1091" s="37" t="s">
        <v>2239</v>
      </c>
      <c r="B1091" s="34" t="s">
        <v>2240</v>
      </c>
      <c r="C1091" s="34" t="s">
        <v>2241</v>
      </c>
    </row>
    <row r="1092" customFormat="false" ht="76.5" hidden="false" customHeight="false" outlineLevel="0" collapsed="false">
      <c r="A1092" s="37" t="s">
        <v>2242</v>
      </c>
      <c r="B1092" s="34" t="s">
        <v>2243</v>
      </c>
      <c r="C1092" s="34" t="s">
        <v>108</v>
      </c>
    </row>
    <row r="1093" customFormat="false" ht="89.25" hidden="false" customHeight="false" outlineLevel="0" collapsed="false">
      <c r="A1093" s="37" t="s">
        <v>2244</v>
      </c>
      <c r="B1093" s="34" t="s">
        <v>2245</v>
      </c>
      <c r="C1093" s="34" t="s">
        <v>871</v>
      </c>
    </row>
    <row r="1094" customFormat="false" ht="102" hidden="false" customHeight="false" outlineLevel="0" collapsed="false">
      <c r="A1094" s="37" t="s">
        <v>2246</v>
      </c>
      <c r="B1094" s="34" t="s">
        <v>2247</v>
      </c>
      <c r="C1094" s="34" t="s">
        <v>783</v>
      </c>
    </row>
    <row r="1095" customFormat="false" ht="89.25" hidden="false" customHeight="false" outlineLevel="0" collapsed="false">
      <c r="A1095" s="37" t="s">
        <v>2248</v>
      </c>
      <c r="B1095" s="34" t="s">
        <v>2249</v>
      </c>
      <c r="C1095" s="34" t="s">
        <v>858</v>
      </c>
    </row>
    <row r="1096" customFormat="false" ht="89.25" hidden="false" customHeight="false" outlineLevel="0" collapsed="false">
      <c r="A1096" s="37" t="s">
        <v>2250</v>
      </c>
      <c r="B1096" s="34" t="s">
        <v>2251</v>
      </c>
      <c r="C1096" s="34" t="s">
        <v>902</v>
      </c>
    </row>
    <row r="1097" customFormat="false" ht="89.25" hidden="false" customHeight="false" outlineLevel="0" collapsed="false">
      <c r="A1097" s="37" t="s">
        <v>2252</v>
      </c>
      <c r="B1097" s="34" t="s">
        <v>2253</v>
      </c>
      <c r="C1097" s="34" t="s">
        <v>902</v>
      </c>
    </row>
    <row r="1098" customFormat="false" ht="89.25" hidden="false" customHeight="false" outlineLevel="0" collapsed="false">
      <c r="A1098" s="37" t="s">
        <v>2254</v>
      </c>
      <c r="B1098" s="34" t="s">
        <v>2255</v>
      </c>
      <c r="C1098" s="34" t="s">
        <v>122</v>
      </c>
    </row>
    <row r="1099" customFormat="false" ht="89.25" hidden="false" customHeight="false" outlineLevel="0" collapsed="false">
      <c r="A1099" s="37" t="s">
        <v>2256</v>
      </c>
      <c r="B1099" s="34" t="s">
        <v>2257</v>
      </c>
      <c r="C1099" s="34" t="s">
        <v>874</v>
      </c>
    </row>
    <row r="1100" customFormat="false" ht="89.25" hidden="false" customHeight="false" outlineLevel="0" collapsed="false">
      <c r="A1100" s="37" t="s">
        <v>2258</v>
      </c>
      <c r="B1100" s="34" t="s">
        <v>2259</v>
      </c>
      <c r="C1100" s="34" t="s">
        <v>874</v>
      </c>
    </row>
    <row r="1101" customFormat="false" ht="89.25" hidden="false" customHeight="false" outlineLevel="0" collapsed="false">
      <c r="A1101" s="37" t="s">
        <v>2260</v>
      </c>
      <c r="B1101" s="34" t="s">
        <v>2261</v>
      </c>
      <c r="C1101" s="34" t="s">
        <v>874</v>
      </c>
    </row>
    <row r="1102" customFormat="false" ht="89.25" hidden="false" customHeight="false" outlineLevel="0" collapsed="false">
      <c r="A1102" s="37" t="s">
        <v>2262</v>
      </c>
      <c r="B1102" s="34" t="s">
        <v>2263</v>
      </c>
      <c r="C1102" s="34" t="s">
        <v>874</v>
      </c>
    </row>
    <row r="1103" customFormat="false" ht="102" hidden="false" customHeight="false" outlineLevel="0" collapsed="false">
      <c r="A1103" s="37" t="s">
        <v>2264</v>
      </c>
      <c r="B1103" s="34" t="s">
        <v>2265</v>
      </c>
      <c r="C1103" s="34" t="s">
        <v>883</v>
      </c>
    </row>
    <row r="1104" customFormat="false" ht="63.75" hidden="false" customHeight="false" outlineLevel="0" collapsed="false">
      <c r="A1104" s="37" t="s">
        <v>2266</v>
      </c>
      <c r="B1104" s="34" t="s">
        <v>2267</v>
      </c>
      <c r="C1104" s="34" t="s">
        <v>1033</v>
      </c>
    </row>
    <row r="1105" customFormat="false" ht="38.25" hidden="false" customHeight="false" outlineLevel="0" collapsed="false">
      <c r="A1105" s="37" t="s">
        <v>2268</v>
      </c>
      <c r="B1105" s="34" t="s">
        <v>2269</v>
      </c>
      <c r="C1105" s="34" t="s">
        <v>687</v>
      </c>
    </row>
    <row r="1106" customFormat="false" ht="51" hidden="false" customHeight="false" outlineLevel="0" collapsed="false">
      <c r="A1106" s="37" t="s">
        <v>2270</v>
      </c>
      <c r="B1106" s="34" t="s">
        <v>2271</v>
      </c>
      <c r="C1106" s="34" t="s">
        <v>1038</v>
      </c>
    </row>
    <row r="1107" customFormat="false" ht="38.25" hidden="false" customHeight="false" outlineLevel="0" collapsed="false">
      <c r="A1107" s="37" t="s">
        <v>2272</v>
      </c>
      <c r="B1107" s="34" t="s">
        <v>2273</v>
      </c>
      <c r="C1107" s="34" t="s">
        <v>1041</v>
      </c>
    </row>
    <row r="1108" customFormat="false" ht="51" hidden="false" customHeight="false" outlineLevel="0" collapsed="false">
      <c r="A1108" s="37" t="s">
        <v>2274</v>
      </c>
      <c r="B1108" s="34" t="s">
        <v>2275</v>
      </c>
      <c r="C1108" s="34" t="s">
        <v>696</v>
      </c>
    </row>
    <row r="1109" customFormat="false" ht="51" hidden="false" customHeight="false" outlineLevel="0" collapsed="false">
      <c r="A1109" s="37" t="s">
        <v>2276</v>
      </c>
      <c r="B1109" s="34" t="s">
        <v>2277</v>
      </c>
      <c r="C1109" s="34" t="s">
        <v>1050</v>
      </c>
    </row>
    <row r="1110" customFormat="false" ht="89.25" hidden="false" customHeight="false" outlineLevel="0" collapsed="false">
      <c r="A1110" s="37" t="s">
        <v>2278</v>
      </c>
      <c r="B1110" s="34" t="s">
        <v>2279</v>
      </c>
      <c r="C1110" s="34" t="s">
        <v>702</v>
      </c>
    </row>
    <row r="1111" customFormat="false" ht="89.25" hidden="false" customHeight="false" outlineLevel="0" collapsed="false">
      <c r="A1111" s="37" t="s">
        <v>2280</v>
      </c>
      <c r="B1111" s="34" t="s">
        <v>2281</v>
      </c>
      <c r="C1111" s="34" t="s">
        <v>702</v>
      </c>
    </row>
    <row r="1112" customFormat="false" ht="38.25" hidden="false" customHeight="false" outlineLevel="0" collapsed="false">
      <c r="A1112" s="37" t="s">
        <v>2282</v>
      </c>
      <c r="B1112" s="34" t="s">
        <v>2283</v>
      </c>
      <c r="C1112" s="34" t="s">
        <v>707</v>
      </c>
    </row>
    <row r="1113" customFormat="false" ht="89.25" hidden="false" customHeight="false" outlineLevel="0" collapsed="false">
      <c r="A1113" s="37" t="s">
        <v>2284</v>
      </c>
      <c r="B1113" s="34" t="s">
        <v>2285</v>
      </c>
      <c r="C1113" s="34" t="s">
        <v>1447</v>
      </c>
    </row>
    <row r="1114" customFormat="false" ht="89.25" hidden="false" customHeight="false" outlineLevel="0" collapsed="false">
      <c r="A1114" s="37" t="s">
        <v>2286</v>
      </c>
      <c r="B1114" s="34" t="s">
        <v>2287</v>
      </c>
      <c r="C1114" s="34" t="s">
        <v>1450</v>
      </c>
    </row>
    <row r="1115" customFormat="false" ht="102" hidden="false" customHeight="false" outlineLevel="0" collapsed="false">
      <c r="A1115" s="37" t="s">
        <v>2288</v>
      </c>
      <c r="B1115" s="34" t="s">
        <v>2289</v>
      </c>
      <c r="C1115" s="34" t="s">
        <v>1453</v>
      </c>
    </row>
    <row r="1116" customFormat="false" ht="76.5" hidden="false" customHeight="false" outlineLevel="0" collapsed="false">
      <c r="A1116" s="37" t="s">
        <v>2290</v>
      </c>
      <c r="B1116" s="34" t="s">
        <v>2291</v>
      </c>
      <c r="C1116" s="34" t="s">
        <v>719</v>
      </c>
    </row>
    <row r="1117" customFormat="false" ht="63.75" hidden="false" customHeight="false" outlineLevel="0" collapsed="false">
      <c r="A1117" s="37" t="s">
        <v>2292</v>
      </c>
      <c r="B1117" s="34" t="s">
        <v>2293</v>
      </c>
      <c r="C1117" s="34" t="s">
        <v>2294</v>
      </c>
    </row>
    <row r="1118" customFormat="false" ht="76.5" hidden="false" customHeight="false" outlineLevel="0" collapsed="false">
      <c r="A1118" s="37" t="s">
        <v>2295</v>
      </c>
      <c r="B1118" s="34" t="s">
        <v>2296</v>
      </c>
      <c r="C1118" s="34" t="s">
        <v>2297</v>
      </c>
    </row>
    <row r="1119" customFormat="false" ht="76.5" hidden="false" customHeight="false" outlineLevel="0" collapsed="false">
      <c r="A1119" s="37" t="s">
        <v>2298</v>
      </c>
      <c r="B1119" s="34" t="s">
        <v>2299</v>
      </c>
      <c r="C1119" s="34" t="s">
        <v>2297</v>
      </c>
    </row>
    <row r="1120" customFormat="false" ht="76.5" hidden="false" customHeight="false" outlineLevel="0" collapsed="false">
      <c r="A1120" s="37" t="s">
        <v>2300</v>
      </c>
      <c r="B1120" s="34" t="s">
        <v>2301</v>
      </c>
      <c r="C1120" s="34" t="s">
        <v>2297</v>
      </c>
    </row>
    <row r="1121" customFormat="false" ht="76.5" hidden="false" customHeight="false" outlineLevel="0" collapsed="false">
      <c r="A1121" s="37" t="s">
        <v>2302</v>
      </c>
      <c r="B1121" s="34" t="s">
        <v>2303</v>
      </c>
      <c r="C1121" s="34" t="s">
        <v>2297</v>
      </c>
    </row>
    <row r="1122" customFormat="false" ht="63.75" hidden="false" customHeight="false" outlineLevel="0" collapsed="false">
      <c r="A1122" s="37" t="s">
        <v>2304</v>
      </c>
      <c r="B1122" s="34" t="s">
        <v>2305</v>
      </c>
      <c r="C1122" s="34" t="s">
        <v>139</v>
      </c>
    </row>
    <row r="1123" customFormat="false" ht="63.75" hidden="false" customHeight="false" outlineLevel="0" collapsed="false">
      <c r="A1123" s="37" t="s">
        <v>2306</v>
      </c>
      <c r="B1123" s="34" t="s">
        <v>2307</v>
      </c>
      <c r="C1123" s="34" t="s">
        <v>139</v>
      </c>
    </row>
    <row r="1124" customFormat="false" ht="63.75" hidden="false" customHeight="false" outlineLevel="0" collapsed="false">
      <c r="A1124" s="37" t="s">
        <v>2308</v>
      </c>
      <c r="B1124" s="34" t="s">
        <v>2309</v>
      </c>
      <c r="C1124" s="34" t="s">
        <v>139</v>
      </c>
    </row>
    <row r="1125" customFormat="false" ht="63.75" hidden="false" customHeight="false" outlineLevel="0" collapsed="false">
      <c r="A1125" s="37" t="s">
        <v>2310</v>
      </c>
      <c r="B1125" s="34" t="s">
        <v>2311</v>
      </c>
      <c r="C1125" s="34" t="s">
        <v>139</v>
      </c>
    </row>
    <row r="1126" customFormat="false" ht="63.75" hidden="false" customHeight="false" outlineLevel="0" collapsed="false">
      <c r="A1126" s="37" t="s">
        <v>2310</v>
      </c>
      <c r="B1126" s="34" t="s">
        <v>2311</v>
      </c>
      <c r="C1126" s="34" t="s">
        <v>142</v>
      </c>
    </row>
    <row r="1127" customFormat="false" ht="63.75" hidden="false" customHeight="false" outlineLevel="0" collapsed="false">
      <c r="A1127" s="37" t="s">
        <v>2312</v>
      </c>
      <c r="B1127" s="34" t="s">
        <v>2313</v>
      </c>
      <c r="C1127" s="34" t="s">
        <v>965</v>
      </c>
    </row>
    <row r="1128" customFormat="false" ht="63.75" hidden="false" customHeight="false" outlineLevel="0" collapsed="false">
      <c r="A1128" s="37" t="s">
        <v>2314</v>
      </c>
      <c r="B1128" s="34" t="s">
        <v>2315</v>
      </c>
      <c r="C1128" s="34" t="s">
        <v>965</v>
      </c>
    </row>
    <row r="1129" customFormat="false" ht="63.75" hidden="false" customHeight="false" outlineLevel="0" collapsed="false">
      <c r="A1129" s="37" t="s">
        <v>2316</v>
      </c>
      <c r="B1129" s="34" t="s">
        <v>2317</v>
      </c>
      <c r="C1129" s="34" t="s">
        <v>965</v>
      </c>
    </row>
    <row r="1130" customFormat="false" ht="63.75" hidden="false" customHeight="false" outlineLevel="0" collapsed="false">
      <c r="A1130" s="37" t="s">
        <v>2318</v>
      </c>
      <c r="B1130" s="34" t="s">
        <v>2319</v>
      </c>
      <c r="C1130" s="34" t="s">
        <v>965</v>
      </c>
    </row>
    <row r="1131" customFormat="false" ht="63.75" hidden="false" customHeight="false" outlineLevel="0" collapsed="false">
      <c r="A1131" s="37" t="s">
        <v>2320</v>
      </c>
      <c r="B1131" s="34" t="s">
        <v>2321</v>
      </c>
      <c r="C1131" s="34" t="s">
        <v>965</v>
      </c>
    </row>
    <row r="1132" customFormat="false" ht="63.75" hidden="false" customHeight="false" outlineLevel="0" collapsed="false">
      <c r="A1132" s="37" t="s">
        <v>2322</v>
      </c>
      <c r="B1132" s="34" t="s">
        <v>2323</v>
      </c>
      <c r="C1132" s="34" t="s">
        <v>965</v>
      </c>
    </row>
    <row r="1133" customFormat="false" ht="63.75" hidden="false" customHeight="false" outlineLevel="0" collapsed="false">
      <c r="A1133" s="37" t="s">
        <v>2324</v>
      </c>
      <c r="B1133" s="34" t="s">
        <v>2325</v>
      </c>
      <c r="C1133" s="34" t="s">
        <v>965</v>
      </c>
    </row>
    <row r="1134" customFormat="false" ht="51" hidden="false" customHeight="false" outlineLevel="0" collapsed="false">
      <c r="A1134" s="37" t="s">
        <v>2326</v>
      </c>
      <c r="B1134" s="34" t="s">
        <v>2327</v>
      </c>
      <c r="C1134" s="34" t="s">
        <v>965</v>
      </c>
    </row>
    <row r="1135" customFormat="false" ht="51" hidden="false" customHeight="false" outlineLevel="0" collapsed="false">
      <c r="A1135" s="37" t="s">
        <v>2328</v>
      </c>
      <c r="B1135" s="34" t="s">
        <v>2329</v>
      </c>
      <c r="C1135" s="34" t="s">
        <v>965</v>
      </c>
    </row>
    <row r="1136" customFormat="false" ht="63.75" hidden="false" customHeight="false" outlineLevel="0" collapsed="false">
      <c r="A1136" s="37" t="s">
        <v>2330</v>
      </c>
      <c r="B1136" s="34" t="s">
        <v>2331</v>
      </c>
      <c r="C1136" s="34" t="s">
        <v>965</v>
      </c>
    </row>
    <row r="1137" customFormat="false" ht="63.75" hidden="false" customHeight="false" outlineLevel="0" collapsed="false">
      <c r="A1137" s="37" t="s">
        <v>2332</v>
      </c>
      <c r="B1137" s="34" t="s">
        <v>2333</v>
      </c>
      <c r="C1137" s="34" t="s">
        <v>965</v>
      </c>
    </row>
    <row r="1138" customFormat="false" ht="38.25" hidden="false" customHeight="false" outlineLevel="0" collapsed="false">
      <c r="A1138" s="37" t="s">
        <v>2334</v>
      </c>
      <c r="B1138" s="34" t="s">
        <v>2335</v>
      </c>
      <c r="C1138" s="34" t="s">
        <v>965</v>
      </c>
    </row>
    <row r="1139" customFormat="false" ht="63.75" hidden="false" customHeight="false" outlineLevel="0" collapsed="false">
      <c r="A1139" s="37" t="s">
        <v>2336</v>
      </c>
      <c r="B1139" s="34" t="s">
        <v>2337</v>
      </c>
      <c r="C1139" s="34" t="s">
        <v>965</v>
      </c>
    </row>
    <row r="1140" customFormat="false" ht="63.75" hidden="false" customHeight="false" outlineLevel="0" collapsed="false">
      <c r="A1140" s="37" t="s">
        <v>2338</v>
      </c>
      <c r="B1140" s="34" t="s">
        <v>2339</v>
      </c>
      <c r="C1140" s="34" t="s">
        <v>965</v>
      </c>
    </row>
    <row r="1141" customFormat="false" ht="63.75" hidden="false" customHeight="false" outlineLevel="0" collapsed="false">
      <c r="A1141" s="37" t="s">
        <v>2340</v>
      </c>
      <c r="B1141" s="34" t="s">
        <v>2341</v>
      </c>
      <c r="C1141" s="34" t="s">
        <v>139</v>
      </c>
    </row>
    <row r="1142" customFormat="false" ht="63.75" hidden="false" customHeight="false" outlineLevel="0" collapsed="false">
      <c r="A1142" s="37" t="s">
        <v>2342</v>
      </c>
      <c r="B1142" s="34" t="s">
        <v>2343</v>
      </c>
      <c r="C1142" s="34" t="s">
        <v>139</v>
      </c>
    </row>
    <row r="1143" customFormat="false" ht="63.75" hidden="false" customHeight="false" outlineLevel="0" collapsed="false">
      <c r="A1143" s="37" t="s">
        <v>2344</v>
      </c>
      <c r="B1143" s="34" t="s">
        <v>2345</v>
      </c>
      <c r="C1143" s="34" t="s">
        <v>139</v>
      </c>
    </row>
    <row r="1144" customFormat="false" ht="63.75" hidden="false" customHeight="false" outlineLevel="0" collapsed="false">
      <c r="A1144" s="37" t="s">
        <v>2346</v>
      </c>
      <c r="B1144" s="34" t="s">
        <v>2347</v>
      </c>
      <c r="C1144" s="34" t="s">
        <v>139</v>
      </c>
    </row>
    <row r="1145" customFormat="false" ht="63.75" hidden="false" customHeight="false" outlineLevel="0" collapsed="false">
      <c r="A1145" s="37" t="s">
        <v>2348</v>
      </c>
      <c r="B1145" s="34" t="s">
        <v>2349</v>
      </c>
      <c r="C1145" s="34" t="s">
        <v>139</v>
      </c>
    </row>
    <row r="1146" customFormat="false" ht="63.75" hidden="false" customHeight="false" outlineLevel="0" collapsed="false">
      <c r="A1146" s="37" t="s">
        <v>2350</v>
      </c>
      <c r="B1146" s="34" t="s">
        <v>2351</v>
      </c>
      <c r="C1146" s="34" t="s">
        <v>139</v>
      </c>
    </row>
    <row r="1147" customFormat="false" ht="63.75" hidden="false" customHeight="false" outlineLevel="0" collapsed="false">
      <c r="A1147" s="37" t="s">
        <v>2352</v>
      </c>
      <c r="B1147" s="34" t="s">
        <v>2353</v>
      </c>
      <c r="C1147" s="34" t="s">
        <v>139</v>
      </c>
    </row>
    <row r="1148" customFormat="false" ht="63.75" hidden="false" customHeight="false" outlineLevel="0" collapsed="false">
      <c r="A1148" s="37" t="s">
        <v>2354</v>
      </c>
      <c r="B1148" s="34" t="s">
        <v>2206</v>
      </c>
      <c r="C1148" s="34" t="s">
        <v>139</v>
      </c>
    </row>
    <row r="1149" customFormat="false" ht="63.75" hidden="false" customHeight="false" outlineLevel="0" collapsed="false">
      <c r="A1149" s="37" t="s">
        <v>2355</v>
      </c>
      <c r="B1149" s="34" t="s">
        <v>2356</v>
      </c>
      <c r="C1149" s="34" t="s">
        <v>139</v>
      </c>
    </row>
    <row r="1150" customFormat="false" ht="51" hidden="false" customHeight="false" outlineLevel="0" collapsed="false">
      <c r="A1150" s="37" t="s">
        <v>2357</v>
      </c>
      <c r="B1150" s="34" t="s">
        <v>2358</v>
      </c>
      <c r="C1150" s="34" t="s">
        <v>2359</v>
      </c>
    </row>
    <row r="1151" customFormat="false" ht="51" hidden="false" customHeight="false" outlineLevel="0" collapsed="false">
      <c r="A1151" s="37" t="s">
        <v>2360</v>
      </c>
      <c r="B1151" s="34" t="s">
        <v>2361</v>
      </c>
      <c r="C1151" s="34" t="s">
        <v>2362</v>
      </c>
    </row>
    <row r="1152" customFormat="false" ht="63.75" hidden="false" customHeight="false" outlineLevel="0" collapsed="false">
      <c r="A1152" s="37" t="s">
        <v>2363</v>
      </c>
      <c r="B1152" s="34" t="s">
        <v>2364</v>
      </c>
      <c r="C1152" s="34" t="s">
        <v>2365</v>
      </c>
    </row>
    <row r="1153" customFormat="false" ht="63.75" hidden="false" customHeight="false" outlineLevel="0" collapsed="false">
      <c r="A1153" s="37" t="s">
        <v>2366</v>
      </c>
      <c r="B1153" s="34" t="s">
        <v>2367</v>
      </c>
      <c r="C1153" s="34" t="s">
        <v>2365</v>
      </c>
    </row>
    <row r="1154" customFormat="false" ht="63.75" hidden="false" customHeight="false" outlineLevel="0" collapsed="false">
      <c r="A1154" s="37" t="s">
        <v>2368</v>
      </c>
      <c r="B1154" s="34" t="s">
        <v>2369</v>
      </c>
      <c r="C1154" s="34" t="s">
        <v>2365</v>
      </c>
    </row>
    <row r="1155" customFormat="false" ht="63.75" hidden="false" customHeight="false" outlineLevel="0" collapsed="false">
      <c r="A1155" s="37" t="s">
        <v>2370</v>
      </c>
      <c r="B1155" s="34" t="s">
        <v>2371</v>
      </c>
      <c r="C1155" s="34" t="s">
        <v>2365</v>
      </c>
    </row>
    <row r="1156" customFormat="false" ht="63.75" hidden="false" customHeight="false" outlineLevel="0" collapsed="false">
      <c r="A1156" s="37" t="s">
        <v>2372</v>
      </c>
      <c r="B1156" s="34" t="s">
        <v>2373</v>
      </c>
      <c r="C1156" s="34" t="s">
        <v>2365</v>
      </c>
    </row>
    <row r="1157" customFormat="false" ht="63.75" hidden="false" customHeight="false" outlineLevel="0" collapsed="false">
      <c r="A1157" s="37" t="s">
        <v>2374</v>
      </c>
      <c r="B1157" s="34" t="s">
        <v>2375</v>
      </c>
      <c r="C1157" s="34" t="s">
        <v>2365</v>
      </c>
    </row>
    <row r="1158" customFormat="false" ht="63.75" hidden="false" customHeight="false" outlineLevel="0" collapsed="false">
      <c r="A1158" s="37" t="s">
        <v>2376</v>
      </c>
      <c r="B1158" s="34" t="s">
        <v>2377</v>
      </c>
      <c r="C1158" s="34" t="s">
        <v>2365</v>
      </c>
    </row>
    <row r="1159" customFormat="false" ht="63.75" hidden="false" customHeight="false" outlineLevel="0" collapsed="false">
      <c r="A1159" s="37" t="s">
        <v>2378</v>
      </c>
      <c r="B1159" s="34" t="s">
        <v>2379</v>
      </c>
      <c r="C1159" s="34" t="s">
        <v>2365</v>
      </c>
    </row>
    <row r="1160" customFormat="false" ht="63.75" hidden="false" customHeight="false" outlineLevel="0" collapsed="false">
      <c r="A1160" s="37" t="s">
        <v>2380</v>
      </c>
      <c r="B1160" s="34" t="s">
        <v>2381</v>
      </c>
      <c r="C1160" s="34" t="s">
        <v>2365</v>
      </c>
    </row>
    <row r="1161" customFormat="false" ht="63.75" hidden="false" customHeight="false" outlineLevel="0" collapsed="false">
      <c r="A1161" s="37" t="s">
        <v>2382</v>
      </c>
      <c r="B1161" s="34" t="s">
        <v>2383</v>
      </c>
      <c r="C1161" s="34" t="s">
        <v>2365</v>
      </c>
    </row>
    <row r="1162" customFormat="false" ht="51" hidden="false" customHeight="false" outlineLevel="0" collapsed="false">
      <c r="A1162" s="37" t="s">
        <v>2384</v>
      </c>
      <c r="B1162" s="34" t="s">
        <v>2385</v>
      </c>
      <c r="C1162" s="34" t="s">
        <v>2386</v>
      </c>
    </row>
    <row r="1163" customFormat="false" ht="51" hidden="false" customHeight="false" outlineLevel="0" collapsed="false">
      <c r="A1163" s="37" t="s">
        <v>2387</v>
      </c>
      <c r="B1163" s="34" t="s">
        <v>2388</v>
      </c>
      <c r="C1163" s="34" t="s">
        <v>2386</v>
      </c>
    </row>
    <row r="1164" customFormat="false" ht="51" hidden="false" customHeight="false" outlineLevel="0" collapsed="false">
      <c r="A1164" s="37" t="s">
        <v>2389</v>
      </c>
      <c r="B1164" s="34" t="s">
        <v>2390</v>
      </c>
      <c r="C1164" s="34" t="s">
        <v>2386</v>
      </c>
    </row>
    <row r="1165" customFormat="false" ht="51" hidden="false" customHeight="false" outlineLevel="0" collapsed="false">
      <c r="A1165" s="37" t="s">
        <v>2391</v>
      </c>
      <c r="B1165" s="34" t="s">
        <v>2392</v>
      </c>
      <c r="C1165" s="34" t="s">
        <v>2386</v>
      </c>
    </row>
    <row r="1166" customFormat="false" ht="51" hidden="false" customHeight="false" outlineLevel="0" collapsed="false">
      <c r="A1166" s="37" t="s">
        <v>2393</v>
      </c>
      <c r="B1166" s="34" t="s">
        <v>2394</v>
      </c>
      <c r="C1166" s="34" t="s">
        <v>2386</v>
      </c>
    </row>
    <row r="1167" customFormat="false" ht="63.75" hidden="false" customHeight="false" outlineLevel="0" collapsed="false">
      <c r="A1167" s="37" t="s">
        <v>2395</v>
      </c>
      <c r="B1167" s="34" t="s">
        <v>2396</v>
      </c>
      <c r="C1167" s="34" t="s">
        <v>2397</v>
      </c>
    </row>
    <row r="1168" customFormat="false" ht="63.75" hidden="false" customHeight="false" outlineLevel="0" collapsed="false">
      <c r="A1168" s="37" t="s">
        <v>2398</v>
      </c>
      <c r="B1168" s="34" t="s">
        <v>2399</v>
      </c>
      <c r="C1168" s="34" t="s">
        <v>139</v>
      </c>
    </row>
    <row r="1169" customFormat="false" ht="63.75" hidden="false" customHeight="false" outlineLevel="0" collapsed="false">
      <c r="A1169" s="37" t="s">
        <v>2400</v>
      </c>
      <c r="B1169" s="34" t="s">
        <v>2401</v>
      </c>
      <c r="C1169" s="34" t="s">
        <v>139</v>
      </c>
    </row>
    <row r="1170" customFormat="false" ht="63.75" hidden="false" customHeight="false" outlineLevel="0" collapsed="false">
      <c r="A1170" s="37" t="s">
        <v>2402</v>
      </c>
      <c r="B1170" s="34" t="s">
        <v>2403</v>
      </c>
      <c r="C1170" s="34" t="s">
        <v>139</v>
      </c>
    </row>
    <row r="1171" customFormat="false" ht="63.75" hidden="false" customHeight="false" outlineLevel="0" collapsed="false">
      <c r="A1171" s="37" t="s">
        <v>2404</v>
      </c>
      <c r="B1171" s="34" t="s">
        <v>2405</v>
      </c>
      <c r="C1171" s="34" t="s">
        <v>139</v>
      </c>
    </row>
    <row r="1172" customFormat="false" ht="63.75" hidden="false" customHeight="false" outlineLevel="0" collapsed="false">
      <c r="A1172" s="37" t="s">
        <v>2406</v>
      </c>
      <c r="B1172" s="34" t="s">
        <v>2407</v>
      </c>
      <c r="C1172" s="34" t="s">
        <v>139</v>
      </c>
    </row>
    <row r="1173" customFormat="false" ht="38.25" hidden="false" customHeight="false" outlineLevel="0" collapsed="false">
      <c r="A1173" s="37" t="s">
        <v>2408</v>
      </c>
      <c r="B1173" s="34" t="s">
        <v>2409</v>
      </c>
      <c r="C1173" s="34" t="s">
        <v>73</v>
      </c>
    </row>
    <row r="1174" customFormat="false" ht="38.25" hidden="false" customHeight="false" outlineLevel="0" collapsed="false">
      <c r="A1174" s="37" t="s">
        <v>2410</v>
      </c>
      <c r="B1174" s="34" t="s">
        <v>2411</v>
      </c>
      <c r="C1174" s="34" t="s">
        <v>2412</v>
      </c>
    </row>
    <row r="1175" customFormat="false" ht="102" hidden="false" customHeight="false" outlineLevel="0" collapsed="false">
      <c r="A1175" s="37" t="n">
        <v>5400100</v>
      </c>
      <c r="B1175" s="34" t="s">
        <v>2413</v>
      </c>
      <c r="C1175" s="34" t="s">
        <v>95</v>
      </c>
    </row>
    <row r="1176" customFormat="false" ht="102" hidden="false" customHeight="false" outlineLevel="0" collapsed="false">
      <c r="A1176" s="37" t="n">
        <v>5400200</v>
      </c>
      <c r="B1176" s="34" t="s">
        <v>2414</v>
      </c>
      <c r="C1176" s="34" t="s">
        <v>1506</v>
      </c>
    </row>
    <row r="1177" customFormat="false" ht="89.25" hidden="false" customHeight="false" outlineLevel="0" collapsed="false">
      <c r="A1177" s="37" t="n">
        <v>5400300</v>
      </c>
      <c r="B1177" s="34" t="s">
        <v>2415</v>
      </c>
      <c r="C1177" s="34" t="s">
        <v>1508</v>
      </c>
    </row>
    <row r="1178" customFormat="false" ht="102" hidden="false" customHeight="false" outlineLevel="0" collapsed="false">
      <c r="A1178" s="37" t="n">
        <v>5400400</v>
      </c>
      <c r="B1178" s="34" t="s">
        <v>2416</v>
      </c>
      <c r="C1178" s="34" t="s">
        <v>1510</v>
      </c>
    </row>
    <row r="1179" customFormat="false" ht="76.5" hidden="false" customHeight="false" outlineLevel="0" collapsed="false">
      <c r="A1179" s="37" t="n">
        <v>5400500</v>
      </c>
      <c r="B1179" s="34" t="s">
        <v>2417</v>
      </c>
      <c r="C1179" s="34" t="s">
        <v>1512</v>
      </c>
    </row>
    <row r="1180" customFormat="false" ht="102" hidden="false" customHeight="false" outlineLevel="0" collapsed="false">
      <c r="A1180" s="37" t="n">
        <v>5400600</v>
      </c>
      <c r="B1180" s="34" t="s">
        <v>2418</v>
      </c>
      <c r="C1180" s="34" t="s">
        <v>1514</v>
      </c>
    </row>
    <row r="1181" customFormat="false" ht="89.25" hidden="false" customHeight="false" outlineLevel="0" collapsed="false">
      <c r="A1181" s="37" t="s">
        <v>2419</v>
      </c>
      <c r="B1181" s="34" t="s">
        <v>2420</v>
      </c>
      <c r="C1181" s="34" t="s">
        <v>1517</v>
      </c>
    </row>
    <row r="1182" customFormat="false" ht="51" hidden="false" customHeight="false" outlineLevel="0" collapsed="false">
      <c r="A1182" s="37" t="s">
        <v>2421</v>
      </c>
      <c r="B1182" s="34" t="s">
        <v>2422</v>
      </c>
      <c r="C1182" s="34" t="s">
        <v>1520</v>
      </c>
    </row>
    <row r="1183" customFormat="false" ht="63.75" hidden="false" customHeight="false" outlineLevel="0" collapsed="false">
      <c r="A1183" s="37" t="s">
        <v>2423</v>
      </c>
      <c r="B1183" s="34" t="s">
        <v>2424</v>
      </c>
      <c r="C1183" s="34" t="s">
        <v>2425</v>
      </c>
    </row>
    <row r="1184" customFormat="false" ht="51" hidden="false" customHeight="false" outlineLevel="0" collapsed="false">
      <c r="A1184" s="37" t="s">
        <v>2426</v>
      </c>
      <c r="B1184" s="34" t="s">
        <v>2427</v>
      </c>
      <c r="C1184" s="34" t="s">
        <v>2428</v>
      </c>
    </row>
    <row r="1185" customFormat="false" ht="51" hidden="false" customHeight="false" outlineLevel="0" collapsed="false">
      <c r="A1185" s="37" t="s">
        <v>2429</v>
      </c>
      <c r="B1185" s="34" t="s">
        <v>2430</v>
      </c>
      <c r="C1185" s="34" t="s">
        <v>2428</v>
      </c>
    </row>
    <row r="1186" customFormat="false" ht="51" hidden="false" customHeight="false" outlineLevel="0" collapsed="false">
      <c r="A1186" s="37" t="s">
        <v>2431</v>
      </c>
      <c r="B1186" s="34" t="s">
        <v>2432</v>
      </c>
      <c r="C1186" s="34" t="s">
        <v>1520</v>
      </c>
    </row>
    <row r="1187" customFormat="false" ht="51" hidden="false" customHeight="false" outlineLevel="0" collapsed="false">
      <c r="A1187" s="37" t="s">
        <v>2433</v>
      </c>
      <c r="B1187" s="34" t="s">
        <v>2434</v>
      </c>
      <c r="C1187" s="34" t="s">
        <v>1520</v>
      </c>
    </row>
    <row r="1188" customFormat="false" ht="51" hidden="false" customHeight="false" outlineLevel="0" collapsed="false">
      <c r="A1188" s="37" t="s">
        <v>2435</v>
      </c>
      <c r="B1188" s="34" t="s">
        <v>2436</v>
      </c>
      <c r="C1188" s="34" t="s">
        <v>1520</v>
      </c>
    </row>
    <row r="1189" customFormat="false" ht="51" hidden="false" customHeight="false" outlineLevel="0" collapsed="false">
      <c r="A1189" s="37" t="s">
        <v>2437</v>
      </c>
      <c r="B1189" s="34" t="s">
        <v>2438</v>
      </c>
      <c r="C1189" s="34" t="s">
        <v>1520</v>
      </c>
    </row>
    <row r="1190" customFormat="false" ht="102" hidden="false" customHeight="false" outlineLevel="0" collapsed="false">
      <c r="A1190" s="37" t="s">
        <v>2439</v>
      </c>
      <c r="B1190" s="34" t="s">
        <v>2440</v>
      </c>
      <c r="C1190" s="34" t="s">
        <v>1530</v>
      </c>
    </row>
    <row r="1191" customFormat="false" ht="102" hidden="false" customHeight="false" outlineLevel="0" collapsed="false">
      <c r="A1191" s="37" t="n">
        <v>5401100</v>
      </c>
      <c r="B1191" s="34" t="s">
        <v>2441</v>
      </c>
      <c r="C1191" s="34" t="s">
        <v>97</v>
      </c>
    </row>
    <row r="1192" customFormat="false" ht="102" hidden="false" customHeight="false" outlineLevel="0" collapsed="false">
      <c r="A1192" s="37" t="n">
        <v>5401200</v>
      </c>
      <c r="B1192" s="34" t="s">
        <v>2442</v>
      </c>
      <c r="C1192" s="34" t="s">
        <v>97</v>
      </c>
    </row>
    <row r="1193" customFormat="false" ht="102" hidden="false" customHeight="false" outlineLevel="0" collapsed="false">
      <c r="A1193" s="37" t="n">
        <v>5401300</v>
      </c>
      <c r="B1193" s="34" t="s">
        <v>2443</v>
      </c>
      <c r="C1193" s="34" t="s">
        <v>786</v>
      </c>
    </row>
    <row r="1194" customFormat="false" ht="114.75" hidden="false" customHeight="false" outlineLevel="0" collapsed="false">
      <c r="A1194" s="37" t="n">
        <v>5401400</v>
      </c>
      <c r="B1194" s="34" t="s">
        <v>2444</v>
      </c>
      <c r="C1194" s="34" t="s">
        <v>849</v>
      </c>
    </row>
    <row r="1195" customFormat="false" ht="89.25" hidden="false" customHeight="false" outlineLevel="0" collapsed="false">
      <c r="A1195" s="37" t="n">
        <v>5401500</v>
      </c>
      <c r="B1195" s="34" t="s">
        <v>2445</v>
      </c>
      <c r="C1195" s="34" t="s">
        <v>891</v>
      </c>
    </row>
    <row r="1196" customFormat="false" ht="114.75" hidden="false" customHeight="false" outlineLevel="0" collapsed="false">
      <c r="A1196" s="37" t="n">
        <v>5401600</v>
      </c>
      <c r="B1196" s="34" t="s">
        <v>2446</v>
      </c>
      <c r="C1196" s="34" t="s">
        <v>853</v>
      </c>
    </row>
    <row r="1197" customFormat="false" ht="76.5" hidden="false" customHeight="false" outlineLevel="0" collapsed="false">
      <c r="A1197" s="37" t="s">
        <v>2447</v>
      </c>
      <c r="B1197" s="34" t="s">
        <v>2448</v>
      </c>
      <c r="C1197" s="34" t="s">
        <v>108</v>
      </c>
    </row>
    <row r="1198" customFormat="false" ht="89.25" hidden="false" customHeight="false" outlineLevel="0" collapsed="false">
      <c r="A1198" s="37" t="s">
        <v>2449</v>
      </c>
      <c r="B1198" s="34" t="s">
        <v>2450</v>
      </c>
      <c r="C1198" s="34" t="s">
        <v>871</v>
      </c>
    </row>
    <row r="1199" customFormat="false" ht="89.25" hidden="false" customHeight="false" outlineLevel="0" collapsed="false">
      <c r="A1199" s="37" t="s">
        <v>2451</v>
      </c>
      <c r="B1199" s="34" t="s">
        <v>2452</v>
      </c>
      <c r="C1199" s="34" t="s">
        <v>858</v>
      </c>
    </row>
    <row r="1200" customFormat="false" ht="89.25" hidden="false" customHeight="false" outlineLevel="0" collapsed="false">
      <c r="A1200" s="37" t="s">
        <v>2453</v>
      </c>
      <c r="B1200" s="34" t="s">
        <v>2454</v>
      </c>
      <c r="C1200" s="34" t="s">
        <v>902</v>
      </c>
    </row>
    <row r="1201" customFormat="false" ht="89.25" hidden="false" customHeight="false" outlineLevel="0" collapsed="false">
      <c r="A1201" s="37" t="s">
        <v>2455</v>
      </c>
      <c r="B1201" s="34" t="s">
        <v>2456</v>
      </c>
      <c r="C1201" s="34" t="s">
        <v>902</v>
      </c>
    </row>
    <row r="1202" customFormat="false" ht="89.25" hidden="false" customHeight="false" outlineLevel="0" collapsed="false">
      <c r="A1202" s="37" t="s">
        <v>2457</v>
      </c>
      <c r="B1202" s="34" t="s">
        <v>2458</v>
      </c>
      <c r="C1202" s="34" t="s">
        <v>122</v>
      </c>
    </row>
    <row r="1203" customFormat="false" ht="89.25" hidden="false" customHeight="false" outlineLevel="0" collapsed="false">
      <c r="A1203" s="37" t="s">
        <v>2459</v>
      </c>
      <c r="B1203" s="34" t="s">
        <v>2460</v>
      </c>
      <c r="C1203" s="34" t="s">
        <v>874</v>
      </c>
    </row>
    <row r="1204" customFormat="false" ht="89.25" hidden="false" customHeight="false" outlineLevel="0" collapsed="false">
      <c r="A1204" s="37" t="s">
        <v>2461</v>
      </c>
      <c r="B1204" s="34" t="s">
        <v>2462</v>
      </c>
      <c r="C1204" s="34" t="s">
        <v>874</v>
      </c>
    </row>
    <row r="1205" customFormat="false" ht="89.25" hidden="false" customHeight="false" outlineLevel="0" collapsed="false">
      <c r="A1205" s="37" t="s">
        <v>2463</v>
      </c>
      <c r="B1205" s="34" t="s">
        <v>2464</v>
      </c>
      <c r="C1205" s="34" t="s">
        <v>874</v>
      </c>
    </row>
    <row r="1206" customFormat="false" ht="89.25" hidden="false" customHeight="false" outlineLevel="0" collapsed="false">
      <c r="A1206" s="37" t="s">
        <v>2465</v>
      </c>
      <c r="B1206" s="34" t="s">
        <v>2466</v>
      </c>
      <c r="C1206" s="34" t="s">
        <v>874</v>
      </c>
    </row>
    <row r="1207" customFormat="false" ht="102" hidden="false" customHeight="false" outlineLevel="0" collapsed="false">
      <c r="A1207" s="37" t="s">
        <v>2467</v>
      </c>
      <c r="B1207" s="34" t="s">
        <v>2468</v>
      </c>
      <c r="C1207" s="34" t="s">
        <v>883</v>
      </c>
    </row>
    <row r="1208" customFormat="false" ht="102" hidden="false" customHeight="false" outlineLevel="0" collapsed="false">
      <c r="A1208" s="37" t="n">
        <v>5402100</v>
      </c>
      <c r="B1208" s="34" t="s">
        <v>2469</v>
      </c>
      <c r="C1208" s="34" t="s">
        <v>97</v>
      </c>
    </row>
    <row r="1209" customFormat="false" ht="102" hidden="false" customHeight="false" outlineLevel="0" collapsed="false">
      <c r="A1209" s="37" t="n">
        <v>5402200</v>
      </c>
      <c r="B1209" s="34" t="s">
        <v>2470</v>
      </c>
      <c r="C1209" s="34" t="s">
        <v>97</v>
      </c>
    </row>
    <row r="1210" customFormat="false" ht="102" hidden="false" customHeight="false" outlineLevel="0" collapsed="false">
      <c r="A1210" s="37" t="n">
        <v>5402300</v>
      </c>
      <c r="B1210" s="34" t="s">
        <v>2471</v>
      </c>
      <c r="C1210" s="34" t="s">
        <v>887</v>
      </c>
    </row>
    <row r="1211" customFormat="false" ht="114.75" hidden="false" customHeight="false" outlineLevel="0" collapsed="false">
      <c r="A1211" s="37" t="n">
        <v>5402400</v>
      </c>
      <c r="B1211" s="34" t="s">
        <v>2472</v>
      </c>
      <c r="C1211" s="34" t="s">
        <v>849</v>
      </c>
    </row>
    <row r="1212" customFormat="false" ht="89.25" hidden="false" customHeight="false" outlineLevel="0" collapsed="false">
      <c r="A1212" s="37" t="n">
        <v>5402500</v>
      </c>
      <c r="B1212" s="34" t="s">
        <v>2473</v>
      </c>
      <c r="C1212" s="34" t="s">
        <v>891</v>
      </c>
    </row>
    <row r="1213" customFormat="false" ht="114.75" hidden="false" customHeight="false" outlineLevel="0" collapsed="false">
      <c r="A1213" s="37" t="n">
        <v>5402600</v>
      </c>
      <c r="B1213" s="34" t="s">
        <v>2474</v>
      </c>
      <c r="C1213" s="34" t="s">
        <v>853</v>
      </c>
    </row>
    <row r="1214" customFormat="false" ht="76.5" hidden="false" customHeight="false" outlineLevel="0" collapsed="false">
      <c r="A1214" s="37" t="s">
        <v>2475</v>
      </c>
      <c r="B1214" s="34" t="s">
        <v>2476</v>
      </c>
      <c r="C1214" s="34" t="s">
        <v>108</v>
      </c>
    </row>
    <row r="1215" customFormat="false" ht="89.25" hidden="false" customHeight="false" outlineLevel="0" collapsed="false">
      <c r="A1215" s="37" t="s">
        <v>2477</v>
      </c>
      <c r="B1215" s="34" t="s">
        <v>2478</v>
      </c>
      <c r="C1215" s="34" t="s">
        <v>871</v>
      </c>
    </row>
    <row r="1216" customFormat="false" ht="89.25" hidden="false" customHeight="false" outlineLevel="0" collapsed="false">
      <c r="A1216" s="37" t="s">
        <v>2479</v>
      </c>
      <c r="B1216" s="34" t="s">
        <v>2480</v>
      </c>
      <c r="C1216" s="34" t="s">
        <v>858</v>
      </c>
    </row>
    <row r="1217" customFormat="false" ht="89.25" hidden="false" customHeight="false" outlineLevel="0" collapsed="false">
      <c r="A1217" s="37" t="s">
        <v>2481</v>
      </c>
      <c r="B1217" s="34" t="s">
        <v>2482</v>
      </c>
      <c r="C1217" s="34" t="s">
        <v>902</v>
      </c>
    </row>
    <row r="1218" customFormat="false" ht="89.25" hidden="false" customHeight="false" outlineLevel="0" collapsed="false">
      <c r="A1218" s="37" t="s">
        <v>2483</v>
      </c>
      <c r="B1218" s="34" t="s">
        <v>2484</v>
      </c>
      <c r="C1218" s="34" t="s">
        <v>902</v>
      </c>
    </row>
    <row r="1219" customFormat="false" ht="89.25" hidden="false" customHeight="false" outlineLevel="0" collapsed="false">
      <c r="A1219" s="37" t="s">
        <v>2485</v>
      </c>
      <c r="B1219" s="34" t="s">
        <v>2486</v>
      </c>
      <c r="C1219" s="34" t="s">
        <v>122</v>
      </c>
    </row>
    <row r="1220" customFormat="false" ht="89.25" hidden="false" customHeight="false" outlineLevel="0" collapsed="false">
      <c r="A1220" s="37" t="s">
        <v>2487</v>
      </c>
      <c r="B1220" s="34" t="s">
        <v>2488</v>
      </c>
      <c r="C1220" s="34" t="s">
        <v>874</v>
      </c>
    </row>
    <row r="1221" customFormat="false" ht="89.25" hidden="false" customHeight="false" outlineLevel="0" collapsed="false">
      <c r="A1221" s="37" t="s">
        <v>2489</v>
      </c>
      <c r="B1221" s="34" t="s">
        <v>2490</v>
      </c>
      <c r="C1221" s="34" t="s">
        <v>874</v>
      </c>
    </row>
    <row r="1222" customFormat="false" ht="89.25" hidden="false" customHeight="false" outlineLevel="0" collapsed="false">
      <c r="A1222" s="37" t="s">
        <v>2491</v>
      </c>
      <c r="B1222" s="34" t="s">
        <v>2492</v>
      </c>
      <c r="C1222" s="34" t="s">
        <v>874</v>
      </c>
    </row>
    <row r="1223" customFormat="false" ht="89.25" hidden="false" customHeight="false" outlineLevel="0" collapsed="false">
      <c r="A1223" s="37" t="s">
        <v>2493</v>
      </c>
      <c r="B1223" s="34" t="s">
        <v>2494</v>
      </c>
      <c r="C1223" s="34" t="s">
        <v>874</v>
      </c>
    </row>
    <row r="1224" customFormat="false" ht="102" hidden="false" customHeight="false" outlineLevel="0" collapsed="false">
      <c r="A1224" s="37" t="s">
        <v>2495</v>
      </c>
      <c r="B1224" s="34" t="s">
        <v>2496</v>
      </c>
      <c r="C1224" s="34" t="s">
        <v>883</v>
      </c>
    </row>
    <row r="1225" customFormat="false" ht="102" hidden="false" customHeight="false" outlineLevel="0" collapsed="false">
      <c r="A1225" s="37" t="n">
        <v>5405100</v>
      </c>
      <c r="B1225" s="34" t="s">
        <v>2497</v>
      </c>
      <c r="C1225" s="34" t="s">
        <v>883</v>
      </c>
    </row>
    <row r="1226" customFormat="false" ht="102" hidden="false" customHeight="false" outlineLevel="0" collapsed="false">
      <c r="A1226" s="37" t="n">
        <v>5405200</v>
      </c>
      <c r="B1226" s="34" t="s">
        <v>2498</v>
      </c>
      <c r="C1226" s="34" t="s">
        <v>97</v>
      </c>
    </row>
    <row r="1227" customFormat="false" ht="102" hidden="false" customHeight="false" outlineLevel="0" collapsed="false">
      <c r="A1227" s="37" t="n">
        <v>5405300</v>
      </c>
      <c r="B1227" s="34" t="s">
        <v>2499</v>
      </c>
      <c r="C1227" s="34" t="s">
        <v>887</v>
      </c>
    </row>
    <row r="1228" customFormat="false" ht="114.75" hidden="false" customHeight="false" outlineLevel="0" collapsed="false">
      <c r="A1228" s="37" t="n">
        <v>5405400</v>
      </c>
      <c r="B1228" s="34" t="s">
        <v>2500</v>
      </c>
      <c r="C1228" s="34" t="s">
        <v>1593</v>
      </c>
    </row>
    <row r="1229" customFormat="false" ht="102" hidden="false" customHeight="false" outlineLevel="0" collapsed="false">
      <c r="A1229" s="37" t="n">
        <v>5405500</v>
      </c>
      <c r="B1229" s="34" t="s">
        <v>2501</v>
      </c>
      <c r="C1229" s="34" t="s">
        <v>851</v>
      </c>
    </row>
    <row r="1230" customFormat="false" ht="114.75" hidden="false" customHeight="false" outlineLevel="0" collapsed="false">
      <c r="A1230" s="37" t="n">
        <v>5405600</v>
      </c>
      <c r="B1230" s="34" t="s">
        <v>2502</v>
      </c>
      <c r="C1230" s="34" t="s">
        <v>1596</v>
      </c>
    </row>
    <row r="1231" customFormat="false" ht="76.5" hidden="false" customHeight="false" outlineLevel="0" collapsed="false">
      <c r="A1231" s="37" t="s">
        <v>2503</v>
      </c>
      <c r="B1231" s="34" t="s">
        <v>2504</v>
      </c>
      <c r="C1231" s="34" t="s">
        <v>108</v>
      </c>
    </row>
    <row r="1232" customFormat="false" ht="89.25" hidden="false" customHeight="false" outlineLevel="0" collapsed="false">
      <c r="A1232" s="37" t="s">
        <v>2505</v>
      </c>
      <c r="B1232" s="34" t="s">
        <v>2506</v>
      </c>
      <c r="C1232" s="34" t="s">
        <v>871</v>
      </c>
    </row>
    <row r="1233" customFormat="false" ht="89.25" hidden="false" customHeight="false" outlineLevel="0" collapsed="false">
      <c r="A1233" s="37" t="s">
        <v>2507</v>
      </c>
      <c r="B1233" s="34" t="s">
        <v>2508</v>
      </c>
      <c r="C1233" s="34" t="s">
        <v>858</v>
      </c>
    </row>
    <row r="1234" customFormat="false" ht="102" hidden="false" customHeight="false" outlineLevel="0" collapsed="false">
      <c r="A1234" s="37" t="s">
        <v>2509</v>
      </c>
      <c r="B1234" s="34" t="s">
        <v>2510</v>
      </c>
      <c r="C1234" s="34" t="s">
        <v>851</v>
      </c>
    </row>
    <row r="1235" customFormat="false" ht="102" hidden="false" customHeight="false" outlineLevel="0" collapsed="false">
      <c r="A1235" s="37" t="s">
        <v>2511</v>
      </c>
      <c r="B1235" s="34" t="s">
        <v>2512</v>
      </c>
      <c r="C1235" s="34" t="s">
        <v>851</v>
      </c>
    </row>
    <row r="1236" customFormat="false" ht="89.25" hidden="false" customHeight="false" outlineLevel="0" collapsed="false">
      <c r="A1236" s="37" t="s">
        <v>2513</v>
      </c>
      <c r="B1236" s="34" t="s">
        <v>2514</v>
      </c>
      <c r="C1236" s="34" t="s">
        <v>874</v>
      </c>
    </row>
    <row r="1237" customFormat="false" ht="89.25" hidden="false" customHeight="false" outlineLevel="0" collapsed="false">
      <c r="A1237" s="37" t="s">
        <v>2515</v>
      </c>
      <c r="B1237" s="34" t="s">
        <v>2516</v>
      </c>
      <c r="C1237" s="34" t="s">
        <v>874</v>
      </c>
    </row>
    <row r="1238" customFormat="false" ht="89.25" hidden="false" customHeight="false" outlineLevel="0" collapsed="false">
      <c r="A1238" s="37" t="s">
        <v>2517</v>
      </c>
      <c r="B1238" s="34" t="s">
        <v>2518</v>
      </c>
      <c r="C1238" s="34" t="s">
        <v>874</v>
      </c>
    </row>
    <row r="1239" customFormat="false" ht="89.25" hidden="false" customHeight="false" outlineLevel="0" collapsed="false">
      <c r="A1239" s="37" t="s">
        <v>2519</v>
      </c>
      <c r="B1239" s="34" t="s">
        <v>2520</v>
      </c>
      <c r="C1239" s="34" t="s">
        <v>874</v>
      </c>
    </row>
    <row r="1240" customFormat="false" ht="102" hidden="false" customHeight="false" outlineLevel="0" collapsed="false">
      <c r="A1240" s="37" t="s">
        <v>2521</v>
      </c>
      <c r="B1240" s="34" t="s">
        <v>2522</v>
      </c>
      <c r="C1240" s="34" t="s">
        <v>883</v>
      </c>
    </row>
    <row r="1241" customFormat="false" ht="89.25" hidden="false" customHeight="false" outlineLevel="0" collapsed="false">
      <c r="A1241" s="37" t="s">
        <v>2523</v>
      </c>
      <c r="B1241" s="34" t="s">
        <v>2524</v>
      </c>
      <c r="C1241" s="34" t="s">
        <v>858</v>
      </c>
    </row>
    <row r="1242" customFormat="false" ht="102" hidden="false" customHeight="false" outlineLevel="0" collapsed="false">
      <c r="A1242" s="37" t="s">
        <v>2525</v>
      </c>
      <c r="B1242" s="34" t="s">
        <v>2526</v>
      </c>
      <c r="C1242" s="34" t="s">
        <v>851</v>
      </c>
    </row>
    <row r="1243" customFormat="false" ht="102" hidden="false" customHeight="false" outlineLevel="0" collapsed="false">
      <c r="A1243" s="37" t="s">
        <v>2527</v>
      </c>
      <c r="B1243" s="34" t="s">
        <v>2528</v>
      </c>
      <c r="C1243" s="34" t="s">
        <v>851</v>
      </c>
    </row>
    <row r="1244" customFormat="false" ht="102" hidden="false" customHeight="false" outlineLevel="0" collapsed="false">
      <c r="A1244" s="37" t="n">
        <v>5407100</v>
      </c>
      <c r="B1244" s="34" t="s">
        <v>2529</v>
      </c>
      <c r="C1244" s="34" t="s">
        <v>97</v>
      </c>
    </row>
    <row r="1245" customFormat="false" ht="89.25" hidden="false" customHeight="false" outlineLevel="0" collapsed="false">
      <c r="A1245" s="37" t="n">
        <v>5407200</v>
      </c>
      <c r="B1245" s="34" t="s">
        <v>2530</v>
      </c>
      <c r="C1245" s="34" t="s">
        <v>2531</v>
      </c>
    </row>
    <row r="1246" customFormat="false" ht="102" hidden="false" customHeight="false" outlineLevel="0" collapsed="false">
      <c r="A1246" s="37" t="n">
        <v>5407300</v>
      </c>
      <c r="B1246" s="34" t="s">
        <v>2532</v>
      </c>
      <c r="C1246" s="34" t="s">
        <v>887</v>
      </c>
    </row>
    <row r="1247" customFormat="false" ht="114.75" hidden="false" customHeight="false" outlineLevel="0" collapsed="false">
      <c r="A1247" s="37" t="n">
        <v>5407400</v>
      </c>
      <c r="B1247" s="34" t="s">
        <v>2533</v>
      </c>
      <c r="C1247" s="34" t="s">
        <v>849</v>
      </c>
    </row>
    <row r="1248" customFormat="false" ht="89.25" hidden="false" customHeight="false" outlineLevel="0" collapsed="false">
      <c r="A1248" s="37" t="n">
        <v>5407500</v>
      </c>
      <c r="B1248" s="34" t="s">
        <v>2534</v>
      </c>
      <c r="C1248" s="34" t="s">
        <v>891</v>
      </c>
    </row>
    <row r="1249" customFormat="false" ht="114.75" hidden="false" customHeight="false" outlineLevel="0" collapsed="false">
      <c r="A1249" s="37" t="n">
        <v>5407600</v>
      </c>
      <c r="B1249" s="34" t="s">
        <v>2535</v>
      </c>
      <c r="C1249" s="34" t="s">
        <v>853</v>
      </c>
    </row>
    <row r="1250" customFormat="false" ht="76.5" hidden="false" customHeight="false" outlineLevel="0" collapsed="false">
      <c r="A1250" s="37" t="s">
        <v>2536</v>
      </c>
      <c r="B1250" s="34" t="s">
        <v>2537</v>
      </c>
      <c r="C1250" s="34" t="s">
        <v>108</v>
      </c>
    </row>
    <row r="1251" customFormat="false" ht="89.25" hidden="false" customHeight="false" outlineLevel="0" collapsed="false">
      <c r="A1251" s="37" t="s">
        <v>2538</v>
      </c>
      <c r="B1251" s="34" t="s">
        <v>2539</v>
      </c>
      <c r="C1251" s="34" t="s">
        <v>871</v>
      </c>
    </row>
    <row r="1252" customFormat="false" ht="89.25" hidden="false" customHeight="false" outlineLevel="0" collapsed="false">
      <c r="A1252" s="37" t="s">
        <v>2540</v>
      </c>
      <c r="B1252" s="34" t="s">
        <v>2541</v>
      </c>
      <c r="C1252" s="34" t="s">
        <v>858</v>
      </c>
    </row>
    <row r="1253" customFormat="false" ht="89.25" hidden="false" customHeight="false" outlineLevel="0" collapsed="false">
      <c r="A1253" s="37" t="s">
        <v>2542</v>
      </c>
      <c r="B1253" s="34" t="s">
        <v>2543</v>
      </c>
      <c r="C1253" s="34" t="s">
        <v>902</v>
      </c>
    </row>
    <row r="1254" customFormat="false" ht="89.25" hidden="false" customHeight="false" outlineLevel="0" collapsed="false">
      <c r="A1254" s="37" t="s">
        <v>2544</v>
      </c>
      <c r="B1254" s="34" t="s">
        <v>2545</v>
      </c>
      <c r="C1254" s="34" t="s">
        <v>902</v>
      </c>
    </row>
    <row r="1255" customFormat="false" ht="89.25" hidden="false" customHeight="false" outlineLevel="0" collapsed="false">
      <c r="A1255" s="37" t="s">
        <v>2546</v>
      </c>
      <c r="B1255" s="34" t="s">
        <v>2547</v>
      </c>
      <c r="C1255" s="34" t="s">
        <v>122</v>
      </c>
    </row>
    <row r="1256" customFormat="false" ht="89.25" hidden="false" customHeight="false" outlineLevel="0" collapsed="false">
      <c r="A1256" s="37" t="s">
        <v>2548</v>
      </c>
      <c r="B1256" s="34" t="s">
        <v>2549</v>
      </c>
      <c r="C1256" s="34" t="s">
        <v>874</v>
      </c>
    </row>
    <row r="1257" customFormat="false" ht="89.25" hidden="false" customHeight="false" outlineLevel="0" collapsed="false">
      <c r="A1257" s="37" t="s">
        <v>2550</v>
      </c>
      <c r="B1257" s="34" t="s">
        <v>2551</v>
      </c>
      <c r="C1257" s="34" t="s">
        <v>874</v>
      </c>
    </row>
    <row r="1258" customFormat="false" ht="89.25" hidden="false" customHeight="false" outlineLevel="0" collapsed="false">
      <c r="A1258" s="37" t="s">
        <v>2552</v>
      </c>
      <c r="B1258" s="34" t="s">
        <v>2553</v>
      </c>
      <c r="C1258" s="34" t="s">
        <v>874</v>
      </c>
    </row>
    <row r="1259" customFormat="false" ht="89.25" hidden="false" customHeight="false" outlineLevel="0" collapsed="false">
      <c r="A1259" s="37" t="s">
        <v>2554</v>
      </c>
      <c r="B1259" s="34" t="s">
        <v>2555</v>
      </c>
      <c r="C1259" s="34" t="s">
        <v>874</v>
      </c>
    </row>
    <row r="1260" customFormat="false" ht="102" hidden="false" customHeight="false" outlineLevel="0" collapsed="false">
      <c r="A1260" s="37" t="s">
        <v>2556</v>
      </c>
      <c r="B1260" s="34" t="s">
        <v>2557</v>
      </c>
      <c r="C1260" s="34" t="s">
        <v>883</v>
      </c>
    </row>
    <row r="1261" customFormat="false" ht="25.5" hidden="false" customHeight="false" outlineLevel="0" collapsed="false">
      <c r="A1261" s="37" t="s">
        <v>2558</v>
      </c>
      <c r="B1261" s="34" t="s">
        <v>2559</v>
      </c>
      <c r="C1261" s="34" t="s">
        <v>965</v>
      </c>
    </row>
    <row r="1262" customFormat="false" ht="25.5" hidden="false" customHeight="false" outlineLevel="0" collapsed="false">
      <c r="A1262" s="37" t="s">
        <v>2560</v>
      </c>
      <c r="B1262" s="34" t="s">
        <v>2559</v>
      </c>
      <c r="C1262" s="34" t="s">
        <v>965</v>
      </c>
    </row>
    <row r="1263" customFormat="false" ht="25.5" hidden="false" customHeight="false" outlineLevel="0" collapsed="false">
      <c r="A1263" s="37" t="s">
        <v>2561</v>
      </c>
      <c r="B1263" s="34" t="s">
        <v>2559</v>
      </c>
      <c r="C1263" s="34" t="s">
        <v>965</v>
      </c>
    </row>
    <row r="1264" customFormat="false" ht="25.5" hidden="false" customHeight="false" outlineLevel="0" collapsed="false">
      <c r="A1264" s="37" t="s">
        <v>2562</v>
      </c>
      <c r="B1264" s="34" t="s">
        <v>2559</v>
      </c>
      <c r="C1264" s="34" t="s">
        <v>965</v>
      </c>
    </row>
    <row r="1265" customFormat="false" ht="25.5" hidden="false" customHeight="false" outlineLevel="0" collapsed="false">
      <c r="A1265" s="37" t="s">
        <v>2563</v>
      </c>
      <c r="B1265" s="34" t="s">
        <v>2559</v>
      </c>
      <c r="C1265" s="34" t="s">
        <v>965</v>
      </c>
    </row>
    <row r="1266" customFormat="false" ht="25.5" hidden="false" customHeight="false" outlineLevel="0" collapsed="false">
      <c r="A1266" s="37" t="s">
        <v>2564</v>
      </c>
      <c r="B1266" s="34" t="s">
        <v>2559</v>
      </c>
      <c r="C1266" s="34" t="s">
        <v>965</v>
      </c>
    </row>
    <row r="1267" customFormat="false" ht="25.5" hidden="false" customHeight="false" outlineLevel="0" collapsed="false">
      <c r="A1267" s="37" t="s">
        <v>2565</v>
      </c>
      <c r="B1267" s="34" t="s">
        <v>2559</v>
      </c>
      <c r="C1267" s="34" t="s">
        <v>965</v>
      </c>
    </row>
    <row r="1268" customFormat="false" ht="25.5" hidden="false" customHeight="false" outlineLevel="0" collapsed="false">
      <c r="A1268" s="37" t="s">
        <v>2566</v>
      </c>
      <c r="B1268" s="34" t="s">
        <v>2559</v>
      </c>
      <c r="C1268" s="34" t="s">
        <v>965</v>
      </c>
    </row>
    <row r="1269" customFormat="false" ht="89.25" hidden="false" customHeight="false" outlineLevel="0" collapsed="false">
      <c r="A1269" s="37" t="s">
        <v>2567</v>
      </c>
      <c r="B1269" s="34" t="s">
        <v>2568</v>
      </c>
      <c r="C1269" s="34" t="s">
        <v>985</v>
      </c>
    </row>
    <row r="1270" customFormat="false" ht="89.25" hidden="false" customHeight="false" outlineLevel="0" collapsed="false">
      <c r="A1270" s="37" t="s">
        <v>2569</v>
      </c>
      <c r="B1270" s="34" t="s">
        <v>2570</v>
      </c>
      <c r="C1270" s="34" t="s">
        <v>988</v>
      </c>
    </row>
    <row r="1271" customFormat="false" ht="76.5" hidden="false" customHeight="false" outlineLevel="0" collapsed="false">
      <c r="A1271" s="37" t="s">
        <v>2571</v>
      </c>
      <c r="B1271" s="34" t="s">
        <v>2572</v>
      </c>
      <c r="C1271" s="34" t="s">
        <v>1661</v>
      </c>
    </row>
    <row r="1272" customFormat="false" ht="51" hidden="false" customHeight="false" outlineLevel="0" collapsed="false">
      <c r="A1272" s="37" t="s">
        <v>2573</v>
      </c>
      <c r="B1272" s="34" t="s">
        <v>2574</v>
      </c>
      <c r="C1272" s="34" t="s">
        <v>965</v>
      </c>
    </row>
    <row r="1273" customFormat="false" ht="51" hidden="false" customHeight="false" outlineLevel="0" collapsed="false">
      <c r="A1273" s="37" t="s">
        <v>2575</v>
      </c>
      <c r="B1273" s="34" t="s">
        <v>2576</v>
      </c>
      <c r="C1273" s="34" t="s">
        <v>965</v>
      </c>
    </row>
    <row r="1274" customFormat="false" ht="51" hidden="false" customHeight="false" outlineLevel="0" collapsed="false">
      <c r="A1274" s="37" t="s">
        <v>2577</v>
      </c>
      <c r="B1274" s="34" t="s">
        <v>2578</v>
      </c>
      <c r="C1274" s="34" t="s">
        <v>965</v>
      </c>
    </row>
    <row r="1275" customFormat="false" ht="89.25" hidden="false" customHeight="false" outlineLevel="0" collapsed="false">
      <c r="A1275" s="37" t="s">
        <v>2579</v>
      </c>
      <c r="B1275" s="34" t="s">
        <v>2580</v>
      </c>
      <c r="C1275" s="34" t="s">
        <v>997</v>
      </c>
    </row>
    <row r="1276" customFormat="false" ht="89.25" hidden="false" customHeight="false" outlineLevel="0" collapsed="false">
      <c r="A1276" s="37" t="s">
        <v>2581</v>
      </c>
      <c r="B1276" s="34" t="s">
        <v>2582</v>
      </c>
      <c r="C1276" s="34" t="s">
        <v>997</v>
      </c>
    </row>
    <row r="1277" customFormat="false" ht="38.25" hidden="false" customHeight="false" outlineLevel="0" collapsed="false">
      <c r="A1277" s="37" t="s">
        <v>2583</v>
      </c>
      <c r="B1277" s="34" t="s">
        <v>2584</v>
      </c>
      <c r="C1277" s="34" t="s">
        <v>1002</v>
      </c>
    </row>
    <row r="1278" customFormat="false" ht="38.25" hidden="false" customHeight="false" outlineLevel="0" collapsed="false">
      <c r="A1278" s="37" t="s">
        <v>2585</v>
      </c>
      <c r="B1278" s="34" t="s">
        <v>2586</v>
      </c>
      <c r="C1278" s="34" t="s">
        <v>965</v>
      </c>
    </row>
    <row r="1279" customFormat="false" ht="51" hidden="false" customHeight="false" outlineLevel="0" collapsed="false">
      <c r="A1279" s="37" t="s">
        <v>2587</v>
      </c>
      <c r="B1279" s="34" t="s">
        <v>2588</v>
      </c>
      <c r="C1279" s="34" t="s">
        <v>965</v>
      </c>
    </row>
    <row r="1280" customFormat="false" ht="63.75" hidden="false" customHeight="false" outlineLevel="0" collapsed="false">
      <c r="A1280" s="37" t="s">
        <v>2589</v>
      </c>
      <c r="B1280" s="34" t="s">
        <v>2590</v>
      </c>
      <c r="C1280" s="34" t="s">
        <v>139</v>
      </c>
    </row>
    <row r="1281" customFormat="false" ht="63.75" hidden="false" customHeight="false" outlineLevel="0" collapsed="false">
      <c r="A1281" s="37" t="s">
        <v>2591</v>
      </c>
      <c r="B1281" s="34" t="s">
        <v>2592</v>
      </c>
      <c r="C1281" s="34" t="s">
        <v>142</v>
      </c>
    </row>
    <row r="1282" customFormat="false" ht="63.75" hidden="false" customHeight="false" outlineLevel="0" collapsed="false">
      <c r="A1282" s="37" t="s">
        <v>2593</v>
      </c>
      <c r="B1282" s="34" t="s">
        <v>2594</v>
      </c>
      <c r="C1282" s="34" t="s">
        <v>1033</v>
      </c>
    </row>
    <row r="1283" customFormat="false" ht="38.25" hidden="false" customHeight="false" outlineLevel="0" collapsed="false">
      <c r="A1283" s="37" t="s">
        <v>2595</v>
      </c>
      <c r="B1283" s="34" t="s">
        <v>2596</v>
      </c>
      <c r="C1283" s="34" t="s">
        <v>687</v>
      </c>
    </row>
    <row r="1284" customFormat="false" ht="51" hidden="false" customHeight="false" outlineLevel="0" collapsed="false">
      <c r="A1284" s="37" t="s">
        <v>2597</v>
      </c>
      <c r="B1284" s="34" t="s">
        <v>2598</v>
      </c>
      <c r="C1284" s="34" t="s">
        <v>1038</v>
      </c>
    </row>
    <row r="1285" customFormat="false" ht="38.25" hidden="false" customHeight="false" outlineLevel="0" collapsed="false">
      <c r="A1285" s="37" t="s">
        <v>2599</v>
      </c>
      <c r="B1285" s="34" t="s">
        <v>2600</v>
      </c>
      <c r="C1285" s="34" t="s">
        <v>1041</v>
      </c>
    </row>
    <row r="1286" customFormat="false" ht="25.5" hidden="false" customHeight="false" outlineLevel="0" collapsed="false">
      <c r="A1286" s="37" t="s">
        <v>2601</v>
      </c>
      <c r="B1286" s="34" t="s">
        <v>2602</v>
      </c>
      <c r="C1286" s="34" t="s">
        <v>1044</v>
      </c>
    </row>
    <row r="1287" customFormat="false" ht="51" hidden="false" customHeight="false" outlineLevel="0" collapsed="false">
      <c r="A1287" s="37" t="s">
        <v>2603</v>
      </c>
      <c r="B1287" s="34" t="s">
        <v>2604</v>
      </c>
      <c r="C1287" s="34" t="s">
        <v>1047</v>
      </c>
    </row>
    <row r="1288" customFormat="false" ht="51" hidden="false" customHeight="false" outlineLevel="0" collapsed="false">
      <c r="A1288" s="37" t="s">
        <v>2605</v>
      </c>
      <c r="B1288" s="34" t="s">
        <v>2606</v>
      </c>
      <c r="C1288" s="34" t="s">
        <v>1050</v>
      </c>
    </row>
    <row r="1289" customFormat="false" ht="51" hidden="false" customHeight="false" outlineLevel="0" collapsed="false">
      <c r="A1289" s="37" t="s">
        <v>2607</v>
      </c>
      <c r="B1289" s="34" t="s">
        <v>2608</v>
      </c>
      <c r="C1289" s="34" t="s">
        <v>1053</v>
      </c>
    </row>
    <row r="1290" customFormat="false" ht="38.25" hidden="false" customHeight="false" outlineLevel="0" collapsed="false">
      <c r="A1290" s="37" t="s">
        <v>2609</v>
      </c>
      <c r="B1290" s="34" t="s">
        <v>2610</v>
      </c>
      <c r="C1290" s="34" t="s">
        <v>1056</v>
      </c>
    </row>
    <row r="1291" customFormat="false" ht="63.75" hidden="false" customHeight="false" outlineLevel="0" collapsed="false">
      <c r="A1291" s="37" t="s">
        <v>2611</v>
      </c>
      <c r="B1291" s="34" t="s">
        <v>2612</v>
      </c>
      <c r="C1291" s="34" t="s">
        <v>1059</v>
      </c>
    </row>
    <row r="1292" customFormat="false" ht="63.75" hidden="false" customHeight="false" outlineLevel="0" collapsed="false">
      <c r="A1292" s="37" t="s">
        <v>2613</v>
      </c>
      <c r="B1292" s="34" t="s">
        <v>2614</v>
      </c>
      <c r="C1292" s="34" t="s">
        <v>139</v>
      </c>
    </row>
    <row r="1293" customFormat="false" ht="63.75" hidden="false" customHeight="false" outlineLevel="0" collapsed="false">
      <c r="A1293" s="37" t="s">
        <v>2615</v>
      </c>
      <c r="B1293" s="34" t="s">
        <v>2616</v>
      </c>
      <c r="C1293" s="34" t="s">
        <v>139</v>
      </c>
    </row>
    <row r="1294" customFormat="false" ht="63.75" hidden="false" customHeight="false" outlineLevel="0" collapsed="false">
      <c r="A1294" s="37" t="s">
        <v>2617</v>
      </c>
      <c r="B1294" s="34" t="s">
        <v>2618</v>
      </c>
      <c r="C1294" s="34" t="s">
        <v>139</v>
      </c>
    </row>
    <row r="1295" customFormat="false" ht="89.25" hidden="false" customHeight="false" outlineLevel="0" collapsed="false">
      <c r="A1295" s="37" t="n">
        <v>5410500</v>
      </c>
      <c r="B1295" s="34" t="s">
        <v>2619</v>
      </c>
      <c r="C1295" s="34" t="s">
        <v>1717</v>
      </c>
    </row>
    <row r="1296" customFormat="false" ht="114.75" hidden="false" customHeight="false" outlineLevel="0" collapsed="false">
      <c r="A1296" s="37" t="n">
        <v>5411100</v>
      </c>
      <c r="B1296" s="34" t="s">
        <v>2620</v>
      </c>
      <c r="C1296" s="34" t="s">
        <v>1067</v>
      </c>
    </row>
    <row r="1297" customFormat="false" ht="114.75" hidden="false" customHeight="false" outlineLevel="0" collapsed="false">
      <c r="A1297" s="37" t="n">
        <v>5411200</v>
      </c>
      <c r="B1297" s="34" t="s">
        <v>2621</v>
      </c>
      <c r="C1297" s="34" t="s">
        <v>1067</v>
      </c>
    </row>
    <row r="1298" customFormat="false" ht="114.75" hidden="false" customHeight="false" outlineLevel="0" collapsed="false">
      <c r="A1298" s="37" t="n">
        <v>5411500</v>
      </c>
      <c r="B1298" s="34" t="s">
        <v>2622</v>
      </c>
      <c r="C1298" s="34" t="s">
        <v>1067</v>
      </c>
    </row>
    <row r="1299" customFormat="false" ht="127.5" hidden="false" customHeight="false" outlineLevel="0" collapsed="false">
      <c r="A1299" s="37" t="n">
        <v>5412100</v>
      </c>
      <c r="B1299" s="34" t="s">
        <v>2623</v>
      </c>
      <c r="C1299" s="34" t="s">
        <v>1069</v>
      </c>
    </row>
    <row r="1300" customFormat="false" ht="127.5" hidden="false" customHeight="false" outlineLevel="0" collapsed="false">
      <c r="A1300" s="37" t="n">
        <v>5412200</v>
      </c>
      <c r="B1300" s="34" t="s">
        <v>2624</v>
      </c>
      <c r="C1300" s="34" t="s">
        <v>1069</v>
      </c>
    </row>
    <row r="1301" customFormat="false" ht="127.5" hidden="false" customHeight="false" outlineLevel="0" collapsed="false">
      <c r="A1301" s="37" t="n">
        <v>5412500</v>
      </c>
      <c r="B1301" s="34" t="s">
        <v>2625</v>
      </c>
      <c r="C1301" s="34" t="s">
        <v>1069</v>
      </c>
    </row>
    <row r="1302" customFormat="false" ht="127.5" hidden="false" customHeight="false" outlineLevel="0" collapsed="false">
      <c r="A1302" s="37" t="n">
        <v>5415500</v>
      </c>
      <c r="B1302" s="34" t="s">
        <v>2626</v>
      </c>
      <c r="C1302" s="34" t="s">
        <v>1069</v>
      </c>
    </row>
    <row r="1303" customFormat="false" ht="127.5" hidden="false" customHeight="false" outlineLevel="0" collapsed="false">
      <c r="A1303" s="37" t="n">
        <v>5416500</v>
      </c>
      <c r="B1303" s="34" t="s">
        <v>2627</v>
      </c>
      <c r="C1303" s="34" t="s">
        <v>1069</v>
      </c>
    </row>
    <row r="1304" customFormat="false" ht="127.5" hidden="false" customHeight="false" outlineLevel="0" collapsed="false">
      <c r="A1304" s="37" t="n">
        <v>5417500</v>
      </c>
      <c r="B1304" s="34" t="s">
        <v>2628</v>
      </c>
      <c r="C1304" s="34" t="s">
        <v>1069</v>
      </c>
    </row>
    <row r="1305" customFormat="false" ht="127.5" hidden="false" customHeight="false" outlineLevel="0" collapsed="false">
      <c r="A1305" s="37" t="s">
        <v>2629</v>
      </c>
      <c r="B1305" s="34" t="s">
        <v>2630</v>
      </c>
      <c r="C1305" s="34" t="s">
        <v>1069</v>
      </c>
    </row>
    <row r="1306" customFormat="false" ht="127.5" hidden="false" customHeight="false" outlineLevel="0" collapsed="false">
      <c r="A1306" s="37" t="s">
        <v>2631</v>
      </c>
      <c r="B1306" s="34" t="s">
        <v>2632</v>
      </c>
      <c r="C1306" s="34" t="s">
        <v>1732</v>
      </c>
    </row>
    <row r="1307" customFormat="false" ht="127.5" hidden="false" customHeight="false" outlineLevel="0" collapsed="false">
      <c r="A1307" s="37" t="s">
        <v>2633</v>
      </c>
      <c r="B1307" s="34" t="s">
        <v>2634</v>
      </c>
      <c r="C1307" s="34" t="s">
        <v>1732</v>
      </c>
    </row>
    <row r="1308" customFormat="false" ht="102" hidden="false" customHeight="false" outlineLevel="0" collapsed="false">
      <c r="A1308" s="37" t="s">
        <v>2635</v>
      </c>
      <c r="B1308" s="34" t="s">
        <v>2636</v>
      </c>
      <c r="C1308" s="34" t="s">
        <v>1737</v>
      </c>
    </row>
    <row r="1309" customFormat="false" ht="102" hidden="false" customHeight="false" outlineLevel="0" collapsed="false">
      <c r="A1309" s="37" t="s">
        <v>2637</v>
      </c>
      <c r="B1309" s="34" t="s">
        <v>2638</v>
      </c>
      <c r="C1309" s="34" t="s">
        <v>1737</v>
      </c>
    </row>
    <row r="1310" customFormat="false" ht="76.5" hidden="false" customHeight="false" outlineLevel="0" collapsed="false">
      <c r="A1310" s="37" t="s">
        <v>2639</v>
      </c>
      <c r="B1310" s="34" t="s">
        <v>2640</v>
      </c>
      <c r="C1310" s="34" t="s">
        <v>1741</v>
      </c>
    </row>
    <row r="1311" customFormat="false" ht="63.75" hidden="false" customHeight="false" outlineLevel="0" collapsed="false">
      <c r="A1311" s="37" t="s">
        <v>2641</v>
      </c>
      <c r="B1311" s="34" t="s">
        <v>2642</v>
      </c>
      <c r="C1311" s="34" t="s">
        <v>1744</v>
      </c>
    </row>
    <row r="1312" customFormat="false" ht="102" hidden="false" customHeight="false" outlineLevel="0" collapsed="false">
      <c r="A1312" s="37" t="s">
        <v>2643</v>
      </c>
      <c r="B1312" s="34" t="s">
        <v>2644</v>
      </c>
      <c r="C1312" s="34" t="s">
        <v>177</v>
      </c>
    </row>
    <row r="1313" customFormat="false" ht="102" hidden="false" customHeight="false" outlineLevel="0" collapsed="false">
      <c r="A1313" s="37" t="s">
        <v>2645</v>
      </c>
      <c r="B1313" s="34" t="s">
        <v>2646</v>
      </c>
      <c r="C1313" s="34" t="s">
        <v>177</v>
      </c>
    </row>
    <row r="1314" customFormat="false" ht="102" hidden="false" customHeight="false" outlineLevel="0" collapsed="false">
      <c r="A1314" s="37" t="s">
        <v>2647</v>
      </c>
      <c r="B1314" s="34" t="s">
        <v>2648</v>
      </c>
      <c r="C1314" s="34" t="s">
        <v>1737</v>
      </c>
    </row>
    <row r="1315" customFormat="false" ht="102" hidden="false" customHeight="false" outlineLevel="0" collapsed="false">
      <c r="A1315" s="37" t="s">
        <v>2649</v>
      </c>
      <c r="B1315" s="34" t="s">
        <v>2650</v>
      </c>
      <c r="C1315" s="34" t="s">
        <v>1737</v>
      </c>
    </row>
    <row r="1316" customFormat="false" ht="127.5" hidden="false" customHeight="false" outlineLevel="0" collapsed="false">
      <c r="A1316" s="37" t="s">
        <v>2651</v>
      </c>
      <c r="B1316" s="34" t="s">
        <v>2652</v>
      </c>
      <c r="C1316" s="34" t="s">
        <v>186</v>
      </c>
    </row>
    <row r="1317" customFormat="false" ht="89.25" hidden="false" customHeight="false" outlineLevel="0" collapsed="false">
      <c r="A1317" s="37" t="s">
        <v>2653</v>
      </c>
      <c r="B1317" s="34" t="s">
        <v>2654</v>
      </c>
      <c r="C1317" s="34" t="s">
        <v>1762</v>
      </c>
    </row>
    <row r="1318" customFormat="false" ht="63.75" hidden="false" customHeight="false" outlineLevel="0" collapsed="false">
      <c r="A1318" s="37" t="s">
        <v>2655</v>
      </c>
      <c r="B1318" s="34" t="s">
        <v>2656</v>
      </c>
      <c r="C1318" s="34" t="s">
        <v>139</v>
      </c>
    </row>
    <row r="1319" customFormat="false" ht="63.75" hidden="false" customHeight="false" outlineLevel="0" collapsed="false">
      <c r="A1319" s="37" t="s">
        <v>2657</v>
      </c>
      <c r="B1319" s="34" t="s">
        <v>2658</v>
      </c>
      <c r="C1319" s="34" t="s">
        <v>139</v>
      </c>
    </row>
    <row r="1320" customFormat="false" ht="63.75" hidden="false" customHeight="false" outlineLevel="0" collapsed="false">
      <c r="A1320" s="37" t="s">
        <v>2659</v>
      </c>
      <c r="B1320" s="34" t="s">
        <v>2660</v>
      </c>
      <c r="C1320" s="34" t="s">
        <v>139</v>
      </c>
    </row>
    <row r="1321" customFormat="false" ht="38.25" hidden="false" customHeight="false" outlineLevel="0" collapsed="false">
      <c r="A1321" s="37" t="s">
        <v>2661</v>
      </c>
      <c r="B1321" s="34" t="s">
        <v>2662</v>
      </c>
      <c r="C1321" s="34" t="s">
        <v>965</v>
      </c>
    </row>
    <row r="1322" customFormat="false" ht="25.5" hidden="false" customHeight="false" outlineLevel="0" collapsed="false">
      <c r="A1322" s="37" t="s">
        <v>2663</v>
      </c>
      <c r="B1322" s="34" t="s">
        <v>2664</v>
      </c>
      <c r="C1322" s="34" t="s">
        <v>965</v>
      </c>
    </row>
    <row r="1323" customFormat="false" ht="89.25" hidden="false" customHeight="false" outlineLevel="0" collapsed="false">
      <c r="A1323" s="37" t="n">
        <v>5420500</v>
      </c>
      <c r="B1323" s="34" t="s">
        <v>2665</v>
      </c>
      <c r="C1323" s="34" t="s">
        <v>1774</v>
      </c>
    </row>
    <row r="1324" customFormat="false" ht="114.75" hidden="false" customHeight="false" outlineLevel="0" collapsed="false">
      <c r="A1324" s="37" t="n">
        <v>5421100</v>
      </c>
      <c r="B1324" s="34" t="s">
        <v>2666</v>
      </c>
      <c r="C1324" s="34" t="s">
        <v>1077</v>
      </c>
    </row>
    <row r="1325" customFormat="false" ht="114.75" hidden="false" customHeight="false" outlineLevel="0" collapsed="false">
      <c r="A1325" s="37" t="n">
        <v>5421200</v>
      </c>
      <c r="B1325" s="34" t="s">
        <v>2667</v>
      </c>
      <c r="C1325" s="34" t="s">
        <v>1077</v>
      </c>
    </row>
    <row r="1326" customFormat="false" ht="114.75" hidden="false" customHeight="false" outlineLevel="0" collapsed="false">
      <c r="A1326" s="37" t="n">
        <v>5421500</v>
      </c>
      <c r="B1326" s="34" t="s">
        <v>2668</v>
      </c>
      <c r="C1326" s="34" t="s">
        <v>1077</v>
      </c>
    </row>
    <row r="1327" customFormat="false" ht="127.5" hidden="false" customHeight="false" outlineLevel="0" collapsed="false">
      <c r="A1327" s="37" t="n">
        <v>5422100</v>
      </c>
      <c r="B1327" s="34" t="s">
        <v>2669</v>
      </c>
      <c r="C1327" s="34" t="s">
        <v>1079</v>
      </c>
    </row>
    <row r="1328" customFormat="false" ht="127.5" hidden="false" customHeight="false" outlineLevel="0" collapsed="false">
      <c r="A1328" s="37" t="n">
        <v>5422200</v>
      </c>
      <c r="B1328" s="34" t="s">
        <v>2670</v>
      </c>
      <c r="C1328" s="34" t="s">
        <v>1079</v>
      </c>
    </row>
    <row r="1329" customFormat="false" ht="127.5" hidden="false" customHeight="false" outlineLevel="0" collapsed="false">
      <c r="A1329" s="37" t="n">
        <v>5422500</v>
      </c>
      <c r="B1329" s="34" t="s">
        <v>2671</v>
      </c>
      <c r="C1329" s="34" t="s">
        <v>1079</v>
      </c>
    </row>
    <row r="1330" customFormat="false" ht="127.5" hidden="false" customHeight="false" outlineLevel="0" collapsed="false">
      <c r="A1330" s="37" t="n">
        <v>5425500</v>
      </c>
      <c r="B1330" s="34" t="s">
        <v>2672</v>
      </c>
      <c r="C1330" s="34" t="s">
        <v>1079</v>
      </c>
    </row>
    <row r="1331" customFormat="false" ht="127.5" hidden="false" customHeight="false" outlineLevel="0" collapsed="false">
      <c r="A1331" s="37" t="n">
        <v>5426500</v>
      </c>
      <c r="B1331" s="34" t="s">
        <v>2673</v>
      </c>
      <c r="C1331" s="34" t="s">
        <v>1079</v>
      </c>
    </row>
    <row r="1332" customFormat="false" ht="127.5" hidden="false" customHeight="false" outlineLevel="0" collapsed="false">
      <c r="A1332" s="37" t="n">
        <v>5427500</v>
      </c>
      <c r="B1332" s="34" t="s">
        <v>2674</v>
      </c>
      <c r="C1332" s="34" t="s">
        <v>1079</v>
      </c>
    </row>
    <row r="1333" customFormat="false" ht="127.5" hidden="false" customHeight="false" outlineLevel="0" collapsed="false">
      <c r="A1333" s="37" t="s">
        <v>2675</v>
      </c>
      <c r="B1333" s="34" t="s">
        <v>2676</v>
      </c>
      <c r="C1333" s="34" t="s">
        <v>1079</v>
      </c>
    </row>
    <row r="1334" customFormat="false" ht="127.5" hidden="false" customHeight="false" outlineLevel="0" collapsed="false">
      <c r="A1334" s="37" t="s">
        <v>2677</v>
      </c>
      <c r="B1334" s="34" t="s">
        <v>2678</v>
      </c>
      <c r="C1334" s="34" t="s">
        <v>1788</v>
      </c>
    </row>
    <row r="1335" customFormat="false" ht="127.5" hidden="false" customHeight="false" outlineLevel="0" collapsed="false">
      <c r="A1335" s="37" t="s">
        <v>2679</v>
      </c>
      <c r="B1335" s="34" t="s">
        <v>2680</v>
      </c>
      <c r="C1335" s="34" t="s">
        <v>1788</v>
      </c>
    </row>
    <row r="1336" customFormat="false" ht="102" hidden="false" customHeight="false" outlineLevel="0" collapsed="false">
      <c r="A1336" s="37" t="s">
        <v>2681</v>
      </c>
      <c r="B1336" s="34" t="s">
        <v>2682</v>
      </c>
      <c r="C1336" s="34" t="s">
        <v>1793</v>
      </c>
    </row>
    <row r="1337" customFormat="false" ht="102" hidden="false" customHeight="false" outlineLevel="0" collapsed="false">
      <c r="A1337" s="37" t="s">
        <v>2683</v>
      </c>
      <c r="B1337" s="34" t="s">
        <v>2684</v>
      </c>
      <c r="C1337" s="34" t="s">
        <v>1793</v>
      </c>
    </row>
    <row r="1338" customFormat="false" ht="76.5" hidden="false" customHeight="false" outlineLevel="0" collapsed="false">
      <c r="A1338" s="37" t="s">
        <v>2685</v>
      </c>
      <c r="B1338" s="34" t="s">
        <v>2686</v>
      </c>
      <c r="C1338" s="34" t="s">
        <v>1798</v>
      </c>
    </row>
    <row r="1339" customFormat="false" ht="63.75" hidden="false" customHeight="false" outlineLevel="0" collapsed="false">
      <c r="A1339" s="37" t="s">
        <v>2687</v>
      </c>
      <c r="B1339" s="34" t="s">
        <v>2688</v>
      </c>
      <c r="C1339" s="34" t="s">
        <v>1801</v>
      </c>
    </row>
    <row r="1340" customFormat="false" ht="102" hidden="false" customHeight="false" outlineLevel="0" collapsed="false">
      <c r="A1340" s="37" t="s">
        <v>2689</v>
      </c>
      <c r="B1340" s="34" t="s">
        <v>2690</v>
      </c>
      <c r="C1340" s="34" t="s">
        <v>221</v>
      </c>
    </row>
    <row r="1341" customFormat="false" ht="102" hidden="false" customHeight="false" outlineLevel="0" collapsed="false">
      <c r="A1341" s="37" t="s">
        <v>2691</v>
      </c>
      <c r="B1341" s="34" t="s">
        <v>2692</v>
      </c>
      <c r="C1341" s="34" t="s">
        <v>221</v>
      </c>
    </row>
    <row r="1342" customFormat="false" ht="102" hidden="false" customHeight="false" outlineLevel="0" collapsed="false">
      <c r="A1342" s="37" t="s">
        <v>2693</v>
      </c>
      <c r="B1342" s="34" t="s">
        <v>2694</v>
      </c>
      <c r="C1342" s="34" t="s">
        <v>1793</v>
      </c>
    </row>
    <row r="1343" customFormat="false" ht="89.25" hidden="false" customHeight="false" outlineLevel="0" collapsed="false">
      <c r="A1343" s="37" t="s">
        <v>2695</v>
      </c>
      <c r="B1343" s="34" t="s">
        <v>2696</v>
      </c>
      <c r="C1343" s="34" t="s">
        <v>210</v>
      </c>
    </row>
    <row r="1344" customFormat="false" ht="127.5" hidden="false" customHeight="false" outlineLevel="0" collapsed="false">
      <c r="A1344" s="37" t="s">
        <v>2697</v>
      </c>
      <c r="B1344" s="34" t="s">
        <v>2698</v>
      </c>
      <c r="C1344" s="34" t="s">
        <v>230</v>
      </c>
    </row>
    <row r="1345" customFormat="false" ht="89.25" hidden="false" customHeight="false" outlineLevel="0" collapsed="false">
      <c r="A1345" s="37" t="s">
        <v>2699</v>
      </c>
      <c r="B1345" s="34" t="s">
        <v>2700</v>
      </c>
      <c r="C1345" s="34" t="s">
        <v>1819</v>
      </c>
    </row>
    <row r="1346" customFormat="false" ht="63.75" hidden="false" customHeight="false" outlineLevel="0" collapsed="false">
      <c r="A1346" s="37" t="s">
        <v>2701</v>
      </c>
      <c r="B1346" s="34" t="s">
        <v>2702</v>
      </c>
      <c r="C1346" s="34" t="s">
        <v>139</v>
      </c>
    </row>
    <row r="1347" customFormat="false" ht="63.75" hidden="false" customHeight="false" outlineLevel="0" collapsed="false">
      <c r="A1347" s="37" t="s">
        <v>2703</v>
      </c>
      <c r="B1347" s="34" t="s">
        <v>2704</v>
      </c>
      <c r="C1347" s="34" t="s">
        <v>139</v>
      </c>
    </row>
    <row r="1348" customFormat="false" ht="63.75" hidden="false" customHeight="false" outlineLevel="0" collapsed="false">
      <c r="A1348" s="37" t="s">
        <v>2705</v>
      </c>
      <c r="B1348" s="34" t="s">
        <v>2706</v>
      </c>
      <c r="C1348" s="34" t="s">
        <v>139</v>
      </c>
    </row>
    <row r="1349" customFormat="false" ht="38.25" hidden="false" customHeight="false" outlineLevel="0" collapsed="false">
      <c r="A1349" s="37" t="s">
        <v>2707</v>
      </c>
      <c r="B1349" s="34" t="s">
        <v>2708</v>
      </c>
      <c r="C1349" s="34" t="s">
        <v>965</v>
      </c>
    </row>
    <row r="1350" customFormat="false" ht="25.5" hidden="false" customHeight="false" outlineLevel="0" collapsed="false">
      <c r="A1350" s="37" t="s">
        <v>2709</v>
      </c>
      <c r="B1350" s="34" t="s">
        <v>2710</v>
      </c>
      <c r="C1350" s="34" t="s">
        <v>965</v>
      </c>
    </row>
    <row r="1351" customFormat="false" ht="89.25" hidden="false" customHeight="false" outlineLevel="0" collapsed="false">
      <c r="A1351" s="37" t="n">
        <v>5430500</v>
      </c>
      <c r="B1351" s="34" t="s">
        <v>2711</v>
      </c>
      <c r="C1351" s="34" t="s">
        <v>1831</v>
      </c>
    </row>
    <row r="1352" customFormat="false" ht="114.75" hidden="false" customHeight="false" outlineLevel="0" collapsed="false">
      <c r="A1352" s="37" t="n">
        <v>5431100</v>
      </c>
      <c r="B1352" s="34" t="s">
        <v>2712</v>
      </c>
      <c r="C1352" s="34" t="s">
        <v>1087</v>
      </c>
    </row>
    <row r="1353" customFormat="false" ht="114.75" hidden="false" customHeight="false" outlineLevel="0" collapsed="false">
      <c r="A1353" s="37" t="n">
        <v>5431200</v>
      </c>
      <c r="B1353" s="34" t="s">
        <v>2713</v>
      </c>
      <c r="C1353" s="34" t="s">
        <v>1087</v>
      </c>
    </row>
    <row r="1354" customFormat="false" ht="114.75" hidden="false" customHeight="false" outlineLevel="0" collapsed="false">
      <c r="A1354" s="37" t="n">
        <v>5431500</v>
      </c>
      <c r="B1354" s="34" t="s">
        <v>2714</v>
      </c>
      <c r="C1354" s="34" t="s">
        <v>1087</v>
      </c>
    </row>
    <row r="1355" customFormat="false" ht="127.5" hidden="false" customHeight="false" outlineLevel="0" collapsed="false">
      <c r="A1355" s="37" t="n">
        <v>5432100</v>
      </c>
      <c r="B1355" s="34" t="s">
        <v>2715</v>
      </c>
      <c r="C1355" s="34" t="s">
        <v>1089</v>
      </c>
    </row>
    <row r="1356" customFormat="false" ht="127.5" hidden="false" customHeight="false" outlineLevel="0" collapsed="false">
      <c r="A1356" s="37" t="n">
        <v>5432200</v>
      </c>
      <c r="B1356" s="34" t="s">
        <v>2716</v>
      </c>
      <c r="C1356" s="34" t="s">
        <v>1089</v>
      </c>
    </row>
    <row r="1357" customFormat="false" ht="127.5" hidden="false" customHeight="false" outlineLevel="0" collapsed="false">
      <c r="A1357" s="37" t="n">
        <v>5432500</v>
      </c>
      <c r="B1357" s="34" t="s">
        <v>2717</v>
      </c>
      <c r="C1357" s="34" t="s">
        <v>1089</v>
      </c>
    </row>
    <row r="1358" customFormat="false" ht="127.5" hidden="false" customHeight="false" outlineLevel="0" collapsed="false">
      <c r="A1358" s="37" t="n">
        <v>5435500</v>
      </c>
      <c r="B1358" s="34" t="s">
        <v>2718</v>
      </c>
      <c r="C1358" s="34" t="s">
        <v>1089</v>
      </c>
    </row>
    <row r="1359" customFormat="false" ht="127.5" hidden="false" customHeight="false" outlineLevel="0" collapsed="false">
      <c r="A1359" s="37" t="n">
        <v>5436500</v>
      </c>
      <c r="B1359" s="34" t="s">
        <v>2719</v>
      </c>
      <c r="C1359" s="34" t="s">
        <v>1089</v>
      </c>
    </row>
    <row r="1360" customFormat="false" ht="127.5" hidden="false" customHeight="false" outlineLevel="0" collapsed="false">
      <c r="A1360" s="37" t="n">
        <v>5437500</v>
      </c>
      <c r="B1360" s="34" t="s">
        <v>2720</v>
      </c>
      <c r="C1360" s="34" t="s">
        <v>1089</v>
      </c>
    </row>
    <row r="1361" customFormat="false" ht="127.5" hidden="false" customHeight="false" outlineLevel="0" collapsed="false">
      <c r="A1361" s="37" t="s">
        <v>2721</v>
      </c>
      <c r="B1361" s="34" t="s">
        <v>2722</v>
      </c>
      <c r="C1361" s="34" t="s">
        <v>1089</v>
      </c>
    </row>
    <row r="1362" customFormat="false" ht="127.5" hidden="false" customHeight="false" outlineLevel="0" collapsed="false">
      <c r="A1362" s="37" t="s">
        <v>2723</v>
      </c>
      <c r="B1362" s="34" t="s">
        <v>2724</v>
      </c>
      <c r="C1362" s="34" t="s">
        <v>1846</v>
      </c>
    </row>
    <row r="1363" customFormat="false" ht="127.5" hidden="false" customHeight="false" outlineLevel="0" collapsed="false">
      <c r="A1363" s="37" t="s">
        <v>2725</v>
      </c>
      <c r="B1363" s="34" t="s">
        <v>2726</v>
      </c>
      <c r="C1363" s="34" t="s">
        <v>1846</v>
      </c>
    </row>
    <row r="1364" customFormat="false" ht="102" hidden="false" customHeight="false" outlineLevel="0" collapsed="false">
      <c r="A1364" s="37" t="s">
        <v>2727</v>
      </c>
      <c r="B1364" s="34" t="s">
        <v>2728</v>
      </c>
      <c r="C1364" s="34" t="s">
        <v>1851</v>
      </c>
    </row>
    <row r="1365" customFormat="false" ht="102" hidden="false" customHeight="false" outlineLevel="0" collapsed="false">
      <c r="A1365" s="37" t="s">
        <v>2729</v>
      </c>
      <c r="B1365" s="34" t="s">
        <v>2730</v>
      </c>
      <c r="C1365" s="34" t="s">
        <v>1851</v>
      </c>
    </row>
    <row r="1366" customFormat="false" ht="76.5" hidden="false" customHeight="false" outlineLevel="0" collapsed="false">
      <c r="A1366" s="37" t="s">
        <v>2731</v>
      </c>
      <c r="B1366" s="34" t="s">
        <v>2732</v>
      </c>
      <c r="C1366" s="34" t="s">
        <v>1856</v>
      </c>
    </row>
    <row r="1367" customFormat="false" ht="63.75" hidden="false" customHeight="false" outlineLevel="0" collapsed="false">
      <c r="A1367" s="37" t="s">
        <v>2733</v>
      </c>
      <c r="B1367" s="34" t="s">
        <v>2734</v>
      </c>
      <c r="C1367" s="34" t="s">
        <v>1859</v>
      </c>
    </row>
    <row r="1368" customFormat="false" ht="102" hidden="false" customHeight="false" outlineLevel="0" collapsed="false">
      <c r="A1368" s="37" t="s">
        <v>2735</v>
      </c>
      <c r="B1368" s="34" t="s">
        <v>2736</v>
      </c>
      <c r="C1368" s="34" t="s">
        <v>265</v>
      </c>
    </row>
    <row r="1369" customFormat="false" ht="102" hidden="false" customHeight="false" outlineLevel="0" collapsed="false">
      <c r="A1369" s="37" t="s">
        <v>2737</v>
      </c>
      <c r="B1369" s="34" t="s">
        <v>2738</v>
      </c>
      <c r="C1369" s="34" t="s">
        <v>265</v>
      </c>
    </row>
    <row r="1370" customFormat="false" ht="102" hidden="false" customHeight="false" outlineLevel="0" collapsed="false">
      <c r="A1370" s="37" t="s">
        <v>2739</v>
      </c>
      <c r="B1370" s="34" t="s">
        <v>2740</v>
      </c>
      <c r="C1370" s="34" t="s">
        <v>1851</v>
      </c>
    </row>
    <row r="1371" customFormat="false" ht="89.25" hidden="false" customHeight="false" outlineLevel="0" collapsed="false">
      <c r="A1371" s="37" t="s">
        <v>2741</v>
      </c>
      <c r="B1371" s="34" t="s">
        <v>2742</v>
      </c>
      <c r="C1371" s="34" t="s">
        <v>254</v>
      </c>
    </row>
    <row r="1372" customFormat="false" ht="127.5" hidden="false" customHeight="false" outlineLevel="0" collapsed="false">
      <c r="A1372" s="37" t="s">
        <v>2743</v>
      </c>
      <c r="B1372" s="34" t="s">
        <v>2744</v>
      </c>
      <c r="C1372" s="34" t="s">
        <v>274</v>
      </c>
    </row>
    <row r="1373" customFormat="false" ht="89.25" hidden="false" customHeight="false" outlineLevel="0" collapsed="false">
      <c r="A1373" s="37" t="s">
        <v>2745</v>
      </c>
      <c r="B1373" s="34" t="s">
        <v>2746</v>
      </c>
      <c r="C1373" s="34" t="s">
        <v>1877</v>
      </c>
    </row>
    <row r="1374" customFormat="false" ht="63.75" hidden="false" customHeight="false" outlineLevel="0" collapsed="false">
      <c r="A1374" s="37" t="s">
        <v>2747</v>
      </c>
      <c r="B1374" s="34" t="s">
        <v>2748</v>
      </c>
      <c r="C1374" s="34" t="s">
        <v>139</v>
      </c>
    </row>
    <row r="1375" customFormat="false" ht="63.75" hidden="false" customHeight="false" outlineLevel="0" collapsed="false">
      <c r="A1375" s="37" t="s">
        <v>2749</v>
      </c>
      <c r="B1375" s="34" t="s">
        <v>2750</v>
      </c>
      <c r="C1375" s="34" t="s">
        <v>139</v>
      </c>
    </row>
    <row r="1376" customFormat="false" ht="63.75" hidden="false" customHeight="false" outlineLevel="0" collapsed="false">
      <c r="A1376" s="37" t="s">
        <v>2751</v>
      </c>
      <c r="B1376" s="34" t="s">
        <v>2752</v>
      </c>
      <c r="C1376" s="34" t="s">
        <v>139</v>
      </c>
    </row>
    <row r="1377" customFormat="false" ht="38.25" hidden="false" customHeight="false" outlineLevel="0" collapsed="false">
      <c r="A1377" s="37" t="s">
        <v>2753</v>
      </c>
      <c r="B1377" s="34" t="s">
        <v>2754</v>
      </c>
      <c r="C1377" s="34" t="s">
        <v>965</v>
      </c>
    </row>
    <row r="1378" customFormat="false" ht="25.5" hidden="false" customHeight="false" outlineLevel="0" collapsed="false">
      <c r="A1378" s="37" t="s">
        <v>2755</v>
      </c>
      <c r="B1378" s="34" t="s">
        <v>2756</v>
      </c>
      <c r="C1378" s="34" t="s">
        <v>965</v>
      </c>
    </row>
    <row r="1379" customFormat="false" ht="89.25" hidden="false" customHeight="false" outlineLevel="0" collapsed="false">
      <c r="A1379" s="37" t="n">
        <v>5440500</v>
      </c>
      <c r="B1379" s="34" t="s">
        <v>2757</v>
      </c>
      <c r="C1379" s="34" t="s">
        <v>1889</v>
      </c>
    </row>
    <row r="1380" customFormat="false" ht="114.75" hidden="false" customHeight="false" outlineLevel="0" collapsed="false">
      <c r="A1380" s="37" t="n">
        <v>5441100</v>
      </c>
      <c r="B1380" s="34" t="s">
        <v>2758</v>
      </c>
      <c r="C1380" s="34" t="s">
        <v>1097</v>
      </c>
    </row>
    <row r="1381" customFormat="false" ht="114.75" hidden="false" customHeight="false" outlineLevel="0" collapsed="false">
      <c r="A1381" s="37" t="n">
        <v>5441200</v>
      </c>
      <c r="B1381" s="34" t="s">
        <v>2759</v>
      </c>
      <c r="C1381" s="34" t="s">
        <v>1097</v>
      </c>
    </row>
    <row r="1382" customFormat="false" ht="114.75" hidden="false" customHeight="false" outlineLevel="0" collapsed="false">
      <c r="A1382" s="37" t="n">
        <v>5441500</v>
      </c>
      <c r="B1382" s="34" t="s">
        <v>2760</v>
      </c>
      <c r="C1382" s="34" t="s">
        <v>1097</v>
      </c>
    </row>
    <row r="1383" customFormat="false" ht="127.5" hidden="false" customHeight="false" outlineLevel="0" collapsed="false">
      <c r="A1383" s="37" t="n">
        <v>5442100</v>
      </c>
      <c r="B1383" s="34" t="s">
        <v>2761</v>
      </c>
      <c r="C1383" s="34" t="s">
        <v>1099</v>
      </c>
    </row>
    <row r="1384" customFormat="false" ht="127.5" hidden="false" customHeight="false" outlineLevel="0" collapsed="false">
      <c r="A1384" s="37" t="n">
        <v>5442200</v>
      </c>
      <c r="B1384" s="34" t="s">
        <v>2762</v>
      </c>
      <c r="C1384" s="34" t="s">
        <v>1099</v>
      </c>
    </row>
    <row r="1385" customFormat="false" ht="127.5" hidden="false" customHeight="false" outlineLevel="0" collapsed="false">
      <c r="A1385" s="37" t="n">
        <v>5442500</v>
      </c>
      <c r="B1385" s="34" t="s">
        <v>2763</v>
      </c>
      <c r="C1385" s="34" t="s">
        <v>1099</v>
      </c>
    </row>
    <row r="1386" customFormat="false" ht="127.5" hidden="false" customHeight="false" outlineLevel="0" collapsed="false">
      <c r="A1386" s="37" t="n">
        <v>5445500</v>
      </c>
      <c r="B1386" s="34" t="s">
        <v>2764</v>
      </c>
      <c r="C1386" s="34" t="s">
        <v>1099</v>
      </c>
    </row>
    <row r="1387" customFormat="false" ht="127.5" hidden="false" customHeight="false" outlineLevel="0" collapsed="false">
      <c r="A1387" s="37" t="n">
        <v>5446500</v>
      </c>
      <c r="B1387" s="34" t="s">
        <v>2765</v>
      </c>
      <c r="C1387" s="34" t="s">
        <v>1099</v>
      </c>
    </row>
    <row r="1388" customFormat="false" ht="127.5" hidden="false" customHeight="false" outlineLevel="0" collapsed="false">
      <c r="A1388" s="37" t="n">
        <v>5447500</v>
      </c>
      <c r="B1388" s="34" t="s">
        <v>2766</v>
      </c>
      <c r="C1388" s="34" t="s">
        <v>1099</v>
      </c>
    </row>
    <row r="1389" customFormat="false" ht="127.5" hidden="false" customHeight="false" outlineLevel="0" collapsed="false">
      <c r="A1389" s="37" t="s">
        <v>2767</v>
      </c>
      <c r="B1389" s="34" t="s">
        <v>2768</v>
      </c>
      <c r="C1389" s="34" t="s">
        <v>1099</v>
      </c>
    </row>
    <row r="1390" customFormat="false" ht="127.5" hidden="false" customHeight="false" outlineLevel="0" collapsed="false">
      <c r="A1390" s="37" t="s">
        <v>2769</v>
      </c>
      <c r="B1390" s="34" t="s">
        <v>2770</v>
      </c>
      <c r="C1390" s="34" t="s">
        <v>1904</v>
      </c>
    </row>
    <row r="1391" customFormat="false" ht="127.5" hidden="false" customHeight="false" outlineLevel="0" collapsed="false">
      <c r="A1391" s="37" t="s">
        <v>2771</v>
      </c>
      <c r="B1391" s="34" t="s">
        <v>2772</v>
      </c>
      <c r="C1391" s="34" t="s">
        <v>1904</v>
      </c>
    </row>
    <row r="1392" customFormat="false" ht="102" hidden="false" customHeight="false" outlineLevel="0" collapsed="false">
      <c r="A1392" s="37" t="s">
        <v>2773</v>
      </c>
      <c r="B1392" s="34" t="s">
        <v>2774</v>
      </c>
      <c r="C1392" s="34" t="s">
        <v>1909</v>
      </c>
    </row>
    <row r="1393" customFormat="false" ht="102" hidden="false" customHeight="false" outlineLevel="0" collapsed="false">
      <c r="A1393" s="37" t="s">
        <v>2775</v>
      </c>
      <c r="B1393" s="34" t="s">
        <v>2776</v>
      </c>
      <c r="C1393" s="34" t="s">
        <v>1909</v>
      </c>
    </row>
    <row r="1394" customFormat="false" ht="76.5" hidden="false" customHeight="false" outlineLevel="0" collapsed="false">
      <c r="A1394" s="37" t="s">
        <v>2777</v>
      </c>
      <c r="B1394" s="34" t="s">
        <v>2778</v>
      </c>
      <c r="C1394" s="34" t="s">
        <v>1914</v>
      </c>
    </row>
    <row r="1395" customFormat="false" ht="63.75" hidden="false" customHeight="false" outlineLevel="0" collapsed="false">
      <c r="A1395" s="37" t="s">
        <v>2779</v>
      </c>
      <c r="B1395" s="34" t="s">
        <v>2780</v>
      </c>
      <c r="C1395" s="34" t="s">
        <v>1917</v>
      </c>
    </row>
    <row r="1396" customFormat="false" ht="102" hidden="false" customHeight="false" outlineLevel="0" collapsed="false">
      <c r="A1396" s="37" t="s">
        <v>2781</v>
      </c>
      <c r="B1396" s="34" t="s">
        <v>2782</v>
      </c>
      <c r="C1396" s="34" t="s">
        <v>309</v>
      </c>
    </row>
    <row r="1397" customFormat="false" ht="102" hidden="false" customHeight="false" outlineLevel="0" collapsed="false">
      <c r="A1397" s="37" t="s">
        <v>2783</v>
      </c>
      <c r="B1397" s="34" t="s">
        <v>2784</v>
      </c>
      <c r="C1397" s="34" t="s">
        <v>309</v>
      </c>
    </row>
    <row r="1398" customFormat="false" ht="102" hidden="false" customHeight="false" outlineLevel="0" collapsed="false">
      <c r="A1398" s="37" t="s">
        <v>2785</v>
      </c>
      <c r="B1398" s="34" t="s">
        <v>2786</v>
      </c>
      <c r="C1398" s="34" t="s">
        <v>1909</v>
      </c>
    </row>
    <row r="1399" customFormat="false" ht="89.25" hidden="false" customHeight="false" outlineLevel="0" collapsed="false">
      <c r="A1399" s="37" t="s">
        <v>2787</v>
      </c>
      <c r="B1399" s="34" t="s">
        <v>2788</v>
      </c>
      <c r="C1399" s="34" t="s">
        <v>298</v>
      </c>
    </row>
    <row r="1400" customFormat="false" ht="127.5" hidden="false" customHeight="false" outlineLevel="0" collapsed="false">
      <c r="A1400" s="37" t="s">
        <v>2789</v>
      </c>
      <c r="B1400" s="34" t="s">
        <v>2790</v>
      </c>
      <c r="C1400" s="34" t="s">
        <v>318</v>
      </c>
    </row>
    <row r="1401" customFormat="false" ht="89.25" hidden="false" customHeight="false" outlineLevel="0" collapsed="false">
      <c r="A1401" s="37" t="s">
        <v>2791</v>
      </c>
      <c r="B1401" s="34" t="s">
        <v>2792</v>
      </c>
      <c r="C1401" s="34" t="s">
        <v>1935</v>
      </c>
    </row>
    <row r="1402" customFormat="false" ht="63.75" hidden="false" customHeight="false" outlineLevel="0" collapsed="false">
      <c r="A1402" s="37" t="s">
        <v>2793</v>
      </c>
      <c r="B1402" s="34" t="s">
        <v>2794</v>
      </c>
      <c r="C1402" s="34" t="s">
        <v>139</v>
      </c>
    </row>
    <row r="1403" customFormat="false" ht="63.75" hidden="false" customHeight="false" outlineLevel="0" collapsed="false">
      <c r="A1403" s="37" t="s">
        <v>2795</v>
      </c>
      <c r="B1403" s="34" t="s">
        <v>2796</v>
      </c>
      <c r="C1403" s="34" t="s">
        <v>139</v>
      </c>
    </row>
    <row r="1404" customFormat="false" ht="63.75" hidden="false" customHeight="false" outlineLevel="0" collapsed="false">
      <c r="A1404" s="37" t="s">
        <v>2797</v>
      </c>
      <c r="B1404" s="34" t="s">
        <v>2798</v>
      </c>
      <c r="C1404" s="34" t="s">
        <v>139</v>
      </c>
    </row>
    <row r="1405" customFormat="false" ht="38.25" hidden="false" customHeight="false" outlineLevel="0" collapsed="false">
      <c r="A1405" s="37" t="s">
        <v>2799</v>
      </c>
      <c r="B1405" s="34" t="s">
        <v>2800</v>
      </c>
      <c r="C1405" s="34" t="s">
        <v>965</v>
      </c>
    </row>
    <row r="1406" customFormat="false" ht="25.5" hidden="false" customHeight="false" outlineLevel="0" collapsed="false">
      <c r="A1406" s="37" t="s">
        <v>2801</v>
      </c>
      <c r="B1406" s="34" t="s">
        <v>2802</v>
      </c>
      <c r="C1406" s="34" t="s">
        <v>965</v>
      </c>
    </row>
    <row r="1407" customFormat="false" ht="89.25" hidden="false" customHeight="false" outlineLevel="0" collapsed="false">
      <c r="A1407" s="37" t="n">
        <v>5450500</v>
      </c>
      <c r="B1407" s="34" t="s">
        <v>2803</v>
      </c>
      <c r="C1407" s="34" t="s">
        <v>1948</v>
      </c>
    </row>
    <row r="1408" customFormat="false" ht="114.75" hidden="false" customHeight="false" outlineLevel="0" collapsed="false">
      <c r="A1408" s="37" t="n">
        <v>5451100</v>
      </c>
      <c r="B1408" s="34" t="s">
        <v>2804</v>
      </c>
      <c r="C1408" s="34" t="s">
        <v>1106</v>
      </c>
    </row>
    <row r="1409" customFormat="false" ht="114.75" hidden="false" customHeight="false" outlineLevel="0" collapsed="false">
      <c r="A1409" s="37" t="n">
        <v>5451200</v>
      </c>
      <c r="B1409" s="34" t="s">
        <v>2805</v>
      </c>
      <c r="C1409" s="34" t="s">
        <v>1106</v>
      </c>
    </row>
    <row r="1410" customFormat="false" ht="114.75" hidden="false" customHeight="false" outlineLevel="0" collapsed="false">
      <c r="A1410" s="37" t="n">
        <v>5451500</v>
      </c>
      <c r="B1410" s="34" t="s">
        <v>2806</v>
      </c>
      <c r="C1410" s="34" t="s">
        <v>1106</v>
      </c>
    </row>
    <row r="1411" customFormat="false" ht="127.5" hidden="false" customHeight="false" outlineLevel="0" collapsed="false">
      <c r="A1411" s="37" t="n">
        <v>5452100</v>
      </c>
      <c r="B1411" s="34" t="s">
        <v>2807</v>
      </c>
      <c r="C1411" s="34" t="s">
        <v>1108</v>
      </c>
    </row>
    <row r="1412" customFormat="false" ht="127.5" hidden="false" customHeight="false" outlineLevel="0" collapsed="false">
      <c r="A1412" s="37" t="n">
        <v>5452200</v>
      </c>
      <c r="B1412" s="34" t="s">
        <v>2808</v>
      </c>
      <c r="C1412" s="34" t="s">
        <v>1108</v>
      </c>
    </row>
    <row r="1413" customFormat="false" ht="127.5" hidden="false" customHeight="false" outlineLevel="0" collapsed="false">
      <c r="A1413" s="37" t="n">
        <v>5452500</v>
      </c>
      <c r="B1413" s="34" t="s">
        <v>2809</v>
      </c>
      <c r="C1413" s="34" t="s">
        <v>1108</v>
      </c>
    </row>
    <row r="1414" customFormat="false" ht="127.5" hidden="false" customHeight="false" outlineLevel="0" collapsed="false">
      <c r="A1414" s="37" t="n">
        <v>5455500</v>
      </c>
      <c r="B1414" s="34" t="s">
        <v>2810</v>
      </c>
      <c r="C1414" s="34" t="s">
        <v>1108</v>
      </c>
    </row>
    <row r="1415" customFormat="false" ht="127.5" hidden="false" customHeight="false" outlineLevel="0" collapsed="false">
      <c r="A1415" s="37" t="n">
        <v>5456500</v>
      </c>
      <c r="B1415" s="34" t="s">
        <v>2811</v>
      </c>
      <c r="C1415" s="34" t="s">
        <v>1108</v>
      </c>
    </row>
    <row r="1416" customFormat="false" ht="127.5" hidden="false" customHeight="false" outlineLevel="0" collapsed="false">
      <c r="A1416" s="37" t="n">
        <v>5457500</v>
      </c>
      <c r="B1416" s="34" t="s">
        <v>2812</v>
      </c>
      <c r="C1416" s="34" t="s">
        <v>1108</v>
      </c>
    </row>
    <row r="1417" customFormat="false" ht="127.5" hidden="false" customHeight="false" outlineLevel="0" collapsed="false">
      <c r="A1417" s="37" t="s">
        <v>2813</v>
      </c>
      <c r="B1417" s="34" t="s">
        <v>2814</v>
      </c>
      <c r="C1417" s="34" t="s">
        <v>1108</v>
      </c>
    </row>
    <row r="1418" customFormat="false" ht="127.5" hidden="false" customHeight="false" outlineLevel="0" collapsed="false">
      <c r="A1418" s="37" t="s">
        <v>2815</v>
      </c>
      <c r="B1418" s="34" t="s">
        <v>2816</v>
      </c>
      <c r="C1418" s="34" t="s">
        <v>1967</v>
      </c>
    </row>
    <row r="1419" customFormat="false" ht="127.5" hidden="false" customHeight="false" outlineLevel="0" collapsed="false">
      <c r="A1419" s="37" t="s">
        <v>2817</v>
      </c>
      <c r="B1419" s="34" t="s">
        <v>2818</v>
      </c>
      <c r="C1419" s="34" t="s">
        <v>1967</v>
      </c>
    </row>
    <row r="1420" customFormat="false" ht="102" hidden="false" customHeight="false" outlineLevel="0" collapsed="false">
      <c r="A1420" s="37" t="s">
        <v>2819</v>
      </c>
      <c r="B1420" s="34" t="s">
        <v>2820</v>
      </c>
      <c r="C1420" s="34" t="s">
        <v>1972</v>
      </c>
    </row>
    <row r="1421" customFormat="false" ht="102" hidden="false" customHeight="false" outlineLevel="0" collapsed="false">
      <c r="A1421" s="37" t="s">
        <v>2821</v>
      </c>
      <c r="B1421" s="34" t="s">
        <v>2822</v>
      </c>
      <c r="C1421" s="34" t="s">
        <v>1972</v>
      </c>
    </row>
    <row r="1422" customFormat="false" ht="76.5" hidden="false" customHeight="false" outlineLevel="0" collapsed="false">
      <c r="A1422" s="37" t="s">
        <v>2823</v>
      </c>
      <c r="B1422" s="34" t="s">
        <v>2824</v>
      </c>
      <c r="C1422" s="34" t="s">
        <v>1977</v>
      </c>
    </row>
    <row r="1423" customFormat="false" ht="63.75" hidden="false" customHeight="false" outlineLevel="0" collapsed="false">
      <c r="A1423" s="37" t="s">
        <v>2825</v>
      </c>
      <c r="B1423" s="34" t="s">
        <v>2826</v>
      </c>
      <c r="C1423" s="34" t="s">
        <v>1980</v>
      </c>
    </row>
    <row r="1424" customFormat="false" ht="102" hidden="false" customHeight="false" outlineLevel="0" collapsed="false">
      <c r="A1424" s="37" t="s">
        <v>2827</v>
      </c>
      <c r="B1424" s="34" t="s">
        <v>2828</v>
      </c>
      <c r="C1424" s="34" t="s">
        <v>351</v>
      </c>
    </row>
    <row r="1425" customFormat="false" ht="102" hidden="false" customHeight="false" outlineLevel="0" collapsed="false">
      <c r="A1425" s="37" t="s">
        <v>2829</v>
      </c>
      <c r="B1425" s="34" t="s">
        <v>2830</v>
      </c>
      <c r="C1425" s="34" t="s">
        <v>351</v>
      </c>
    </row>
    <row r="1426" customFormat="false" ht="102" hidden="false" customHeight="false" outlineLevel="0" collapsed="false">
      <c r="A1426" s="37" t="s">
        <v>2831</v>
      </c>
      <c r="B1426" s="34" t="s">
        <v>2832</v>
      </c>
      <c r="C1426" s="34" t="s">
        <v>1972</v>
      </c>
    </row>
    <row r="1427" customFormat="false" ht="89.25" hidden="false" customHeight="false" outlineLevel="0" collapsed="false">
      <c r="A1427" s="37" t="s">
        <v>2833</v>
      </c>
      <c r="B1427" s="34" t="s">
        <v>2834</v>
      </c>
      <c r="C1427" s="34" t="s">
        <v>340</v>
      </c>
    </row>
    <row r="1428" customFormat="false" ht="127.5" hidden="false" customHeight="false" outlineLevel="0" collapsed="false">
      <c r="A1428" s="37" t="s">
        <v>2835</v>
      </c>
      <c r="B1428" s="34" t="s">
        <v>2836</v>
      </c>
      <c r="C1428" s="34" t="s">
        <v>360</v>
      </c>
    </row>
    <row r="1429" customFormat="false" ht="89.25" hidden="false" customHeight="false" outlineLevel="0" collapsed="false">
      <c r="A1429" s="37" t="s">
        <v>2837</v>
      </c>
      <c r="B1429" s="34" t="s">
        <v>2838</v>
      </c>
      <c r="C1429" s="34" t="s">
        <v>1998</v>
      </c>
    </row>
    <row r="1430" customFormat="false" ht="63.75" hidden="false" customHeight="false" outlineLevel="0" collapsed="false">
      <c r="A1430" s="37" t="s">
        <v>2839</v>
      </c>
      <c r="B1430" s="34" t="s">
        <v>2840</v>
      </c>
      <c r="C1430" s="34" t="s">
        <v>139</v>
      </c>
    </row>
    <row r="1431" customFormat="false" ht="63.75" hidden="false" customHeight="false" outlineLevel="0" collapsed="false">
      <c r="A1431" s="37" t="s">
        <v>2841</v>
      </c>
      <c r="B1431" s="34" t="s">
        <v>2842</v>
      </c>
      <c r="C1431" s="34" t="s">
        <v>139</v>
      </c>
    </row>
    <row r="1432" customFormat="false" ht="63.75" hidden="false" customHeight="false" outlineLevel="0" collapsed="false">
      <c r="A1432" s="37" t="s">
        <v>2843</v>
      </c>
      <c r="B1432" s="34" t="s">
        <v>2844</v>
      </c>
      <c r="C1432" s="34" t="s">
        <v>139</v>
      </c>
    </row>
    <row r="1433" customFormat="false" ht="38.25" hidden="false" customHeight="false" outlineLevel="0" collapsed="false">
      <c r="A1433" s="37" t="s">
        <v>2845</v>
      </c>
      <c r="B1433" s="34" t="s">
        <v>2846</v>
      </c>
      <c r="C1433" s="34" t="s">
        <v>965</v>
      </c>
    </row>
    <row r="1434" customFormat="false" ht="25.5" hidden="false" customHeight="false" outlineLevel="0" collapsed="false">
      <c r="A1434" s="37" t="s">
        <v>2847</v>
      </c>
      <c r="B1434" s="34" t="s">
        <v>2848</v>
      </c>
      <c r="C1434" s="34" t="s">
        <v>965</v>
      </c>
    </row>
    <row r="1435" customFormat="false" ht="89.25" hidden="false" customHeight="false" outlineLevel="0" collapsed="false">
      <c r="A1435" s="37" t="n">
        <v>5462100</v>
      </c>
      <c r="B1435" s="34" t="s">
        <v>2849</v>
      </c>
      <c r="C1435" s="34" t="s">
        <v>1115</v>
      </c>
    </row>
    <row r="1436" customFormat="false" ht="38.25" hidden="false" customHeight="false" outlineLevel="0" collapsed="false">
      <c r="A1436" s="37" t="n">
        <v>5462400</v>
      </c>
      <c r="B1436" s="34" t="s">
        <v>2850</v>
      </c>
      <c r="C1436" s="34" t="s">
        <v>965</v>
      </c>
    </row>
    <row r="1437" customFormat="false" ht="76.5" hidden="false" customHeight="false" outlineLevel="0" collapsed="false">
      <c r="A1437" s="37" t="n">
        <v>5462500</v>
      </c>
      <c r="B1437" s="34" t="s">
        <v>2851</v>
      </c>
      <c r="C1437" s="34" t="s">
        <v>1121</v>
      </c>
    </row>
    <row r="1438" customFormat="false" ht="76.5" hidden="false" customHeight="false" outlineLevel="0" collapsed="false">
      <c r="A1438" s="37" t="n">
        <v>5462600</v>
      </c>
      <c r="B1438" s="34" t="s">
        <v>2852</v>
      </c>
      <c r="C1438" s="34" t="s">
        <v>1121</v>
      </c>
    </row>
    <row r="1439" customFormat="false" ht="63.75" hidden="false" customHeight="false" outlineLevel="0" collapsed="false">
      <c r="A1439" s="37" t="s">
        <v>2853</v>
      </c>
      <c r="B1439" s="34" t="s">
        <v>2854</v>
      </c>
      <c r="C1439" s="34" t="s">
        <v>1142</v>
      </c>
    </row>
    <row r="1440" customFormat="false" ht="63.75" hidden="false" customHeight="false" outlineLevel="0" collapsed="false">
      <c r="A1440" s="37" t="s">
        <v>2855</v>
      </c>
      <c r="B1440" s="34" t="s">
        <v>2856</v>
      </c>
      <c r="C1440" s="34" t="s">
        <v>1142</v>
      </c>
    </row>
    <row r="1441" customFormat="false" ht="63.75" hidden="false" customHeight="false" outlineLevel="0" collapsed="false">
      <c r="A1441" s="37" t="s">
        <v>2857</v>
      </c>
      <c r="B1441" s="34" t="s">
        <v>2858</v>
      </c>
      <c r="C1441" s="34" t="s">
        <v>1142</v>
      </c>
    </row>
    <row r="1442" customFormat="false" ht="63.75" hidden="false" customHeight="false" outlineLevel="0" collapsed="false">
      <c r="A1442" s="37" t="s">
        <v>2859</v>
      </c>
      <c r="B1442" s="34" t="s">
        <v>2860</v>
      </c>
      <c r="C1442" s="34" t="s">
        <v>1142</v>
      </c>
    </row>
    <row r="1443" customFormat="false" ht="63.75" hidden="false" customHeight="false" outlineLevel="0" collapsed="false">
      <c r="A1443" s="37" t="s">
        <v>2861</v>
      </c>
      <c r="B1443" s="34" t="s">
        <v>2862</v>
      </c>
      <c r="C1443" s="34" t="s">
        <v>1142</v>
      </c>
    </row>
    <row r="1444" customFormat="false" ht="89.25" hidden="false" customHeight="false" outlineLevel="0" collapsed="false">
      <c r="A1444" s="37" t="s">
        <v>2863</v>
      </c>
      <c r="B1444" s="34" t="s">
        <v>2864</v>
      </c>
      <c r="C1444" s="34" t="s">
        <v>387</v>
      </c>
    </row>
    <row r="1445" customFormat="false" ht="51" hidden="false" customHeight="false" outlineLevel="0" collapsed="false">
      <c r="A1445" s="37" t="s">
        <v>2865</v>
      </c>
      <c r="B1445" s="34" t="s">
        <v>2866</v>
      </c>
      <c r="C1445" s="34" t="s">
        <v>1170</v>
      </c>
    </row>
    <row r="1446" customFormat="false" ht="51" hidden="false" customHeight="false" outlineLevel="0" collapsed="false">
      <c r="A1446" s="37" t="s">
        <v>2867</v>
      </c>
      <c r="B1446" s="34" t="s">
        <v>2868</v>
      </c>
      <c r="C1446" s="34" t="s">
        <v>1170</v>
      </c>
    </row>
    <row r="1447" customFormat="false" ht="51" hidden="false" customHeight="false" outlineLevel="0" collapsed="false">
      <c r="A1447" s="37" t="s">
        <v>2869</v>
      </c>
      <c r="B1447" s="34" t="s">
        <v>2870</v>
      </c>
      <c r="C1447" s="34" t="s">
        <v>1170</v>
      </c>
    </row>
    <row r="1448" customFormat="false" ht="63.75" hidden="false" customHeight="false" outlineLevel="0" collapsed="false">
      <c r="A1448" s="37" t="s">
        <v>2871</v>
      </c>
      <c r="B1448" s="34" t="s">
        <v>2872</v>
      </c>
      <c r="C1448" s="34" t="s">
        <v>373</v>
      </c>
    </row>
    <row r="1449" customFormat="false" ht="63.75" hidden="false" customHeight="false" outlineLevel="0" collapsed="false">
      <c r="A1449" s="37" t="s">
        <v>2873</v>
      </c>
      <c r="B1449" s="34" t="s">
        <v>2874</v>
      </c>
      <c r="C1449" s="34" t="s">
        <v>373</v>
      </c>
    </row>
    <row r="1450" customFormat="false" ht="51" hidden="false" customHeight="false" outlineLevel="0" collapsed="false">
      <c r="A1450" s="37" t="s">
        <v>2875</v>
      </c>
      <c r="B1450" s="34" t="s">
        <v>2876</v>
      </c>
      <c r="C1450" s="34" t="s">
        <v>384</v>
      </c>
    </row>
    <row r="1451" customFormat="false" ht="76.5" hidden="false" customHeight="false" outlineLevel="0" collapsed="false">
      <c r="A1451" s="37" t="s">
        <v>2877</v>
      </c>
      <c r="B1451" s="34" t="s">
        <v>2878</v>
      </c>
      <c r="C1451" s="34" t="s">
        <v>1188</v>
      </c>
    </row>
    <row r="1452" customFormat="false" ht="76.5" hidden="false" customHeight="false" outlineLevel="0" collapsed="false">
      <c r="A1452" s="37" t="s">
        <v>2879</v>
      </c>
      <c r="B1452" s="34" t="s">
        <v>2880</v>
      </c>
      <c r="C1452" s="34" t="s">
        <v>1188</v>
      </c>
    </row>
    <row r="1453" customFormat="false" ht="76.5" hidden="false" customHeight="false" outlineLevel="0" collapsed="false">
      <c r="A1453" s="37" t="s">
        <v>2881</v>
      </c>
      <c r="B1453" s="34" t="s">
        <v>2882</v>
      </c>
      <c r="C1453" s="34" t="s">
        <v>1188</v>
      </c>
    </row>
    <row r="1454" customFormat="false" ht="76.5" hidden="false" customHeight="false" outlineLevel="0" collapsed="false">
      <c r="A1454" s="37" t="s">
        <v>2883</v>
      </c>
      <c r="B1454" s="34" t="s">
        <v>2884</v>
      </c>
      <c r="C1454" s="34" t="s">
        <v>1188</v>
      </c>
    </row>
    <row r="1455" customFormat="false" ht="76.5" hidden="false" customHeight="false" outlineLevel="0" collapsed="false">
      <c r="A1455" s="37" t="s">
        <v>2885</v>
      </c>
      <c r="B1455" s="34" t="s">
        <v>2886</v>
      </c>
      <c r="C1455" s="34" t="s">
        <v>1193</v>
      </c>
    </row>
    <row r="1456" customFormat="false" ht="76.5" hidden="false" customHeight="false" outlineLevel="0" collapsed="false">
      <c r="A1456" s="37" t="s">
        <v>2887</v>
      </c>
      <c r="B1456" s="34" t="s">
        <v>2888</v>
      </c>
      <c r="C1456" s="34" t="s">
        <v>1193</v>
      </c>
    </row>
    <row r="1457" customFormat="false" ht="89.25" hidden="false" customHeight="false" outlineLevel="0" collapsed="false">
      <c r="A1457" s="37" t="s">
        <v>2889</v>
      </c>
      <c r="B1457" s="34" t="s">
        <v>2890</v>
      </c>
      <c r="C1457" s="34" t="s">
        <v>1198</v>
      </c>
    </row>
    <row r="1458" customFormat="false" ht="89.25" hidden="false" customHeight="false" outlineLevel="0" collapsed="false">
      <c r="A1458" s="37" t="s">
        <v>2891</v>
      </c>
      <c r="B1458" s="34" t="s">
        <v>2892</v>
      </c>
      <c r="C1458" s="34" t="s">
        <v>1198</v>
      </c>
    </row>
    <row r="1459" customFormat="false" ht="89.25" hidden="false" customHeight="false" outlineLevel="0" collapsed="false">
      <c r="A1459" s="37" t="s">
        <v>2893</v>
      </c>
      <c r="B1459" s="34" t="s">
        <v>2894</v>
      </c>
      <c r="C1459" s="34" t="s">
        <v>1198</v>
      </c>
    </row>
    <row r="1460" customFormat="false" ht="89.25" hidden="false" customHeight="false" outlineLevel="0" collapsed="false">
      <c r="A1460" s="37" t="s">
        <v>2895</v>
      </c>
      <c r="B1460" s="34" t="s">
        <v>2896</v>
      </c>
      <c r="C1460" s="34" t="s">
        <v>1198</v>
      </c>
    </row>
    <row r="1461" customFormat="false" ht="89.25" hidden="false" customHeight="false" outlineLevel="0" collapsed="false">
      <c r="A1461" s="37" t="s">
        <v>2897</v>
      </c>
      <c r="B1461" s="34" t="s">
        <v>2898</v>
      </c>
      <c r="C1461" s="34" t="s">
        <v>1198</v>
      </c>
    </row>
    <row r="1462" customFormat="false" ht="89.25" hidden="false" customHeight="false" outlineLevel="0" collapsed="false">
      <c r="A1462" s="37" t="s">
        <v>2899</v>
      </c>
      <c r="B1462" s="34" t="s">
        <v>2900</v>
      </c>
      <c r="C1462" s="34" t="s">
        <v>1198</v>
      </c>
    </row>
    <row r="1463" customFormat="false" ht="89.25" hidden="false" customHeight="false" outlineLevel="0" collapsed="false">
      <c r="A1463" s="37" t="s">
        <v>2901</v>
      </c>
      <c r="B1463" s="34" t="s">
        <v>2902</v>
      </c>
      <c r="C1463" s="34" t="s">
        <v>1198</v>
      </c>
    </row>
    <row r="1464" customFormat="false" ht="89.25" hidden="false" customHeight="false" outlineLevel="0" collapsed="false">
      <c r="A1464" s="37" t="s">
        <v>2903</v>
      </c>
      <c r="B1464" s="34" t="s">
        <v>2904</v>
      </c>
      <c r="C1464" s="34" t="s">
        <v>1198</v>
      </c>
    </row>
    <row r="1465" customFormat="false" ht="102" hidden="false" customHeight="false" outlineLevel="0" collapsed="false">
      <c r="A1465" s="37" t="s">
        <v>2905</v>
      </c>
      <c r="B1465" s="34" t="s">
        <v>2906</v>
      </c>
      <c r="C1465" s="34" t="s">
        <v>1215</v>
      </c>
    </row>
    <row r="1466" customFormat="false" ht="25.5" hidden="false" customHeight="false" outlineLevel="0" collapsed="false">
      <c r="A1466" s="37" t="s">
        <v>2907</v>
      </c>
      <c r="B1466" s="34" t="s">
        <v>2908</v>
      </c>
      <c r="C1466" s="34" t="s">
        <v>965</v>
      </c>
    </row>
    <row r="1467" customFormat="false" ht="63.75" hidden="false" customHeight="false" outlineLevel="0" collapsed="false">
      <c r="A1467" s="37" t="s">
        <v>2909</v>
      </c>
      <c r="B1467" s="34" t="s">
        <v>2910</v>
      </c>
      <c r="C1467" s="34" t="s">
        <v>139</v>
      </c>
    </row>
    <row r="1468" customFormat="false" ht="63.75" hidden="false" customHeight="false" outlineLevel="0" collapsed="false">
      <c r="A1468" s="37" t="s">
        <v>2911</v>
      </c>
      <c r="B1468" s="34" t="s">
        <v>2912</v>
      </c>
      <c r="C1468" s="34" t="s">
        <v>139</v>
      </c>
    </row>
    <row r="1469" customFormat="false" ht="63.75" hidden="false" customHeight="false" outlineLevel="0" collapsed="false">
      <c r="A1469" s="37" t="s">
        <v>2913</v>
      </c>
      <c r="B1469" s="34" t="s">
        <v>2914</v>
      </c>
      <c r="C1469" s="34" t="s">
        <v>139</v>
      </c>
    </row>
    <row r="1470" customFormat="false" ht="89.25" hidden="false" customHeight="false" outlineLevel="0" collapsed="false">
      <c r="A1470" s="37" t="n">
        <v>5471300</v>
      </c>
      <c r="B1470" s="34" t="s">
        <v>2915</v>
      </c>
      <c r="C1470" s="34" t="s">
        <v>122</v>
      </c>
    </row>
    <row r="1471" customFormat="false" ht="89.25" hidden="false" customHeight="false" outlineLevel="0" collapsed="false">
      <c r="A1471" s="37" t="n">
        <v>5472100</v>
      </c>
      <c r="B1471" s="34" t="s">
        <v>2016</v>
      </c>
      <c r="C1471" s="34" t="s">
        <v>122</v>
      </c>
    </row>
    <row r="1472" customFormat="false" ht="89.25" hidden="false" customHeight="false" outlineLevel="0" collapsed="false">
      <c r="A1472" s="37" t="n">
        <v>5472200</v>
      </c>
      <c r="B1472" s="34" t="s">
        <v>2017</v>
      </c>
      <c r="C1472" s="34" t="s">
        <v>122</v>
      </c>
    </row>
    <row r="1473" customFormat="false" ht="89.25" hidden="false" customHeight="false" outlineLevel="0" collapsed="false">
      <c r="A1473" s="37" t="n">
        <v>5472300</v>
      </c>
      <c r="B1473" s="34" t="s">
        <v>2018</v>
      </c>
      <c r="C1473" s="34" t="s">
        <v>122</v>
      </c>
    </row>
    <row r="1474" customFormat="false" ht="89.25" hidden="false" customHeight="false" outlineLevel="0" collapsed="false">
      <c r="A1474" s="37" t="n">
        <v>5472800</v>
      </c>
      <c r="B1474" s="34" t="s">
        <v>2020</v>
      </c>
      <c r="C1474" s="34" t="s">
        <v>122</v>
      </c>
    </row>
    <row r="1475" customFormat="false" ht="51" hidden="false" customHeight="false" outlineLevel="0" collapsed="false">
      <c r="A1475" s="37" t="s">
        <v>2916</v>
      </c>
      <c r="B1475" s="34" t="s">
        <v>2917</v>
      </c>
      <c r="C1475" s="34" t="s">
        <v>437</v>
      </c>
    </row>
    <row r="1476" customFormat="false" ht="51" hidden="false" customHeight="false" outlineLevel="0" collapsed="false">
      <c r="A1476" s="37" t="s">
        <v>2918</v>
      </c>
      <c r="B1476" s="34" t="s">
        <v>439</v>
      </c>
      <c r="C1476" s="34" t="s">
        <v>437</v>
      </c>
    </row>
    <row r="1477" customFormat="false" ht="51" hidden="false" customHeight="false" outlineLevel="0" collapsed="false">
      <c r="A1477" s="37" t="s">
        <v>2919</v>
      </c>
      <c r="B1477" s="34" t="s">
        <v>2920</v>
      </c>
      <c r="C1477" s="34" t="s">
        <v>437</v>
      </c>
    </row>
    <row r="1478" customFormat="false" ht="89.25" hidden="false" customHeight="false" outlineLevel="0" collapsed="false">
      <c r="A1478" s="37" t="s">
        <v>2921</v>
      </c>
      <c r="B1478" s="34" t="s">
        <v>2922</v>
      </c>
      <c r="C1478" s="34" t="s">
        <v>444</v>
      </c>
    </row>
    <row r="1479" customFormat="false" ht="89.25" hidden="false" customHeight="false" outlineLevel="0" collapsed="false">
      <c r="A1479" s="37" t="s">
        <v>2923</v>
      </c>
      <c r="B1479" s="34" t="s">
        <v>2924</v>
      </c>
      <c r="C1479" s="34" t="s">
        <v>444</v>
      </c>
    </row>
    <row r="1480" customFormat="false" ht="89.25" hidden="false" customHeight="false" outlineLevel="0" collapsed="false">
      <c r="A1480" s="37" t="s">
        <v>2925</v>
      </c>
      <c r="B1480" s="34" t="s">
        <v>2926</v>
      </c>
      <c r="C1480" s="34" t="s">
        <v>449</v>
      </c>
    </row>
    <row r="1481" customFormat="false" ht="63.75" hidden="false" customHeight="false" outlineLevel="0" collapsed="false">
      <c r="A1481" s="37" t="s">
        <v>2927</v>
      </c>
      <c r="B1481" s="34" t="s">
        <v>2928</v>
      </c>
      <c r="C1481" s="34" t="s">
        <v>452</v>
      </c>
    </row>
    <row r="1482" customFormat="false" ht="76.5" hidden="false" customHeight="false" outlineLevel="0" collapsed="false">
      <c r="A1482" s="37" t="s">
        <v>2929</v>
      </c>
      <c r="B1482" s="34" t="s">
        <v>2930</v>
      </c>
      <c r="C1482" s="34" t="s">
        <v>2036</v>
      </c>
    </row>
    <row r="1483" customFormat="false" ht="25.5" hidden="false" customHeight="false" outlineLevel="0" collapsed="false">
      <c r="A1483" s="37" t="s">
        <v>2931</v>
      </c>
      <c r="B1483" s="34" t="s">
        <v>2932</v>
      </c>
      <c r="C1483" s="34" t="s">
        <v>965</v>
      </c>
    </row>
    <row r="1484" customFormat="false" ht="63.75" hidden="false" customHeight="false" outlineLevel="0" collapsed="false">
      <c r="A1484" s="37" t="s">
        <v>2933</v>
      </c>
      <c r="B1484" s="34" t="s">
        <v>2934</v>
      </c>
      <c r="C1484" s="34" t="s">
        <v>139</v>
      </c>
    </row>
    <row r="1485" customFormat="false" ht="63.75" hidden="false" customHeight="false" outlineLevel="0" collapsed="false">
      <c r="A1485" s="37" t="s">
        <v>2935</v>
      </c>
      <c r="B1485" s="34" t="s">
        <v>2936</v>
      </c>
      <c r="C1485" s="34" t="s">
        <v>139</v>
      </c>
    </row>
    <row r="1486" customFormat="false" ht="63.75" hidden="false" customHeight="false" outlineLevel="0" collapsed="false">
      <c r="A1486" s="37" t="s">
        <v>2937</v>
      </c>
      <c r="B1486" s="34" t="s">
        <v>2938</v>
      </c>
      <c r="C1486" s="34" t="s">
        <v>139</v>
      </c>
    </row>
    <row r="1487" customFormat="false" ht="38.25" hidden="false" customHeight="false" outlineLevel="0" collapsed="false">
      <c r="A1487" s="37" t="s">
        <v>2939</v>
      </c>
      <c r="B1487" s="34" t="s">
        <v>2940</v>
      </c>
      <c r="C1487" s="34" t="s">
        <v>463</v>
      </c>
    </row>
    <row r="1488" customFormat="false" ht="38.25" hidden="false" customHeight="false" outlineLevel="0" collapsed="false">
      <c r="A1488" s="37" t="s">
        <v>2941</v>
      </c>
      <c r="B1488" s="34" t="s">
        <v>2942</v>
      </c>
      <c r="C1488" s="34" t="s">
        <v>466</v>
      </c>
    </row>
    <row r="1489" customFormat="false" ht="38.25" hidden="false" customHeight="false" outlineLevel="0" collapsed="false">
      <c r="A1489" s="37" t="s">
        <v>2943</v>
      </c>
      <c r="B1489" s="34" t="s">
        <v>2944</v>
      </c>
      <c r="C1489" s="34" t="s">
        <v>469</v>
      </c>
    </row>
    <row r="1490" customFormat="false" ht="38.25" hidden="false" customHeight="false" outlineLevel="0" collapsed="false">
      <c r="A1490" s="37" t="s">
        <v>2945</v>
      </c>
      <c r="B1490" s="34" t="s">
        <v>2946</v>
      </c>
      <c r="C1490" s="34" t="s">
        <v>472</v>
      </c>
    </row>
    <row r="1491" customFormat="false" ht="38.25" hidden="false" customHeight="false" outlineLevel="0" collapsed="false">
      <c r="A1491" s="37" t="s">
        <v>2947</v>
      </c>
      <c r="B1491" s="34" t="s">
        <v>2948</v>
      </c>
      <c r="C1491" s="34" t="s">
        <v>475</v>
      </c>
    </row>
    <row r="1492" customFormat="false" ht="38.25" hidden="false" customHeight="false" outlineLevel="0" collapsed="false">
      <c r="A1492" s="37" t="s">
        <v>2949</v>
      </c>
      <c r="B1492" s="34" t="s">
        <v>2950</v>
      </c>
      <c r="C1492" s="34" t="s">
        <v>478</v>
      </c>
    </row>
    <row r="1493" customFormat="false" ht="38.25" hidden="false" customHeight="false" outlineLevel="0" collapsed="false">
      <c r="A1493" s="37" t="s">
        <v>2951</v>
      </c>
      <c r="B1493" s="34" t="s">
        <v>2952</v>
      </c>
      <c r="C1493" s="34" t="s">
        <v>481</v>
      </c>
    </row>
    <row r="1494" customFormat="false" ht="38.25" hidden="false" customHeight="false" outlineLevel="0" collapsed="false">
      <c r="A1494" s="37" t="s">
        <v>2953</v>
      </c>
      <c r="B1494" s="34" t="s">
        <v>2954</v>
      </c>
      <c r="C1494" s="34" t="s">
        <v>484</v>
      </c>
    </row>
    <row r="1495" customFormat="false" ht="38.25" hidden="false" customHeight="false" outlineLevel="0" collapsed="false">
      <c r="A1495" s="37" t="s">
        <v>2955</v>
      </c>
      <c r="B1495" s="34" t="s">
        <v>2956</v>
      </c>
      <c r="C1495" s="34" t="s">
        <v>487</v>
      </c>
    </row>
    <row r="1496" customFormat="false" ht="38.25" hidden="false" customHeight="false" outlineLevel="0" collapsed="false">
      <c r="A1496" s="37" t="s">
        <v>2957</v>
      </c>
      <c r="B1496" s="34" t="s">
        <v>2958</v>
      </c>
      <c r="C1496" s="34" t="s">
        <v>490</v>
      </c>
    </row>
    <row r="1497" customFormat="false" ht="38.25" hidden="false" customHeight="false" outlineLevel="0" collapsed="false">
      <c r="A1497" s="37" t="s">
        <v>2959</v>
      </c>
      <c r="B1497" s="34" t="s">
        <v>2960</v>
      </c>
      <c r="C1497" s="34" t="s">
        <v>493</v>
      </c>
    </row>
    <row r="1498" customFormat="false" ht="38.25" hidden="false" customHeight="false" outlineLevel="0" collapsed="false">
      <c r="A1498" s="37" t="s">
        <v>2961</v>
      </c>
      <c r="B1498" s="34" t="s">
        <v>2962</v>
      </c>
      <c r="C1498" s="34" t="s">
        <v>496</v>
      </c>
    </row>
    <row r="1499" customFormat="false" ht="38.25" hidden="false" customHeight="false" outlineLevel="0" collapsed="false">
      <c r="A1499" s="37" t="s">
        <v>2963</v>
      </c>
      <c r="B1499" s="34" t="s">
        <v>2964</v>
      </c>
      <c r="C1499" s="34" t="s">
        <v>499</v>
      </c>
    </row>
    <row r="1500" customFormat="false" ht="38.25" hidden="false" customHeight="false" outlineLevel="0" collapsed="false">
      <c r="A1500" s="37" t="s">
        <v>2965</v>
      </c>
      <c r="B1500" s="34" t="s">
        <v>2966</v>
      </c>
      <c r="C1500" s="34" t="s">
        <v>502</v>
      </c>
    </row>
    <row r="1501" customFormat="false" ht="38.25" hidden="false" customHeight="false" outlineLevel="0" collapsed="false">
      <c r="A1501" s="37" t="s">
        <v>2967</v>
      </c>
      <c r="B1501" s="34" t="s">
        <v>2968</v>
      </c>
      <c r="C1501" s="34" t="s">
        <v>505</v>
      </c>
    </row>
    <row r="1502" customFormat="false" ht="51" hidden="false" customHeight="false" outlineLevel="0" collapsed="false">
      <c r="A1502" s="37" t="s">
        <v>2969</v>
      </c>
      <c r="B1502" s="34" t="s">
        <v>2970</v>
      </c>
      <c r="C1502" s="34" t="s">
        <v>508</v>
      </c>
    </row>
    <row r="1503" customFormat="false" ht="51" hidden="false" customHeight="false" outlineLevel="0" collapsed="false">
      <c r="A1503" s="37" t="s">
        <v>2971</v>
      </c>
      <c r="B1503" s="34" t="s">
        <v>2972</v>
      </c>
      <c r="C1503" s="34" t="s">
        <v>511</v>
      </c>
    </row>
    <row r="1504" customFormat="false" ht="51" hidden="false" customHeight="false" outlineLevel="0" collapsed="false">
      <c r="A1504" s="37" t="s">
        <v>2973</v>
      </c>
      <c r="B1504" s="34" t="s">
        <v>2974</v>
      </c>
      <c r="C1504" s="34" t="s">
        <v>514</v>
      </c>
    </row>
    <row r="1505" customFormat="false" ht="51" hidden="false" customHeight="false" outlineLevel="0" collapsed="false">
      <c r="A1505" s="37" t="s">
        <v>2975</v>
      </c>
      <c r="B1505" s="34" t="s">
        <v>2976</v>
      </c>
      <c r="C1505" s="34" t="s">
        <v>517</v>
      </c>
    </row>
    <row r="1506" customFormat="false" ht="51" hidden="false" customHeight="false" outlineLevel="0" collapsed="false">
      <c r="A1506" s="37" t="s">
        <v>2977</v>
      </c>
      <c r="B1506" s="34" t="s">
        <v>2978</v>
      </c>
      <c r="C1506" s="34" t="s">
        <v>517</v>
      </c>
    </row>
    <row r="1507" customFormat="false" ht="51" hidden="false" customHeight="false" outlineLevel="0" collapsed="false">
      <c r="A1507" s="37" t="s">
        <v>2979</v>
      </c>
      <c r="B1507" s="34" t="s">
        <v>2980</v>
      </c>
      <c r="C1507" s="34" t="s">
        <v>517</v>
      </c>
    </row>
    <row r="1508" customFormat="false" ht="51" hidden="false" customHeight="false" outlineLevel="0" collapsed="false">
      <c r="A1508" s="37" t="s">
        <v>2981</v>
      </c>
      <c r="B1508" s="34" t="s">
        <v>2982</v>
      </c>
      <c r="C1508" s="34" t="s">
        <v>517</v>
      </c>
    </row>
    <row r="1509" customFormat="false" ht="51" hidden="false" customHeight="false" outlineLevel="0" collapsed="false">
      <c r="A1509" s="37" t="s">
        <v>2983</v>
      </c>
      <c r="B1509" s="34" t="s">
        <v>2984</v>
      </c>
      <c r="C1509" s="34" t="s">
        <v>511</v>
      </c>
    </row>
    <row r="1510" customFormat="false" ht="51" hidden="false" customHeight="false" outlineLevel="0" collapsed="false">
      <c r="A1510" s="37" t="s">
        <v>2985</v>
      </c>
      <c r="B1510" s="34" t="s">
        <v>2986</v>
      </c>
      <c r="C1510" s="34" t="s">
        <v>511</v>
      </c>
    </row>
    <row r="1511" customFormat="false" ht="51" hidden="false" customHeight="false" outlineLevel="0" collapsed="false">
      <c r="A1511" s="37" t="s">
        <v>2987</v>
      </c>
      <c r="B1511" s="34" t="s">
        <v>2988</v>
      </c>
      <c r="C1511" s="34" t="s">
        <v>511</v>
      </c>
    </row>
    <row r="1512" customFormat="false" ht="51" hidden="false" customHeight="false" outlineLevel="0" collapsed="false">
      <c r="A1512" s="37" t="s">
        <v>2989</v>
      </c>
      <c r="B1512" s="34" t="s">
        <v>2990</v>
      </c>
      <c r="C1512" s="34" t="s">
        <v>511</v>
      </c>
    </row>
    <row r="1513" customFormat="false" ht="51" hidden="false" customHeight="false" outlineLevel="0" collapsed="false">
      <c r="A1513" s="37" t="s">
        <v>2991</v>
      </c>
      <c r="B1513" s="34" t="s">
        <v>2992</v>
      </c>
      <c r="C1513" s="34" t="s">
        <v>511</v>
      </c>
    </row>
    <row r="1514" customFormat="false" ht="51" hidden="false" customHeight="false" outlineLevel="0" collapsed="false">
      <c r="A1514" s="37" t="s">
        <v>2993</v>
      </c>
      <c r="B1514" s="34" t="s">
        <v>2994</v>
      </c>
      <c r="C1514" s="34" t="s">
        <v>511</v>
      </c>
    </row>
    <row r="1515" customFormat="false" ht="51" hidden="false" customHeight="false" outlineLevel="0" collapsed="false">
      <c r="A1515" s="37" t="s">
        <v>2995</v>
      </c>
      <c r="B1515" s="34" t="s">
        <v>2996</v>
      </c>
      <c r="C1515" s="34" t="s">
        <v>511</v>
      </c>
    </row>
    <row r="1516" customFormat="false" ht="51" hidden="false" customHeight="false" outlineLevel="0" collapsed="false">
      <c r="A1516" s="37" t="s">
        <v>2997</v>
      </c>
      <c r="B1516" s="34" t="s">
        <v>2998</v>
      </c>
      <c r="C1516" s="34" t="s">
        <v>511</v>
      </c>
    </row>
    <row r="1517" customFormat="false" ht="51" hidden="false" customHeight="false" outlineLevel="0" collapsed="false">
      <c r="A1517" s="37" t="s">
        <v>2999</v>
      </c>
      <c r="B1517" s="34" t="s">
        <v>3000</v>
      </c>
      <c r="C1517" s="34" t="s">
        <v>511</v>
      </c>
    </row>
    <row r="1518" customFormat="false" ht="51" hidden="false" customHeight="false" outlineLevel="0" collapsed="false">
      <c r="A1518" s="37" t="s">
        <v>3001</v>
      </c>
      <c r="B1518" s="34" t="s">
        <v>3002</v>
      </c>
      <c r="C1518" s="34" t="s">
        <v>511</v>
      </c>
    </row>
    <row r="1519" customFormat="false" ht="51" hidden="false" customHeight="false" outlineLevel="0" collapsed="false">
      <c r="A1519" s="37" t="s">
        <v>3003</v>
      </c>
      <c r="B1519" s="34" t="s">
        <v>3004</v>
      </c>
      <c r="C1519" s="34" t="s">
        <v>546</v>
      </c>
    </row>
    <row r="1520" customFormat="false" ht="51" hidden="false" customHeight="false" outlineLevel="0" collapsed="false">
      <c r="A1520" s="37" t="s">
        <v>3005</v>
      </c>
      <c r="B1520" s="34" t="s">
        <v>3006</v>
      </c>
      <c r="C1520" s="34" t="s">
        <v>546</v>
      </c>
    </row>
    <row r="1521" customFormat="false" ht="51" hidden="false" customHeight="false" outlineLevel="0" collapsed="false">
      <c r="A1521" s="37" t="s">
        <v>3007</v>
      </c>
      <c r="B1521" s="34" t="s">
        <v>3008</v>
      </c>
      <c r="C1521" s="34" t="s">
        <v>546</v>
      </c>
    </row>
    <row r="1522" customFormat="false" ht="51" hidden="false" customHeight="false" outlineLevel="0" collapsed="false">
      <c r="A1522" s="37" t="s">
        <v>3009</v>
      </c>
      <c r="B1522" s="34" t="s">
        <v>3010</v>
      </c>
      <c r="C1522" s="34" t="s">
        <v>546</v>
      </c>
    </row>
    <row r="1523" customFormat="false" ht="51" hidden="false" customHeight="false" outlineLevel="0" collapsed="false">
      <c r="A1523" s="37" t="s">
        <v>3011</v>
      </c>
      <c r="B1523" s="34" t="s">
        <v>3012</v>
      </c>
      <c r="C1523" s="34" t="s">
        <v>546</v>
      </c>
    </row>
    <row r="1524" customFormat="false" ht="51" hidden="false" customHeight="false" outlineLevel="0" collapsed="false">
      <c r="A1524" s="37" t="s">
        <v>3013</v>
      </c>
      <c r="B1524" s="34" t="s">
        <v>3014</v>
      </c>
      <c r="C1524" s="34" t="s">
        <v>546</v>
      </c>
    </row>
    <row r="1525" customFormat="false" ht="51" hidden="false" customHeight="false" outlineLevel="0" collapsed="false">
      <c r="A1525" s="37" t="s">
        <v>3015</v>
      </c>
      <c r="B1525" s="34" t="s">
        <v>3016</v>
      </c>
      <c r="C1525" s="34" t="s">
        <v>546</v>
      </c>
    </row>
    <row r="1526" customFormat="false" ht="63.75" hidden="false" customHeight="false" outlineLevel="0" collapsed="false">
      <c r="A1526" s="37" t="s">
        <v>3017</v>
      </c>
      <c r="B1526" s="34" t="s">
        <v>3018</v>
      </c>
      <c r="C1526" s="34" t="s">
        <v>561</v>
      </c>
    </row>
    <row r="1527" customFormat="false" ht="63.75" hidden="false" customHeight="false" outlineLevel="0" collapsed="false">
      <c r="A1527" s="37" t="s">
        <v>3019</v>
      </c>
      <c r="B1527" s="34" t="s">
        <v>3020</v>
      </c>
      <c r="C1527" s="34" t="s">
        <v>561</v>
      </c>
    </row>
    <row r="1528" customFormat="false" ht="89.25" hidden="false" customHeight="false" outlineLevel="0" collapsed="false">
      <c r="A1528" s="37" t="s">
        <v>3021</v>
      </c>
      <c r="B1528" s="34" t="s">
        <v>3022</v>
      </c>
      <c r="C1528" s="34" t="s">
        <v>566</v>
      </c>
    </row>
    <row r="1529" customFormat="false" ht="63.75" hidden="false" customHeight="false" outlineLevel="0" collapsed="false">
      <c r="A1529" s="37" t="s">
        <v>3023</v>
      </c>
      <c r="B1529" s="34" t="s">
        <v>3024</v>
      </c>
      <c r="C1529" s="34" t="s">
        <v>561</v>
      </c>
    </row>
    <row r="1530" customFormat="false" ht="63.75" hidden="false" customHeight="false" outlineLevel="0" collapsed="false">
      <c r="A1530" s="37" t="s">
        <v>3025</v>
      </c>
      <c r="B1530" s="34" t="s">
        <v>3026</v>
      </c>
      <c r="C1530" s="34" t="s">
        <v>571</v>
      </c>
    </row>
    <row r="1531" customFormat="false" ht="89.25" hidden="false" customHeight="false" outlineLevel="0" collapsed="false">
      <c r="A1531" s="37" t="s">
        <v>3027</v>
      </c>
      <c r="B1531" s="34" t="s">
        <v>3028</v>
      </c>
      <c r="C1531" s="34" t="s">
        <v>574</v>
      </c>
    </row>
    <row r="1532" customFormat="false" ht="89.25" hidden="false" customHeight="false" outlineLevel="0" collapsed="false">
      <c r="A1532" s="37" t="s">
        <v>3029</v>
      </c>
      <c r="B1532" s="34" t="s">
        <v>3030</v>
      </c>
      <c r="C1532" s="34" t="s">
        <v>574</v>
      </c>
    </row>
    <row r="1533" customFormat="false" ht="89.25" hidden="false" customHeight="false" outlineLevel="0" collapsed="false">
      <c r="A1533" s="37" t="s">
        <v>3031</v>
      </c>
      <c r="B1533" s="34" t="s">
        <v>3032</v>
      </c>
      <c r="C1533" s="34" t="s">
        <v>574</v>
      </c>
    </row>
    <row r="1534" customFormat="false" ht="89.25" hidden="false" customHeight="false" outlineLevel="0" collapsed="false">
      <c r="A1534" s="37" t="s">
        <v>3033</v>
      </c>
      <c r="B1534" s="34" t="s">
        <v>3034</v>
      </c>
      <c r="C1534" s="34" t="s">
        <v>574</v>
      </c>
    </row>
    <row r="1535" customFormat="false" ht="89.25" hidden="false" customHeight="false" outlineLevel="0" collapsed="false">
      <c r="A1535" s="37" t="s">
        <v>3035</v>
      </c>
      <c r="B1535" s="34" t="s">
        <v>3036</v>
      </c>
      <c r="C1535" s="34" t="s">
        <v>574</v>
      </c>
    </row>
    <row r="1536" customFormat="false" ht="63.75" hidden="false" customHeight="false" outlineLevel="0" collapsed="false">
      <c r="A1536" s="37" t="s">
        <v>3037</v>
      </c>
      <c r="B1536" s="34" t="s">
        <v>3038</v>
      </c>
      <c r="C1536" s="34" t="s">
        <v>585</v>
      </c>
    </row>
    <row r="1537" customFormat="false" ht="63.75" hidden="false" customHeight="false" outlineLevel="0" collapsed="false">
      <c r="A1537" s="37" t="s">
        <v>3039</v>
      </c>
      <c r="B1537" s="34" t="s">
        <v>3040</v>
      </c>
      <c r="C1537" s="34" t="s">
        <v>588</v>
      </c>
    </row>
    <row r="1538" customFormat="false" ht="51" hidden="false" customHeight="false" outlineLevel="0" collapsed="false">
      <c r="A1538" s="37" t="s">
        <v>3041</v>
      </c>
      <c r="B1538" s="34" t="s">
        <v>3042</v>
      </c>
      <c r="C1538" s="34" t="s">
        <v>546</v>
      </c>
    </row>
    <row r="1539" customFormat="false" ht="51" hidden="false" customHeight="false" outlineLevel="0" collapsed="false">
      <c r="A1539" s="37" t="s">
        <v>3043</v>
      </c>
      <c r="B1539" s="34" t="s">
        <v>3044</v>
      </c>
      <c r="C1539" s="34" t="s">
        <v>546</v>
      </c>
    </row>
    <row r="1540" customFormat="false" ht="51" hidden="false" customHeight="false" outlineLevel="0" collapsed="false">
      <c r="A1540" s="37" t="s">
        <v>3045</v>
      </c>
      <c r="B1540" s="34" t="s">
        <v>3046</v>
      </c>
      <c r="C1540" s="34" t="s">
        <v>546</v>
      </c>
    </row>
    <row r="1541" customFormat="false" ht="51" hidden="false" customHeight="false" outlineLevel="0" collapsed="false">
      <c r="A1541" s="37" t="s">
        <v>3047</v>
      </c>
      <c r="B1541" s="34" t="s">
        <v>3048</v>
      </c>
      <c r="C1541" s="34" t="s">
        <v>546</v>
      </c>
    </row>
    <row r="1542" customFormat="false" ht="51" hidden="false" customHeight="false" outlineLevel="0" collapsed="false">
      <c r="A1542" s="37" t="s">
        <v>3049</v>
      </c>
      <c r="B1542" s="34" t="s">
        <v>3050</v>
      </c>
      <c r="C1542" s="34" t="s">
        <v>546</v>
      </c>
    </row>
    <row r="1543" customFormat="false" ht="51" hidden="false" customHeight="false" outlineLevel="0" collapsed="false">
      <c r="A1543" s="37" t="s">
        <v>3051</v>
      </c>
      <c r="B1543" s="34" t="s">
        <v>3052</v>
      </c>
      <c r="C1543" s="34" t="s">
        <v>546</v>
      </c>
    </row>
    <row r="1544" customFormat="false" ht="51" hidden="false" customHeight="false" outlineLevel="0" collapsed="false">
      <c r="A1544" s="37" t="s">
        <v>3053</v>
      </c>
      <c r="B1544" s="34" t="s">
        <v>3054</v>
      </c>
      <c r="C1544" s="34" t="s">
        <v>546</v>
      </c>
    </row>
    <row r="1545" customFormat="false" ht="51" hidden="false" customHeight="false" outlineLevel="0" collapsed="false">
      <c r="A1545" s="37" t="s">
        <v>3055</v>
      </c>
      <c r="B1545" s="34" t="s">
        <v>3056</v>
      </c>
      <c r="C1545" s="34" t="s">
        <v>546</v>
      </c>
    </row>
    <row r="1546" customFormat="false" ht="51" hidden="false" customHeight="false" outlineLevel="0" collapsed="false">
      <c r="A1546" s="37" t="s">
        <v>3057</v>
      </c>
      <c r="B1546" s="34" t="s">
        <v>3058</v>
      </c>
      <c r="C1546" s="34" t="s">
        <v>546</v>
      </c>
    </row>
    <row r="1547" customFormat="false" ht="51" hidden="false" customHeight="false" outlineLevel="0" collapsed="false">
      <c r="A1547" s="37" t="s">
        <v>3059</v>
      </c>
      <c r="B1547" s="34" t="s">
        <v>3060</v>
      </c>
      <c r="C1547" s="34" t="s">
        <v>546</v>
      </c>
    </row>
    <row r="1548" customFormat="false" ht="51" hidden="false" customHeight="false" outlineLevel="0" collapsed="false">
      <c r="A1548" s="37" t="s">
        <v>3061</v>
      </c>
      <c r="B1548" s="34" t="s">
        <v>3062</v>
      </c>
      <c r="C1548" s="34" t="s">
        <v>546</v>
      </c>
    </row>
    <row r="1549" customFormat="false" ht="38.25" hidden="false" customHeight="false" outlineLevel="0" collapsed="false">
      <c r="A1549" s="37" t="s">
        <v>3063</v>
      </c>
      <c r="B1549" s="34" t="s">
        <v>3064</v>
      </c>
      <c r="C1549" s="34" t="s">
        <v>613</v>
      </c>
    </row>
    <row r="1550" customFormat="false" ht="51" hidden="false" customHeight="false" outlineLevel="0" collapsed="false">
      <c r="A1550" s="37" t="s">
        <v>3065</v>
      </c>
      <c r="B1550" s="34" t="s">
        <v>3066</v>
      </c>
      <c r="C1550" s="34" t="s">
        <v>546</v>
      </c>
    </row>
    <row r="1551" customFormat="false" ht="51" hidden="false" customHeight="false" outlineLevel="0" collapsed="false">
      <c r="A1551" s="37" t="s">
        <v>3067</v>
      </c>
      <c r="B1551" s="34" t="s">
        <v>3068</v>
      </c>
      <c r="C1551" s="34" t="s">
        <v>546</v>
      </c>
    </row>
    <row r="1552" customFormat="false" ht="51" hidden="false" customHeight="false" outlineLevel="0" collapsed="false">
      <c r="A1552" s="37" t="s">
        <v>3069</v>
      </c>
      <c r="B1552" s="34" t="s">
        <v>3070</v>
      </c>
      <c r="C1552" s="34" t="s">
        <v>546</v>
      </c>
    </row>
    <row r="1553" customFormat="false" ht="51" hidden="false" customHeight="false" outlineLevel="0" collapsed="false">
      <c r="A1553" s="37" t="s">
        <v>3071</v>
      </c>
      <c r="B1553" s="34" t="s">
        <v>3072</v>
      </c>
      <c r="C1553" s="34" t="s">
        <v>546</v>
      </c>
    </row>
    <row r="1554" customFormat="false" ht="51" hidden="false" customHeight="false" outlineLevel="0" collapsed="false">
      <c r="A1554" s="37" t="s">
        <v>3073</v>
      </c>
      <c r="B1554" s="34" t="s">
        <v>3074</v>
      </c>
      <c r="C1554" s="34" t="s">
        <v>546</v>
      </c>
    </row>
    <row r="1555" customFormat="false" ht="38.25" hidden="false" customHeight="false" outlineLevel="0" collapsed="false">
      <c r="A1555" s="37" t="s">
        <v>3075</v>
      </c>
      <c r="B1555" s="34" t="s">
        <v>3076</v>
      </c>
      <c r="C1555" s="34" t="s">
        <v>613</v>
      </c>
    </row>
    <row r="1556" customFormat="false" ht="51" hidden="false" customHeight="false" outlineLevel="0" collapsed="false">
      <c r="A1556" s="37" t="s">
        <v>3077</v>
      </c>
      <c r="B1556" s="34" t="s">
        <v>3078</v>
      </c>
      <c r="C1556" s="34" t="s">
        <v>546</v>
      </c>
    </row>
    <row r="1557" customFormat="false" ht="51" hidden="false" customHeight="false" outlineLevel="0" collapsed="false">
      <c r="A1557" s="37" t="s">
        <v>3079</v>
      </c>
      <c r="B1557" s="34" t="s">
        <v>3080</v>
      </c>
      <c r="C1557" s="34" t="s">
        <v>546</v>
      </c>
    </row>
    <row r="1558" customFormat="false" ht="51" hidden="false" customHeight="false" outlineLevel="0" collapsed="false">
      <c r="A1558" s="37" t="s">
        <v>3081</v>
      </c>
      <c r="B1558" s="34" t="s">
        <v>3082</v>
      </c>
      <c r="C1558" s="34" t="s">
        <v>546</v>
      </c>
    </row>
    <row r="1559" customFormat="false" ht="25.5" hidden="false" customHeight="false" outlineLevel="0" collapsed="false">
      <c r="A1559" s="37" t="s">
        <v>3083</v>
      </c>
      <c r="B1559" s="34" t="s">
        <v>3084</v>
      </c>
      <c r="C1559" s="34" t="s">
        <v>634</v>
      </c>
    </row>
    <row r="1560" customFormat="false" ht="25.5" hidden="false" customHeight="false" outlineLevel="0" collapsed="false">
      <c r="A1560" s="37" t="s">
        <v>3085</v>
      </c>
      <c r="B1560" s="34" t="s">
        <v>3086</v>
      </c>
      <c r="C1560" s="34" t="s">
        <v>637</v>
      </c>
    </row>
    <row r="1561" customFormat="false" ht="51" hidden="false" customHeight="false" outlineLevel="0" collapsed="false">
      <c r="A1561" s="37" t="s">
        <v>3087</v>
      </c>
      <c r="B1561" s="34" t="s">
        <v>3088</v>
      </c>
      <c r="C1561" s="34" t="s">
        <v>546</v>
      </c>
    </row>
    <row r="1562" customFormat="false" ht="51" hidden="false" customHeight="false" outlineLevel="0" collapsed="false">
      <c r="A1562" s="37" t="s">
        <v>3089</v>
      </c>
      <c r="B1562" s="34" t="s">
        <v>3090</v>
      </c>
      <c r="C1562" s="34" t="s">
        <v>546</v>
      </c>
    </row>
    <row r="1563" customFormat="false" ht="51" hidden="false" customHeight="false" outlineLevel="0" collapsed="false">
      <c r="A1563" s="37" t="s">
        <v>3091</v>
      </c>
      <c r="B1563" s="34" t="s">
        <v>3092</v>
      </c>
      <c r="C1563" s="34" t="s">
        <v>546</v>
      </c>
    </row>
    <row r="1564" customFormat="false" ht="63.75" hidden="false" customHeight="false" outlineLevel="0" collapsed="false">
      <c r="A1564" s="37" t="s">
        <v>3093</v>
      </c>
      <c r="B1564" s="34" t="s">
        <v>3094</v>
      </c>
      <c r="C1564" s="34" t="s">
        <v>139</v>
      </c>
    </row>
    <row r="1565" customFormat="false" ht="63.75" hidden="false" customHeight="false" outlineLevel="0" collapsed="false">
      <c r="A1565" s="37" t="s">
        <v>3095</v>
      </c>
      <c r="B1565" s="34" t="s">
        <v>3096</v>
      </c>
      <c r="C1565" s="34" t="s">
        <v>139</v>
      </c>
    </row>
    <row r="1566" customFormat="false" ht="63.75" hidden="false" customHeight="false" outlineLevel="0" collapsed="false">
      <c r="A1566" s="37" t="s">
        <v>3097</v>
      </c>
      <c r="B1566" s="34" t="s">
        <v>3098</v>
      </c>
      <c r="C1566" s="34" t="s">
        <v>139</v>
      </c>
    </row>
    <row r="1567" customFormat="false" ht="63.75" hidden="false" customHeight="false" outlineLevel="0" collapsed="false">
      <c r="A1567" s="37" t="s">
        <v>3099</v>
      </c>
      <c r="B1567" s="34" t="s">
        <v>3100</v>
      </c>
      <c r="C1567" s="34" t="s">
        <v>139</v>
      </c>
    </row>
    <row r="1568" customFormat="false" ht="63.75" hidden="false" customHeight="false" outlineLevel="0" collapsed="false">
      <c r="A1568" s="37" t="s">
        <v>3101</v>
      </c>
      <c r="B1568" s="34" t="s">
        <v>3102</v>
      </c>
      <c r="C1568" s="34" t="s">
        <v>139</v>
      </c>
    </row>
    <row r="1569" customFormat="false" ht="63.75" hidden="false" customHeight="false" outlineLevel="0" collapsed="false">
      <c r="A1569" s="37" t="s">
        <v>3103</v>
      </c>
      <c r="B1569" s="34" t="s">
        <v>3104</v>
      </c>
      <c r="C1569" s="34" t="s">
        <v>139</v>
      </c>
    </row>
    <row r="1570" customFormat="false" ht="63.75" hidden="false" customHeight="false" outlineLevel="0" collapsed="false">
      <c r="A1570" s="37" t="s">
        <v>3105</v>
      </c>
      <c r="B1570" s="34" t="s">
        <v>3106</v>
      </c>
      <c r="C1570" s="34" t="s">
        <v>139</v>
      </c>
    </row>
    <row r="1571" customFormat="false" ht="63.75" hidden="false" customHeight="false" outlineLevel="0" collapsed="false">
      <c r="A1571" s="37" t="s">
        <v>3107</v>
      </c>
      <c r="B1571" s="34" t="s">
        <v>2214</v>
      </c>
      <c r="C1571" s="34" t="s">
        <v>139</v>
      </c>
    </row>
    <row r="1572" customFormat="false" ht="102" hidden="false" customHeight="false" outlineLevel="0" collapsed="false">
      <c r="A1572" s="37" t="n">
        <v>5491300</v>
      </c>
      <c r="B1572" s="34" t="s">
        <v>3108</v>
      </c>
      <c r="C1572" s="34" t="s">
        <v>2216</v>
      </c>
    </row>
    <row r="1573" customFormat="false" ht="102" hidden="false" customHeight="false" outlineLevel="0" collapsed="false">
      <c r="A1573" s="37" t="n">
        <v>5491500</v>
      </c>
      <c r="B1573" s="34" t="s">
        <v>3109</v>
      </c>
      <c r="C1573" s="34" t="s">
        <v>2216</v>
      </c>
    </row>
    <row r="1574" customFormat="false" ht="89.25" hidden="false" customHeight="false" outlineLevel="0" collapsed="false">
      <c r="A1574" s="37" t="s">
        <v>3110</v>
      </c>
      <c r="B1574" s="34" t="s">
        <v>3111</v>
      </c>
      <c r="C1574" s="34" t="s">
        <v>1450</v>
      </c>
    </row>
    <row r="1575" customFormat="false" ht="76.5" hidden="false" customHeight="false" outlineLevel="0" collapsed="false">
      <c r="A1575" s="37" t="s">
        <v>3112</v>
      </c>
      <c r="B1575" s="34" t="s">
        <v>3113</v>
      </c>
      <c r="C1575" s="34" t="s">
        <v>2222</v>
      </c>
    </row>
    <row r="1576" customFormat="false" ht="63.75" hidden="false" customHeight="false" outlineLevel="0" collapsed="false">
      <c r="A1576" s="37" t="s">
        <v>3114</v>
      </c>
      <c r="B1576" s="34" t="s">
        <v>3115</v>
      </c>
      <c r="C1576" s="34" t="s">
        <v>139</v>
      </c>
    </row>
    <row r="1577" customFormat="false" ht="63.75" hidden="false" customHeight="false" outlineLevel="0" collapsed="false">
      <c r="A1577" s="37" t="s">
        <v>3116</v>
      </c>
      <c r="B1577" s="34" t="s">
        <v>3117</v>
      </c>
      <c r="C1577" s="34" t="s">
        <v>139</v>
      </c>
    </row>
    <row r="1578" customFormat="false" ht="63.75" hidden="false" customHeight="false" outlineLevel="0" collapsed="false">
      <c r="A1578" s="37" t="s">
        <v>3118</v>
      </c>
      <c r="B1578" s="34" t="s">
        <v>3119</v>
      </c>
      <c r="C1578" s="34" t="s">
        <v>139</v>
      </c>
    </row>
    <row r="1579" customFormat="false" ht="102" hidden="false" customHeight="false" outlineLevel="0" collapsed="false">
      <c r="A1579" s="37" t="s">
        <v>3120</v>
      </c>
      <c r="B1579" s="34" t="s">
        <v>3121</v>
      </c>
      <c r="C1579" s="34" t="s">
        <v>97</v>
      </c>
    </row>
    <row r="1580" customFormat="false" ht="102" hidden="false" customHeight="false" outlineLevel="0" collapsed="false">
      <c r="A1580" s="37" t="s">
        <v>3122</v>
      </c>
      <c r="B1580" s="34" t="s">
        <v>3123</v>
      </c>
      <c r="C1580" s="34" t="s">
        <v>97</v>
      </c>
    </row>
    <row r="1581" customFormat="false" ht="102" hidden="false" customHeight="false" outlineLevel="0" collapsed="false">
      <c r="A1581" s="37" t="s">
        <v>3124</v>
      </c>
      <c r="B1581" s="34" t="s">
        <v>3125</v>
      </c>
      <c r="C1581" s="34" t="s">
        <v>887</v>
      </c>
    </row>
    <row r="1582" customFormat="false" ht="114.75" hidden="false" customHeight="false" outlineLevel="0" collapsed="false">
      <c r="A1582" s="37" t="s">
        <v>3126</v>
      </c>
      <c r="B1582" s="34" t="s">
        <v>3127</v>
      </c>
      <c r="C1582" s="34" t="s">
        <v>849</v>
      </c>
    </row>
    <row r="1583" customFormat="false" ht="89.25" hidden="false" customHeight="false" outlineLevel="0" collapsed="false">
      <c r="A1583" s="37" t="s">
        <v>3128</v>
      </c>
      <c r="B1583" s="34" t="s">
        <v>3129</v>
      </c>
      <c r="C1583" s="34" t="s">
        <v>891</v>
      </c>
    </row>
    <row r="1584" customFormat="false" ht="114.75" hidden="false" customHeight="false" outlineLevel="0" collapsed="false">
      <c r="A1584" s="37" t="s">
        <v>3130</v>
      </c>
      <c r="B1584" s="34" t="s">
        <v>3131</v>
      </c>
      <c r="C1584" s="34" t="s">
        <v>849</v>
      </c>
    </row>
    <row r="1585" customFormat="false" ht="114.75" hidden="false" customHeight="false" outlineLevel="0" collapsed="false">
      <c r="A1585" s="37" t="s">
        <v>3130</v>
      </c>
      <c r="B1585" s="34" t="s">
        <v>3131</v>
      </c>
      <c r="C1585" s="34" t="s">
        <v>2241</v>
      </c>
    </row>
    <row r="1586" customFormat="false" ht="76.5" hidden="false" customHeight="false" outlineLevel="0" collapsed="false">
      <c r="A1586" s="37" t="s">
        <v>3132</v>
      </c>
      <c r="B1586" s="34" t="s">
        <v>3133</v>
      </c>
      <c r="C1586" s="34" t="s">
        <v>108</v>
      </c>
    </row>
    <row r="1587" customFormat="false" ht="89.25" hidden="false" customHeight="false" outlineLevel="0" collapsed="false">
      <c r="A1587" s="37" t="s">
        <v>3134</v>
      </c>
      <c r="B1587" s="34" t="s">
        <v>3135</v>
      </c>
      <c r="C1587" s="34" t="s">
        <v>871</v>
      </c>
    </row>
    <row r="1588" customFormat="false" ht="102" hidden="false" customHeight="false" outlineLevel="0" collapsed="false">
      <c r="A1588" s="37" t="s">
        <v>3136</v>
      </c>
      <c r="B1588" s="34" t="s">
        <v>3137</v>
      </c>
      <c r="C1588" s="34" t="s">
        <v>783</v>
      </c>
    </row>
    <row r="1589" customFormat="false" ht="89.25" hidden="false" customHeight="false" outlineLevel="0" collapsed="false">
      <c r="A1589" s="37" t="s">
        <v>3138</v>
      </c>
      <c r="B1589" s="34" t="s">
        <v>3139</v>
      </c>
      <c r="C1589" s="34" t="s">
        <v>858</v>
      </c>
    </row>
    <row r="1590" customFormat="false" ht="89.25" hidden="false" customHeight="false" outlineLevel="0" collapsed="false">
      <c r="A1590" s="37" t="s">
        <v>3140</v>
      </c>
      <c r="B1590" s="34" t="s">
        <v>3141</v>
      </c>
      <c r="C1590" s="34" t="s">
        <v>902</v>
      </c>
    </row>
    <row r="1591" customFormat="false" ht="89.25" hidden="false" customHeight="false" outlineLevel="0" collapsed="false">
      <c r="A1591" s="37" t="s">
        <v>3142</v>
      </c>
      <c r="B1591" s="34" t="s">
        <v>3143</v>
      </c>
      <c r="C1591" s="34" t="s">
        <v>902</v>
      </c>
    </row>
    <row r="1592" customFormat="false" ht="89.25" hidden="false" customHeight="false" outlineLevel="0" collapsed="false">
      <c r="A1592" s="37" t="s">
        <v>3144</v>
      </c>
      <c r="B1592" s="34" t="s">
        <v>3145</v>
      </c>
      <c r="C1592" s="34" t="s">
        <v>122</v>
      </c>
    </row>
    <row r="1593" customFormat="false" ht="89.25" hidden="false" customHeight="false" outlineLevel="0" collapsed="false">
      <c r="A1593" s="37" t="s">
        <v>3146</v>
      </c>
      <c r="B1593" s="34" t="s">
        <v>3147</v>
      </c>
      <c r="C1593" s="34" t="s">
        <v>874</v>
      </c>
    </row>
    <row r="1594" customFormat="false" ht="89.25" hidden="false" customHeight="false" outlineLevel="0" collapsed="false">
      <c r="A1594" s="37" t="s">
        <v>3148</v>
      </c>
      <c r="B1594" s="34" t="s">
        <v>3149</v>
      </c>
      <c r="C1594" s="34" t="s">
        <v>874</v>
      </c>
    </row>
    <row r="1595" customFormat="false" ht="89.25" hidden="false" customHeight="false" outlineLevel="0" collapsed="false">
      <c r="A1595" s="37" t="s">
        <v>3150</v>
      </c>
      <c r="B1595" s="34" t="s">
        <v>3151</v>
      </c>
      <c r="C1595" s="34" t="s">
        <v>874</v>
      </c>
    </row>
    <row r="1596" customFormat="false" ht="89.25" hidden="false" customHeight="false" outlineLevel="0" collapsed="false">
      <c r="A1596" s="37" t="s">
        <v>3152</v>
      </c>
      <c r="B1596" s="34" t="s">
        <v>3153</v>
      </c>
      <c r="C1596" s="34" t="s">
        <v>874</v>
      </c>
    </row>
    <row r="1597" customFormat="false" ht="102" hidden="false" customHeight="false" outlineLevel="0" collapsed="false">
      <c r="A1597" s="37" t="s">
        <v>3154</v>
      </c>
      <c r="B1597" s="34" t="s">
        <v>3155</v>
      </c>
      <c r="C1597" s="34" t="s">
        <v>883</v>
      </c>
    </row>
    <row r="1598" customFormat="false" ht="63.75" hidden="false" customHeight="false" outlineLevel="0" collapsed="false">
      <c r="A1598" s="37" t="s">
        <v>3156</v>
      </c>
      <c r="B1598" s="34" t="s">
        <v>3157</v>
      </c>
      <c r="C1598" s="34" t="s">
        <v>1033</v>
      </c>
    </row>
    <row r="1599" customFormat="false" ht="38.25" hidden="false" customHeight="false" outlineLevel="0" collapsed="false">
      <c r="A1599" s="37" t="s">
        <v>3158</v>
      </c>
      <c r="B1599" s="34" t="s">
        <v>3159</v>
      </c>
      <c r="C1599" s="34" t="s">
        <v>687</v>
      </c>
    </row>
    <row r="1600" customFormat="false" ht="51" hidden="false" customHeight="false" outlineLevel="0" collapsed="false">
      <c r="A1600" s="37" t="s">
        <v>3160</v>
      </c>
      <c r="B1600" s="34" t="s">
        <v>3161</v>
      </c>
      <c r="C1600" s="34" t="s">
        <v>1038</v>
      </c>
    </row>
    <row r="1601" customFormat="false" ht="38.25" hidden="false" customHeight="false" outlineLevel="0" collapsed="false">
      <c r="A1601" s="37" t="s">
        <v>3162</v>
      </c>
      <c r="B1601" s="34" t="s">
        <v>3163</v>
      </c>
      <c r="C1601" s="34" t="s">
        <v>1041</v>
      </c>
    </row>
    <row r="1602" customFormat="false" ht="51" hidden="false" customHeight="false" outlineLevel="0" collapsed="false">
      <c r="A1602" s="37" t="s">
        <v>3164</v>
      </c>
      <c r="B1602" s="34" t="s">
        <v>3165</v>
      </c>
      <c r="C1602" s="34" t="s">
        <v>696</v>
      </c>
    </row>
    <row r="1603" customFormat="false" ht="51" hidden="false" customHeight="false" outlineLevel="0" collapsed="false">
      <c r="A1603" s="37" t="s">
        <v>3166</v>
      </c>
      <c r="B1603" s="34" t="s">
        <v>3167</v>
      </c>
      <c r="C1603" s="34" t="s">
        <v>1050</v>
      </c>
    </row>
    <row r="1604" customFormat="false" ht="89.25" hidden="false" customHeight="false" outlineLevel="0" collapsed="false">
      <c r="A1604" s="37" t="s">
        <v>3168</v>
      </c>
      <c r="B1604" s="34" t="s">
        <v>3169</v>
      </c>
      <c r="C1604" s="34" t="s">
        <v>702</v>
      </c>
    </row>
    <row r="1605" customFormat="false" ht="89.25" hidden="false" customHeight="false" outlineLevel="0" collapsed="false">
      <c r="A1605" s="37" t="s">
        <v>3170</v>
      </c>
      <c r="B1605" s="34" t="s">
        <v>3171</v>
      </c>
      <c r="C1605" s="34" t="s">
        <v>702</v>
      </c>
    </row>
    <row r="1606" customFormat="false" ht="38.25" hidden="false" customHeight="false" outlineLevel="0" collapsed="false">
      <c r="A1606" s="37" t="s">
        <v>3172</v>
      </c>
      <c r="B1606" s="34" t="s">
        <v>3173</v>
      </c>
      <c r="C1606" s="34" t="s">
        <v>707</v>
      </c>
    </row>
    <row r="1607" customFormat="false" ht="89.25" hidden="false" customHeight="false" outlineLevel="0" collapsed="false">
      <c r="A1607" s="37" t="s">
        <v>3174</v>
      </c>
      <c r="B1607" s="34" t="s">
        <v>3175</v>
      </c>
      <c r="C1607" s="34" t="s">
        <v>1447</v>
      </c>
    </row>
    <row r="1608" customFormat="false" ht="89.25" hidden="false" customHeight="false" outlineLevel="0" collapsed="false">
      <c r="A1608" s="37" t="s">
        <v>3176</v>
      </c>
      <c r="B1608" s="34" t="s">
        <v>3177</v>
      </c>
      <c r="C1608" s="34" t="s">
        <v>1450</v>
      </c>
    </row>
    <row r="1609" customFormat="false" ht="102" hidden="false" customHeight="false" outlineLevel="0" collapsed="false">
      <c r="A1609" s="37" t="s">
        <v>3178</v>
      </c>
      <c r="B1609" s="34" t="s">
        <v>3179</v>
      </c>
      <c r="C1609" s="34" t="s">
        <v>1453</v>
      </c>
    </row>
    <row r="1610" customFormat="false" ht="76.5" hidden="false" customHeight="false" outlineLevel="0" collapsed="false">
      <c r="A1610" s="37" t="s">
        <v>3180</v>
      </c>
      <c r="B1610" s="34" t="s">
        <v>3181</v>
      </c>
      <c r="C1610" s="34" t="s">
        <v>719</v>
      </c>
    </row>
    <row r="1611" customFormat="false" ht="63.75" hidden="false" customHeight="false" outlineLevel="0" collapsed="false">
      <c r="A1611" s="37" t="s">
        <v>3182</v>
      </c>
      <c r="B1611" s="34" t="s">
        <v>3183</v>
      </c>
      <c r="C1611" s="34" t="s">
        <v>2294</v>
      </c>
    </row>
    <row r="1612" customFormat="false" ht="51" hidden="false" customHeight="false" outlineLevel="0" collapsed="false">
      <c r="A1612" s="37" t="s">
        <v>3184</v>
      </c>
      <c r="B1612" s="34" t="s">
        <v>3185</v>
      </c>
      <c r="C1612" s="34" t="s">
        <v>3186</v>
      </c>
    </row>
    <row r="1613" customFormat="false" ht="51" hidden="false" customHeight="false" outlineLevel="0" collapsed="false">
      <c r="A1613" s="37" t="s">
        <v>3187</v>
      </c>
      <c r="B1613" s="34" t="s">
        <v>3188</v>
      </c>
      <c r="C1613" s="34" t="s">
        <v>3186</v>
      </c>
    </row>
    <row r="1614" customFormat="false" ht="76.5" hidden="false" customHeight="false" outlineLevel="0" collapsed="false">
      <c r="A1614" s="37" t="s">
        <v>3189</v>
      </c>
      <c r="B1614" s="34" t="s">
        <v>3190</v>
      </c>
      <c r="C1614" s="34" t="s">
        <v>2297</v>
      </c>
    </row>
    <row r="1615" customFormat="false" ht="76.5" hidden="false" customHeight="false" outlineLevel="0" collapsed="false">
      <c r="A1615" s="37" t="s">
        <v>3191</v>
      </c>
      <c r="B1615" s="34" t="s">
        <v>3192</v>
      </c>
      <c r="C1615" s="34" t="s">
        <v>2297</v>
      </c>
    </row>
    <row r="1616" customFormat="false" ht="76.5" hidden="false" customHeight="false" outlineLevel="0" collapsed="false">
      <c r="A1616" s="37" t="s">
        <v>3193</v>
      </c>
      <c r="B1616" s="34" t="s">
        <v>3194</v>
      </c>
      <c r="C1616" s="34" t="s">
        <v>2297</v>
      </c>
    </row>
    <row r="1617" customFormat="false" ht="76.5" hidden="false" customHeight="false" outlineLevel="0" collapsed="false">
      <c r="A1617" s="37" t="s">
        <v>3195</v>
      </c>
      <c r="B1617" s="34" t="s">
        <v>3196</v>
      </c>
      <c r="C1617" s="34" t="s">
        <v>2297</v>
      </c>
    </row>
    <row r="1618" customFormat="false" ht="63.75" hidden="false" customHeight="false" outlineLevel="0" collapsed="false">
      <c r="A1618" s="37" t="s">
        <v>3197</v>
      </c>
      <c r="B1618" s="34" t="s">
        <v>3198</v>
      </c>
      <c r="C1618" s="34" t="s">
        <v>139</v>
      </c>
    </row>
    <row r="1619" customFormat="false" ht="63.75" hidden="false" customHeight="false" outlineLevel="0" collapsed="false">
      <c r="A1619" s="37" t="s">
        <v>3199</v>
      </c>
      <c r="B1619" s="34" t="s">
        <v>3200</v>
      </c>
      <c r="C1619" s="34" t="s">
        <v>139</v>
      </c>
    </row>
    <row r="1620" customFormat="false" ht="63.75" hidden="false" customHeight="false" outlineLevel="0" collapsed="false">
      <c r="A1620" s="37" t="s">
        <v>3201</v>
      </c>
      <c r="B1620" s="34" t="s">
        <v>3202</v>
      </c>
      <c r="C1620" s="34" t="s">
        <v>139</v>
      </c>
    </row>
    <row r="1621" customFormat="false" ht="63.75" hidden="false" customHeight="false" outlineLevel="0" collapsed="false">
      <c r="A1621" s="37" t="s">
        <v>3203</v>
      </c>
      <c r="B1621" s="34" t="s">
        <v>3204</v>
      </c>
      <c r="C1621" s="34" t="s">
        <v>139</v>
      </c>
    </row>
    <row r="1622" customFormat="false" ht="63.75" hidden="false" customHeight="false" outlineLevel="0" collapsed="false">
      <c r="A1622" s="37" t="s">
        <v>3203</v>
      </c>
      <c r="B1622" s="34" t="s">
        <v>3204</v>
      </c>
      <c r="C1622" s="34" t="s">
        <v>142</v>
      </c>
    </row>
    <row r="1623" customFormat="false" ht="63.75" hidden="false" customHeight="false" outlineLevel="0" collapsed="false">
      <c r="A1623" s="37" t="s">
        <v>3205</v>
      </c>
      <c r="B1623" s="34" t="s">
        <v>3206</v>
      </c>
      <c r="C1623" s="34" t="s">
        <v>965</v>
      </c>
    </row>
    <row r="1624" customFormat="false" ht="89.25" hidden="false" customHeight="false" outlineLevel="0" collapsed="false">
      <c r="A1624" s="37" t="s">
        <v>3207</v>
      </c>
      <c r="B1624" s="34" t="s">
        <v>3208</v>
      </c>
      <c r="C1624" s="34" t="s">
        <v>965</v>
      </c>
    </row>
    <row r="1625" customFormat="false" ht="63.75" hidden="false" customHeight="false" outlineLevel="0" collapsed="false">
      <c r="A1625" s="37" t="s">
        <v>3209</v>
      </c>
      <c r="B1625" s="34" t="s">
        <v>3210</v>
      </c>
      <c r="C1625" s="34" t="s">
        <v>965</v>
      </c>
    </row>
    <row r="1626" customFormat="false" ht="63.75" hidden="false" customHeight="false" outlineLevel="0" collapsed="false">
      <c r="A1626" s="37" t="s">
        <v>3211</v>
      </c>
      <c r="B1626" s="34" t="s">
        <v>3212</v>
      </c>
      <c r="C1626" s="34" t="s">
        <v>139</v>
      </c>
    </row>
    <row r="1627" customFormat="false" ht="63.75" hidden="false" customHeight="false" outlineLevel="0" collapsed="false">
      <c r="A1627" s="37" t="s">
        <v>3213</v>
      </c>
      <c r="B1627" s="34" t="s">
        <v>3214</v>
      </c>
      <c r="C1627" s="34" t="s">
        <v>139</v>
      </c>
    </row>
    <row r="1628" customFormat="false" ht="63.75" hidden="false" customHeight="false" outlineLevel="0" collapsed="false">
      <c r="A1628" s="37" t="s">
        <v>3215</v>
      </c>
      <c r="B1628" s="34" t="s">
        <v>3216</v>
      </c>
      <c r="C1628" s="34" t="s">
        <v>139</v>
      </c>
    </row>
    <row r="1629" customFormat="false" ht="63.75" hidden="false" customHeight="false" outlineLevel="0" collapsed="false">
      <c r="A1629" s="37" t="s">
        <v>3217</v>
      </c>
      <c r="B1629" s="34" t="s">
        <v>3218</v>
      </c>
      <c r="C1629" s="34" t="s">
        <v>139</v>
      </c>
    </row>
    <row r="1630" customFormat="false" ht="63.75" hidden="false" customHeight="false" outlineLevel="0" collapsed="false">
      <c r="A1630" s="37" t="s">
        <v>3219</v>
      </c>
      <c r="B1630" s="34" t="s">
        <v>3220</v>
      </c>
      <c r="C1630" s="34" t="s">
        <v>139</v>
      </c>
    </row>
    <row r="1631" customFormat="false" ht="63.75" hidden="false" customHeight="false" outlineLevel="0" collapsed="false">
      <c r="A1631" s="37" t="s">
        <v>3221</v>
      </c>
      <c r="B1631" s="34" t="s">
        <v>3222</v>
      </c>
      <c r="C1631" s="34" t="s">
        <v>139</v>
      </c>
    </row>
    <row r="1632" customFormat="false" ht="63.75" hidden="false" customHeight="false" outlineLevel="0" collapsed="false">
      <c r="A1632" s="37" t="s">
        <v>3223</v>
      </c>
      <c r="B1632" s="34" t="s">
        <v>3224</v>
      </c>
      <c r="C1632" s="34" t="s">
        <v>139</v>
      </c>
    </row>
    <row r="1633" customFormat="false" ht="63.75" hidden="false" customHeight="false" outlineLevel="0" collapsed="false">
      <c r="A1633" s="37" t="s">
        <v>3225</v>
      </c>
      <c r="B1633" s="34" t="s">
        <v>3100</v>
      </c>
      <c r="C1633" s="34" t="s">
        <v>139</v>
      </c>
    </row>
    <row r="1634" customFormat="false" ht="63.75" hidden="false" customHeight="false" outlineLevel="0" collapsed="false">
      <c r="A1634" s="37" t="s">
        <v>3226</v>
      </c>
      <c r="B1634" s="34" t="s">
        <v>3227</v>
      </c>
      <c r="C1634" s="34" t="s">
        <v>139</v>
      </c>
    </row>
    <row r="1635" customFormat="false" ht="63.75" hidden="false" customHeight="false" outlineLevel="0" collapsed="false">
      <c r="A1635" s="37" t="s">
        <v>3228</v>
      </c>
      <c r="B1635" s="34" t="s">
        <v>3229</v>
      </c>
      <c r="C1635" s="34" t="s">
        <v>2365</v>
      </c>
    </row>
    <row r="1636" customFormat="false" ht="63.75" hidden="false" customHeight="false" outlineLevel="0" collapsed="false">
      <c r="A1636" s="37" t="s">
        <v>3230</v>
      </c>
      <c r="B1636" s="34" t="s">
        <v>3231</v>
      </c>
      <c r="C1636" s="34" t="s">
        <v>2365</v>
      </c>
    </row>
    <row r="1637" customFormat="false" ht="63.75" hidden="false" customHeight="false" outlineLevel="0" collapsed="false">
      <c r="A1637" s="37" t="s">
        <v>3232</v>
      </c>
      <c r="B1637" s="34" t="s">
        <v>3233</v>
      </c>
      <c r="C1637" s="34" t="s">
        <v>2365</v>
      </c>
    </row>
    <row r="1638" customFormat="false" ht="63.75" hidden="false" customHeight="false" outlineLevel="0" collapsed="false">
      <c r="A1638" s="37" t="s">
        <v>3234</v>
      </c>
      <c r="B1638" s="34" t="s">
        <v>3235</v>
      </c>
      <c r="C1638" s="34" t="s">
        <v>2365</v>
      </c>
    </row>
    <row r="1639" customFormat="false" ht="63.75" hidden="false" customHeight="false" outlineLevel="0" collapsed="false">
      <c r="A1639" s="37" t="s">
        <v>3236</v>
      </c>
      <c r="B1639" s="34" t="s">
        <v>3237</v>
      </c>
      <c r="C1639" s="34" t="s">
        <v>2365</v>
      </c>
    </row>
    <row r="1640" customFormat="false" ht="63.75" hidden="false" customHeight="false" outlineLevel="0" collapsed="false">
      <c r="A1640" s="37" t="s">
        <v>3238</v>
      </c>
      <c r="B1640" s="34" t="s">
        <v>3239</v>
      </c>
      <c r="C1640" s="34" t="s">
        <v>2365</v>
      </c>
    </row>
    <row r="1641" customFormat="false" ht="63.75" hidden="false" customHeight="false" outlineLevel="0" collapsed="false">
      <c r="A1641" s="37" t="s">
        <v>3240</v>
      </c>
      <c r="B1641" s="34" t="s">
        <v>3241</v>
      </c>
      <c r="C1641" s="34" t="s">
        <v>2365</v>
      </c>
    </row>
    <row r="1642" customFormat="false" ht="63.75" hidden="false" customHeight="false" outlineLevel="0" collapsed="false">
      <c r="A1642" s="37" t="s">
        <v>3242</v>
      </c>
      <c r="B1642" s="34" t="s">
        <v>3243</v>
      </c>
      <c r="C1642" s="34" t="s">
        <v>2365</v>
      </c>
    </row>
    <row r="1643" customFormat="false" ht="63.75" hidden="false" customHeight="false" outlineLevel="0" collapsed="false">
      <c r="A1643" s="37" t="s">
        <v>3244</v>
      </c>
      <c r="B1643" s="34" t="s">
        <v>3245</v>
      </c>
      <c r="C1643" s="34" t="s">
        <v>2365</v>
      </c>
    </row>
    <row r="1644" customFormat="false" ht="63.75" hidden="false" customHeight="false" outlineLevel="0" collapsed="false">
      <c r="A1644" s="37" t="s">
        <v>3246</v>
      </c>
      <c r="B1644" s="34" t="s">
        <v>3247</v>
      </c>
      <c r="C1644" s="34" t="s">
        <v>2365</v>
      </c>
    </row>
    <row r="1645" customFormat="false" ht="51" hidden="false" customHeight="false" outlineLevel="0" collapsed="false">
      <c r="A1645" s="37" t="s">
        <v>3248</v>
      </c>
      <c r="B1645" s="34" t="s">
        <v>3249</v>
      </c>
      <c r="C1645" s="34" t="s">
        <v>2386</v>
      </c>
    </row>
    <row r="1646" customFormat="false" ht="51" hidden="false" customHeight="false" outlineLevel="0" collapsed="false">
      <c r="A1646" s="37" t="s">
        <v>3250</v>
      </c>
      <c r="B1646" s="34" t="s">
        <v>3251</v>
      </c>
      <c r="C1646" s="34" t="s">
        <v>2386</v>
      </c>
    </row>
    <row r="1647" customFormat="false" ht="51" hidden="false" customHeight="false" outlineLevel="0" collapsed="false">
      <c r="A1647" s="37" t="s">
        <v>3252</v>
      </c>
      <c r="B1647" s="34" t="s">
        <v>3253</v>
      </c>
      <c r="C1647" s="34" t="s">
        <v>2386</v>
      </c>
    </row>
    <row r="1648" customFormat="false" ht="51" hidden="false" customHeight="false" outlineLevel="0" collapsed="false">
      <c r="A1648" s="37" t="s">
        <v>3254</v>
      </c>
      <c r="B1648" s="34" t="s">
        <v>3255</v>
      </c>
      <c r="C1648" s="34" t="s">
        <v>2386</v>
      </c>
    </row>
    <row r="1649" customFormat="false" ht="51" hidden="false" customHeight="false" outlineLevel="0" collapsed="false">
      <c r="A1649" s="37" t="s">
        <v>3256</v>
      </c>
      <c r="B1649" s="34" t="s">
        <v>3257</v>
      </c>
      <c r="C1649" s="34" t="s">
        <v>2386</v>
      </c>
    </row>
    <row r="1650" customFormat="false" ht="63.75" hidden="false" customHeight="false" outlineLevel="0" collapsed="false">
      <c r="A1650" s="37" t="s">
        <v>3258</v>
      </c>
      <c r="B1650" s="34" t="s">
        <v>3259</v>
      </c>
      <c r="C1650" s="34" t="s">
        <v>2397</v>
      </c>
    </row>
    <row r="1651" customFormat="false" ht="63.75" hidden="false" customHeight="false" outlineLevel="0" collapsed="false">
      <c r="A1651" s="37" t="s">
        <v>3260</v>
      </c>
      <c r="B1651" s="34" t="s">
        <v>3261</v>
      </c>
      <c r="C1651" s="34" t="s">
        <v>139</v>
      </c>
    </row>
    <row r="1652" customFormat="false" ht="63.75" hidden="false" customHeight="false" outlineLevel="0" collapsed="false">
      <c r="A1652" s="37" t="s">
        <v>3262</v>
      </c>
      <c r="B1652" s="34" t="s">
        <v>3263</v>
      </c>
      <c r="C1652" s="34" t="s">
        <v>139</v>
      </c>
    </row>
    <row r="1653" customFormat="false" ht="63.75" hidden="false" customHeight="false" outlineLevel="0" collapsed="false">
      <c r="A1653" s="37" t="s">
        <v>3264</v>
      </c>
      <c r="B1653" s="34" t="s">
        <v>3265</v>
      </c>
      <c r="C1653" s="34" t="s">
        <v>139</v>
      </c>
    </row>
    <row r="1654" customFormat="false" ht="63.75" hidden="false" customHeight="false" outlineLevel="0" collapsed="false">
      <c r="A1654" s="37" t="s">
        <v>3266</v>
      </c>
      <c r="B1654" s="34" t="s">
        <v>3267</v>
      </c>
      <c r="C1654" s="34" t="s">
        <v>139</v>
      </c>
    </row>
    <row r="1655" customFormat="false" ht="63.75" hidden="false" customHeight="false" outlineLevel="0" collapsed="false">
      <c r="A1655" s="37" t="s">
        <v>3268</v>
      </c>
      <c r="B1655" s="34" t="s">
        <v>3269</v>
      </c>
      <c r="C1655" s="34" t="s">
        <v>139</v>
      </c>
    </row>
    <row r="1656" customFormat="false" ht="38.25" hidden="false" customHeight="false" outlineLevel="0" collapsed="false">
      <c r="A1656" s="37" t="s">
        <v>3270</v>
      </c>
      <c r="B1656" s="34" t="s">
        <v>3271</v>
      </c>
      <c r="C1656" s="34" t="s">
        <v>73</v>
      </c>
    </row>
    <row r="1657" customFormat="false" ht="38.25" hidden="false" customHeight="false" outlineLevel="0" collapsed="false">
      <c r="A1657" s="37" t="s">
        <v>3272</v>
      </c>
      <c r="B1657" s="34" t="s">
        <v>3273</v>
      </c>
      <c r="C1657" s="34" t="s">
        <v>2412</v>
      </c>
    </row>
    <row r="1658" customFormat="false" ht="102" hidden="false" customHeight="false" outlineLevel="0" collapsed="false">
      <c r="A1658" s="37" t="n">
        <v>5602100</v>
      </c>
      <c r="B1658" s="34" t="s">
        <v>3274</v>
      </c>
      <c r="C1658" s="34" t="s">
        <v>97</v>
      </c>
    </row>
    <row r="1659" customFormat="false" ht="102" hidden="false" customHeight="false" outlineLevel="0" collapsed="false">
      <c r="A1659" s="37" t="n">
        <v>5602200</v>
      </c>
      <c r="B1659" s="34" t="s">
        <v>3275</v>
      </c>
      <c r="C1659" s="34" t="s">
        <v>97</v>
      </c>
    </row>
    <row r="1660" customFormat="false" ht="102" hidden="false" customHeight="false" outlineLevel="0" collapsed="false">
      <c r="A1660" s="37" t="n">
        <v>5602300</v>
      </c>
      <c r="B1660" s="34" t="s">
        <v>3276</v>
      </c>
      <c r="C1660" s="34" t="s">
        <v>887</v>
      </c>
    </row>
    <row r="1661" customFormat="false" ht="114.75" hidden="false" customHeight="false" outlineLevel="0" collapsed="false">
      <c r="A1661" s="37" t="n">
        <v>5602400</v>
      </c>
      <c r="B1661" s="34" t="s">
        <v>3277</v>
      </c>
      <c r="C1661" s="34" t="s">
        <v>849</v>
      </c>
    </row>
    <row r="1662" customFormat="false" ht="89.25" hidden="false" customHeight="false" outlineLevel="0" collapsed="false">
      <c r="A1662" s="37" t="n">
        <v>5602500</v>
      </c>
      <c r="B1662" s="34" t="s">
        <v>3278</v>
      </c>
      <c r="C1662" s="34" t="s">
        <v>891</v>
      </c>
    </row>
    <row r="1663" customFormat="false" ht="114.75" hidden="false" customHeight="false" outlineLevel="0" collapsed="false">
      <c r="A1663" s="37" t="n">
        <v>5602600</v>
      </c>
      <c r="B1663" s="34" t="s">
        <v>3279</v>
      </c>
      <c r="C1663" s="34" t="s">
        <v>853</v>
      </c>
    </row>
    <row r="1664" customFormat="false" ht="76.5" hidden="false" customHeight="false" outlineLevel="0" collapsed="false">
      <c r="A1664" s="37" t="s">
        <v>3280</v>
      </c>
      <c r="B1664" s="34" t="s">
        <v>3281</v>
      </c>
      <c r="C1664" s="34" t="s">
        <v>108</v>
      </c>
    </row>
    <row r="1665" customFormat="false" ht="89.25" hidden="false" customHeight="false" outlineLevel="0" collapsed="false">
      <c r="A1665" s="37" t="s">
        <v>3282</v>
      </c>
      <c r="B1665" s="34" t="s">
        <v>3283</v>
      </c>
      <c r="C1665" s="34" t="s">
        <v>871</v>
      </c>
    </row>
    <row r="1666" customFormat="false" ht="89.25" hidden="false" customHeight="false" outlineLevel="0" collapsed="false">
      <c r="A1666" s="37" t="s">
        <v>3284</v>
      </c>
      <c r="B1666" s="34" t="s">
        <v>3285</v>
      </c>
      <c r="C1666" s="34" t="s">
        <v>858</v>
      </c>
    </row>
    <row r="1667" customFormat="false" ht="89.25" hidden="false" customHeight="false" outlineLevel="0" collapsed="false">
      <c r="A1667" s="37" t="s">
        <v>3286</v>
      </c>
      <c r="B1667" s="34" t="s">
        <v>3287</v>
      </c>
      <c r="C1667" s="34" t="s">
        <v>902</v>
      </c>
    </row>
    <row r="1668" customFormat="false" ht="89.25" hidden="false" customHeight="false" outlineLevel="0" collapsed="false">
      <c r="A1668" s="37" t="s">
        <v>3288</v>
      </c>
      <c r="B1668" s="34" t="s">
        <v>3289</v>
      </c>
      <c r="C1668" s="34" t="s">
        <v>902</v>
      </c>
    </row>
    <row r="1669" customFormat="false" ht="89.25" hidden="false" customHeight="false" outlineLevel="0" collapsed="false">
      <c r="A1669" s="37" t="s">
        <v>3290</v>
      </c>
      <c r="B1669" s="34" t="s">
        <v>3291</v>
      </c>
      <c r="C1669" s="34" t="s">
        <v>122</v>
      </c>
    </row>
    <row r="1670" customFormat="false" ht="89.25" hidden="false" customHeight="false" outlineLevel="0" collapsed="false">
      <c r="A1670" s="37" t="s">
        <v>3292</v>
      </c>
      <c r="B1670" s="34" t="s">
        <v>3293</v>
      </c>
      <c r="C1670" s="34" t="s">
        <v>874</v>
      </c>
    </row>
    <row r="1671" customFormat="false" ht="89.25" hidden="false" customHeight="false" outlineLevel="0" collapsed="false">
      <c r="A1671" s="37" t="s">
        <v>3294</v>
      </c>
      <c r="B1671" s="34" t="s">
        <v>3295</v>
      </c>
      <c r="C1671" s="34" t="s">
        <v>874</v>
      </c>
    </row>
    <row r="1672" customFormat="false" ht="89.25" hidden="false" customHeight="false" outlineLevel="0" collapsed="false">
      <c r="A1672" s="37" t="s">
        <v>3296</v>
      </c>
      <c r="B1672" s="34" t="s">
        <v>3297</v>
      </c>
      <c r="C1672" s="34" t="s">
        <v>874</v>
      </c>
    </row>
    <row r="1673" customFormat="false" ht="89.25" hidden="false" customHeight="false" outlineLevel="0" collapsed="false">
      <c r="A1673" s="37" t="s">
        <v>3298</v>
      </c>
      <c r="B1673" s="34" t="s">
        <v>3299</v>
      </c>
      <c r="C1673" s="34" t="s">
        <v>874</v>
      </c>
    </row>
    <row r="1674" customFormat="false" ht="102" hidden="false" customHeight="false" outlineLevel="0" collapsed="false">
      <c r="A1674" s="37" t="s">
        <v>3300</v>
      </c>
      <c r="B1674" s="34" t="s">
        <v>3301</v>
      </c>
      <c r="C1674" s="34" t="s">
        <v>883</v>
      </c>
    </row>
    <row r="1675" customFormat="false" ht="89.25" hidden="false" customHeight="false" outlineLevel="0" collapsed="false">
      <c r="A1675" s="37" t="s">
        <v>3302</v>
      </c>
      <c r="B1675" s="34" t="s">
        <v>3303</v>
      </c>
      <c r="C1675" s="34" t="s">
        <v>985</v>
      </c>
    </row>
    <row r="1676" customFormat="false" ht="89.25" hidden="false" customHeight="false" outlineLevel="0" collapsed="false">
      <c r="A1676" s="37" t="s">
        <v>3304</v>
      </c>
      <c r="B1676" s="34" t="s">
        <v>3305</v>
      </c>
      <c r="C1676" s="34" t="s">
        <v>988</v>
      </c>
    </row>
    <row r="1677" customFormat="false" ht="76.5" hidden="false" customHeight="false" outlineLevel="0" collapsed="false">
      <c r="A1677" s="37" t="s">
        <v>3306</v>
      </c>
      <c r="B1677" s="34" t="s">
        <v>3307</v>
      </c>
      <c r="C1677" s="34" t="s">
        <v>1661</v>
      </c>
    </row>
    <row r="1678" customFormat="false" ht="51" hidden="false" customHeight="false" outlineLevel="0" collapsed="false">
      <c r="A1678" s="37" t="s">
        <v>3308</v>
      </c>
      <c r="B1678" s="34" t="s">
        <v>3309</v>
      </c>
      <c r="C1678" s="34" t="s">
        <v>965</v>
      </c>
    </row>
    <row r="1679" customFormat="false" ht="51" hidden="false" customHeight="false" outlineLevel="0" collapsed="false">
      <c r="A1679" s="37" t="s">
        <v>3310</v>
      </c>
      <c r="B1679" s="34" t="s">
        <v>3311</v>
      </c>
      <c r="C1679" s="34" t="s">
        <v>965</v>
      </c>
    </row>
    <row r="1680" customFormat="false" ht="51" hidden="false" customHeight="false" outlineLevel="0" collapsed="false">
      <c r="A1680" s="37" t="s">
        <v>3312</v>
      </c>
      <c r="B1680" s="34" t="s">
        <v>3313</v>
      </c>
      <c r="C1680" s="34" t="s">
        <v>965</v>
      </c>
    </row>
    <row r="1681" customFormat="false" ht="89.25" hidden="false" customHeight="false" outlineLevel="0" collapsed="false">
      <c r="A1681" s="37" t="s">
        <v>3314</v>
      </c>
      <c r="B1681" s="34" t="s">
        <v>3315</v>
      </c>
      <c r="C1681" s="34" t="s">
        <v>997</v>
      </c>
    </row>
    <row r="1682" customFormat="false" ht="89.25" hidden="false" customHeight="false" outlineLevel="0" collapsed="false">
      <c r="A1682" s="37" t="s">
        <v>3316</v>
      </c>
      <c r="B1682" s="34" t="s">
        <v>3317</v>
      </c>
      <c r="C1682" s="34" t="s">
        <v>997</v>
      </c>
    </row>
    <row r="1683" customFormat="false" ht="63.75" hidden="false" customHeight="false" outlineLevel="0" collapsed="false">
      <c r="A1683" s="37" t="s">
        <v>3318</v>
      </c>
      <c r="B1683" s="34" t="s">
        <v>3319</v>
      </c>
      <c r="C1683" s="34" t="s">
        <v>139</v>
      </c>
    </row>
    <row r="1684" customFormat="false" ht="63.75" hidden="false" customHeight="false" outlineLevel="0" collapsed="false">
      <c r="A1684" s="37" t="s">
        <v>3320</v>
      </c>
      <c r="B1684" s="34" t="s">
        <v>3321</v>
      </c>
      <c r="C1684" s="34" t="s">
        <v>142</v>
      </c>
    </row>
    <row r="1685" customFormat="false" ht="63.75" hidden="false" customHeight="false" outlineLevel="0" collapsed="false">
      <c r="A1685" s="37" t="s">
        <v>3322</v>
      </c>
      <c r="B1685" s="34" t="s">
        <v>3323</v>
      </c>
      <c r="C1685" s="34" t="s">
        <v>139</v>
      </c>
    </row>
    <row r="1686" customFormat="false" ht="63.75" hidden="false" customHeight="false" outlineLevel="0" collapsed="false">
      <c r="A1686" s="37" t="s">
        <v>3324</v>
      </c>
      <c r="B1686" s="34" t="s">
        <v>3325</v>
      </c>
      <c r="C1686" s="34" t="s">
        <v>139</v>
      </c>
    </row>
    <row r="1687" customFormat="false" ht="63.75" hidden="false" customHeight="false" outlineLevel="0" collapsed="false">
      <c r="A1687" s="37" t="s">
        <v>3326</v>
      </c>
      <c r="B1687" s="34" t="s">
        <v>3327</v>
      </c>
      <c r="C1687" s="34" t="s">
        <v>139</v>
      </c>
    </row>
    <row r="1688" customFormat="false" ht="63.75" hidden="false" customHeight="false" outlineLevel="0" collapsed="false">
      <c r="A1688" s="37" t="s">
        <v>3328</v>
      </c>
      <c r="B1688" s="34" t="s">
        <v>3329</v>
      </c>
      <c r="C1688" s="34" t="s">
        <v>139</v>
      </c>
    </row>
    <row r="1689" customFormat="false" ht="127.5" hidden="false" customHeight="false" outlineLevel="0" collapsed="false">
      <c r="A1689" s="37" t="n">
        <v>5611100</v>
      </c>
      <c r="B1689" s="34" t="s">
        <v>3330</v>
      </c>
      <c r="C1689" s="34" t="s">
        <v>1069</v>
      </c>
    </row>
    <row r="1690" customFormat="false" ht="127.5" hidden="false" customHeight="false" outlineLevel="0" collapsed="false">
      <c r="A1690" s="37" t="n">
        <v>5611200</v>
      </c>
      <c r="B1690" s="34" t="s">
        <v>3331</v>
      </c>
      <c r="C1690" s="34" t="s">
        <v>1069</v>
      </c>
    </row>
    <row r="1691" customFormat="false" ht="127.5" hidden="false" customHeight="false" outlineLevel="0" collapsed="false">
      <c r="A1691" s="37" t="n">
        <v>5611500</v>
      </c>
      <c r="B1691" s="34" t="s">
        <v>3332</v>
      </c>
      <c r="C1691" s="34" t="s">
        <v>1069</v>
      </c>
    </row>
    <row r="1692" customFormat="false" ht="127.5" hidden="false" customHeight="false" outlineLevel="0" collapsed="false">
      <c r="A1692" s="37" t="n">
        <v>5612100</v>
      </c>
      <c r="B1692" s="34" t="s">
        <v>3333</v>
      </c>
      <c r="C1692" s="34" t="s">
        <v>1069</v>
      </c>
    </row>
    <row r="1693" customFormat="false" ht="127.5" hidden="false" customHeight="false" outlineLevel="0" collapsed="false">
      <c r="A1693" s="37" t="n">
        <v>5612200</v>
      </c>
      <c r="B1693" s="34" t="s">
        <v>3334</v>
      </c>
      <c r="C1693" s="34" t="s">
        <v>1069</v>
      </c>
    </row>
    <row r="1694" customFormat="false" ht="127.5" hidden="false" customHeight="false" outlineLevel="0" collapsed="false">
      <c r="A1694" s="37" t="n">
        <v>5612500</v>
      </c>
      <c r="B1694" s="34" t="s">
        <v>3335</v>
      </c>
      <c r="C1694" s="34" t="s">
        <v>1069</v>
      </c>
    </row>
    <row r="1695" customFormat="false" ht="127.5" hidden="false" customHeight="false" outlineLevel="0" collapsed="false">
      <c r="A1695" s="37" t="n">
        <v>5615500</v>
      </c>
      <c r="B1695" s="34" t="s">
        <v>3336</v>
      </c>
      <c r="C1695" s="34" t="s">
        <v>1069</v>
      </c>
    </row>
    <row r="1696" customFormat="false" ht="127.5" hidden="false" customHeight="false" outlineLevel="0" collapsed="false">
      <c r="A1696" s="37" t="n">
        <v>5616500</v>
      </c>
      <c r="B1696" s="34" t="s">
        <v>3337</v>
      </c>
      <c r="C1696" s="34" t="s">
        <v>1069</v>
      </c>
    </row>
    <row r="1697" customFormat="false" ht="127.5" hidden="false" customHeight="false" outlineLevel="0" collapsed="false">
      <c r="A1697" s="37" t="n">
        <v>5617500</v>
      </c>
      <c r="B1697" s="34" t="s">
        <v>3338</v>
      </c>
      <c r="C1697" s="34" t="s">
        <v>1069</v>
      </c>
    </row>
    <row r="1698" customFormat="false" ht="127.5" hidden="false" customHeight="false" outlineLevel="0" collapsed="false">
      <c r="A1698" s="37" t="s">
        <v>3339</v>
      </c>
      <c r="B1698" s="34" t="s">
        <v>3340</v>
      </c>
      <c r="C1698" s="34" t="s">
        <v>1069</v>
      </c>
    </row>
    <row r="1699" customFormat="false" ht="127.5" hidden="false" customHeight="false" outlineLevel="0" collapsed="false">
      <c r="A1699" s="37" t="s">
        <v>3341</v>
      </c>
      <c r="B1699" s="34" t="s">
        <v>3342</v>
      </c>
      <c r="C1699" s="34" t="s">
        <v>1732</v>
      </c>
    </row>
    <row r="1700" customFormat="false" ht="127.5" hidden="false" customHeight="false" outlineLevel="0" collapsed="false">
      <c r="A1700" s="37" t="s">
        <v>3343</v>
      </c>
      <c r="B1700" s="34" t="s">
        <v>3344</v>
      </c>
      <c r="C1700" s="34" t="s">
        <v>1732</v>
      </c>
    </row>
    <row r="1701" customFormat="false" ht="102" hidden="false" customHeight="false" outlineLevel="0" collapsed="false">
      <c r="A1701" s="37" t="s">
        <v>3345</v>
      </c>
      <c r="B1701" s="34" t="s">
        <v>3346</v>
      </c>
      <c r="C1701" s="34" t="s">
        <v>1737</v>
      </c>
    </row>
    <row r="1702" customFormat="false" ht="102" hidden="false" customHeight="false" outlineLevel="0" collapsed="false">
      <c r="A1702" s="37" t="s">
        <v>3347</v>
      </c>
      <c r="B1702" s="34" t="s">
        <v>3348</v>
      </c>
      <c r="C1702" s="34" t="s">
        <v>1737</v>
      </c>
    </row>
    <row r="1703" customFormat="false" ht="127.5" hidden="false" customHeight="false" outlineLevel="0" collapsed="false">
      <c r="A1703" s="37" t="s">
        <v>3349</v>
      </c>
      <c r="B1703" s="34" t="s">
        <v>3350</v>
      </c>
      <c r="C1703" s="34" t="s">
        <v>186</v>
      </c>
    </row>
    <row r="1704" customFormat="false" ht="76.5" hidden="false" customHeight="false" outlineLevel="0" collapsed="false">
      <c r="A1704" s="37" t="s">
        <v>3351</v>
      </c>
      <c r="B1704" s="34" t="s">
        <v>3352</v>
      </c>
      <c r="C1704" s="34" t="s">
        <v>1741</v>
      </c>
    </row>
    <row r="1705" customFormat="false" ht="63.75" hidden="false" customHeight="false" outlineLevel="0" collapsed="false">
      <c r="A1705" s="37" t="s">
        <v>3353</v>
      </c>
      <c r="B1705" s="34" t="s">
        <v>3354</v>
      </c>
      <c r="C1705" s="34" t="s">
        <v>1744</v>
      </c>
    </row>
    <row r="1706" customFormat="false" ht="102" hidden="false" customHeight="false" outlineLevel="0" collapsed="false">
      <c r="A1706" s="37" t="s">
        <v>3355</v>
      </c>
      <c r="B1706" s="34" t="s">
        <v>3356</v>
      </c>
      <c r="C1706" s="34" t="s">
        <v>177</v>
      </c>
    </row>
    <row r="1707" customFormat="false" ht="102" hidden="false" customHeight="false" outlineLevel="0" collapsed="false">
      <c r="A1707" s="37" t="s">
        <v>3357</v>
      </c>
      <c r="B1707" s="34" t="s">
        <v>3358</v>
      </c>
      <c r="C1707" s="34" t="s">
        <v>177</v>
      </c>
    </row>
    <row r="1708" customFormat="false" ht="76.5" hidden="false" customHeight="false" outlineLevel="0" collapsed="false">
      <c r="A1708" s="37" t="s">
        <v>3359</v>
      </c>
      <c r="B1708" s="34" t="s">
        <v>3360</v>
      </c>
      <c r="C1708" s="34" t="s">
        <v>3361</v>
      </c>
    </row>
    <row r="1709" customFormat="false" ht="76.5" hidden="false" customHeight="false" outlineLevel="0" collapsed="false">
      <c r="A1709" s="37" t="s">
        <v>3362</v>
      </c>
      <c r="B1709" s="34" t="s">
        <v>3363</v>
      </c>
      <c r="C1709" s="34" t="s">
        <v>3361</v>
      </c>
    </row>
    <row r="1710" customFormat="false" ht="102" hidden="false" customHeight="false" outlineLevel="0" collapsed="false">
      <c r="A1710" s="37" t="s">
        <v>3364</v>
      </c>
      <c r="B1710" s="34" t="s">
        <v>3365</v>
      </c>
      <c r="C1710" s="34" t="s">
        <v>1737</v>
      </c>
    </row>
    <row r="1711" customFormat="false" ht="102" hidden="false" customHeight="false" outlineLevel="0" collapsed="false">
      <c r="A1711" s="37" t="s">
        <v>3366</v>
      </c>
      <c r="B1711" s="34" t="s">
        <v>3367</v>
      </c>
      <c r="C1711" s="34" t="s">
        <v>1737</v>
      </c>
    </row>
    <row r="1712" customFormat="false" ht="127.5" hidden="false" customHeight="false" outlineLevel="0" collapsed="false">
      <c r="A1712" s="37" t="s">
        <v>3368</v>
      </c>
      <c r="B1712" s="34" t="s">
        <v>3369</v>
      </c>
      <c r="C1712" s="34" t="s">
        <v>186</v>
      </c>
    </row>
    <row r="1713" customFormat="false" ht="114.75" hidden="false" customHeight="false" outlineLevel="0" collapsed="false">
      <c r="A1713" s="37" t="s">
        <v>3370</v>
      </c>
      <c r="B1713" s="34" t="s">
        <v>3371</v>
      </c>
      <c r="C1713" s="34" t="s">
        <v>3372</v>
      </c>
    </row>
    <row r="1714" customFormat="false" ht="63.75" hidden="false" customHeight="false" outlineLevel="0" collapsed="false">
      <c r="A1714" s="37" t="s">
        <v>3373</v>
      </c>
      <c r="B1714" s="34" t="s">
        <v>3374</v>
      </c>
      <c r="C1714" s="34" t="s">
        <v>139</v>
      </c>
    </row>
    <row r="1715" customFormat="false" ht="63.75" hidden="false" customHeight="false" outlineLevel="0" collapsed="false">
      <c r="A1715" s="37" t="s">
        <v>3375</v>
      </c>
      <c r="B1715" s="34" t="s">
        <v>3376</v>
      </c>
      <c r="C1715" s="34" t="s">
        <v>139</v>
      </c>
    </row>
    <row r="1716" customFormat="false" ht="63.75" hidden="false" customHeight="false" outlineLevel="0" collapsed="false">
      <c r="A1716" s="37" t="s">
        <v>3377</v>
      </c>
      <c r="B1716" s="34" t="s">
        <v>3378</v>
      </c>
      <c r="C1716" s="34" t="s">
        <v>139</v>
      </c>
    </row>
    <row r="1717" customFormat="false" ht="63.75" hidden="false" customHeight="false" outlineLevel="0" collapsed="false">
      <c r="A1717" s="37" t="s">
        <v>3379</v>
      </c>
      <c r="B1717" s="34" t="s">
        <v>3380</v>
      </c>
      <c r="C1717" s="34" t="s">
        <v>139</v>
      </c>
    </row>
    <row r="1718" customFormat="false" ht="38.25" hidden="false" customHeight="false" outlineLevel="0" collapsed="false">
      <c r="A1718" s="37" t="s">
        <v>3381</v>
      </c>
      <c r="B1718" s="34" t="s">
        <v>3382</v>
      </c>
      <c r="C1718" s="34" t="s">
        <v>965</v>
      </c>
    </row>
    <row r="1719" customFormat="false" ht="25.5" hidden="false" customHeight="false" outlineLevel="0" collapsed="false">
      <c r="A1719" s="37" t="s">
        <v>3383</v>
      </c>
      <c r="B1719" s="34" t="s">
        <v>3384</v>
      </c>
      <c r="C1719" s="34" t="s">
        <v>965</v>
      </c>
    </row>
    <row r="1720" customFormat="false" ht="63.75" hidden="false" customHeight="false" outlineLevel="0" collapsed="false">
      <c r="A1720" s="37" t="s">
        <v>3385</v>
      </c>
      <c r="B1720" s="34" t="s">
        <v>3386</v>
      </c>
      <c r="C1720" s="34" t="s">
        <v>139</v>
      </c>
    </row>
    <row r="1721" customFormat="false" ht="127.5" hidden="false" customHeight="false" outlineLevel="0" collapsed="false">
      <c r="A1721" s="37" t="n">
        <v>5621100</v>
      </c>
      <c r="B1721" s="34" t="s">
        <v>3387</v>
      </c>
      <c r="C1721" s="34" t="s">
        <v>1079</v>
      </c>
    </row>
    <row r="1722" customFormat="false" ht="127.5" hidden="false" customHeight="false" outlineLevel="0" collapsed="false">
      <c r="A1722" s="37" t="n">
        <v>5621200</v>
      </c>
      <c r="B1722" s="34" t="s">
        <v>3388</v>
      </c>
      <c r="C1722" s="34" t="s">
        <v>1079</v>
      </c>
    </row>
    <row r="1723" customFormat="false" ht="127.5" hidden="false" customHeight="false" outlineLevel="0" collapsed="false">
      <c r="A1723" s="37" t="n">
        <v>5621500</v>
      </c>
      <c r="B1723" s="34" t="s">
        <v>3389</v>
      </c>
      <c r="C1723" s="34" t="s">
        <v>1079</v>
      </c>
    </row>
    <row r="1724" customFormat="false" ht="127.5" hidden="false" customHeight="false" outlineLevel="0" collapsed="false">
      <c r="A1724" s="37" t="n">
        <v>5622100</v>
      </c>
      <c r="B1724" s="34" t="s">
        <v>3390</v>
      </c>
      <c r="C1724" s="34" t="s">
        <v>1079</v>
      </c>
    </row>
    <row r="1725" customFormat="false" ht="127.5" hidden="false" customHeight="false" outlineLevel="0" collapsed="false">
      <c r="A1725" s="37" t="n">
        <v>5622200</v>
      </c>
      <c r="B1725" s="34" t="s">
        <v>3391</v>
      </c>
      <c r="C1725" s="34" t="s">
        <v>1079</v>
      </c>
    </row>
    <row r="1726" customFormat="false" ht="127.5" hidden="false" customHeight="false" outlineLevel="0" collapsed="false">
      <c r="A1726" s="37" t="n">
        <v>5622500</v>
      </c>
      <c r="B1726" s="34" t="s">
        <v>3392</v>
      </c>
      <c r="C1726" s="34" t="s">
        <v>1079</v>
      </c>
    </row>
    <row r="1727" customFormat="false" ht="127.5" hidden="false" customHeight="false" outlineLevel="0" collapsed="false">
      <c r="A1727" s="37" t="n">
        <v>5625500</v>
      </c>
      <c r="B1727" s="34" t="s">
        <v>3393</v>
      </c>
      <c r="C1727" s="34" t="s">
        <v>1079</v>
      </c>
    </row>
    <row r="1728" customFormat="false" ht="127.5" hidden="false" customHeight="false" outlineLevel="0" collapsed="false">
      <c r="A1728" s="37" t="n">
        <v>5626500</v>
      </c>
      <c r="B1728" s="34" t="s">
        <v>3394</v>
      </c>
      <c r="C1728" s="34" t="s">
        <v>1079</v>
      </c>
    </row>
    <row r="1729" customFormat="false" ht="127.5" hidden="false" customHeight="false" outlineLevel="0" collapsed="false">
      <c r="A1729" s="37" t="n">
        <v>5627500</v>
      </c>
      <c r="B1729" s="34" t="s">
        <v>3395</v>
      </c>
      <c r="C1729" s="34" t="s">
        <v>1079</v>
      </c>
    </row>
    <row r="1730" customFormat="false" ht="127.5" hidden="false" customHeight="false" outlineLevel="0" collapsed="false">
      <c r="A1730" s="37" t="s">
        <v>3396</v>
      </c>
      <c r="B1730" s="34" t="s">
        <v>3397</v>
      </c>
      <c r="C1730" s="34" t="s">
        <v>1079</v>
      </c>
    </row>
    <row r="1731" customFormat="false" ht="127.5" hidden="false" customHeight="false" outlineLevel="0" collapsed="false">
      <c r="A1731" s="37" t="s">
        <v>3398</v>
      </c>
      <c r="B1731" s="34" t="s">
        <v>3399</v>
      </c>
      <c r="C1731" s="34" t="s">
        <v>1788</v>
      </c>
    </row>
    <row r="1732" customFormat="false" ht="127.5" hidden="false" customHeight="false" outlineLevel="0" collapsed="false">
      <c r="A1732" s="37" t="s">
        <v>3400</v>
      </c>
      <c r="B1732" s="34" t="s">
        <v>3401</v>
      </c>
      <c r="C1732" s="34" t="s">
        <v>1788</v>
      </c>
    </row>
    <row r="1733" customFormat="false" ht="102" hidden="false" customHeight="false" outlineLevel="0" collapsed="false">
      <c r="A1733" s="37" t="s">
        <v>3402</v>
      </c>
      <c r="B1733" s="34" t="s">
        <v>3403</v>
      </c>
      <c r="C1733" s="34" t="s">
        <v>1793</v>
      </c>
    </row>
    <row r="1734" customFormat="false" ht="102" hidden="false" customHeight="false" outlineLevel="0" collapsed="false">
      <c r="A1734" s="37" t="s">
        <v>3404</v>
      </c>
      <c r="B1734" s="34" t="s">
        <v>3405</v>
      </c>
      <c r="C1734" s="34" t="s">
        <v>1793</v>
      </c>
    </row>
    <row r="1735" customFormat="false" ht="127.5" hidden="false" customHeight="false" outlineLevel="0" collapsed="false">
      <c r="A1735" s="37" t="s">
        <v>3406</v>
      </c>
      <c r="B1735" s="34" t="s">
        <v>3407</v>
      </c>
      <c r="C1735" s="34" t="s">
        <v>230</v>
      </c>
    </row>
    <row r="1736" customFormat="false" ht="76.5" hidden="false" customHeight="false" outlineLevel="0" collapsed="false">
      <c r="A1736" s="37" t="s">
        <v>3408</v>
      </c>
      <c r="B1736" s="34" t="s">
        <v>3407</v>
      </c>
      <c r="C1736" s="34" t="s">
        <v>1798</v>
      </c>
    </row>
    <row r="1737" customFormat="false" ht="63.75" hidden="false" customHeight="false" outlineLevel="0" collapsed="false">
      <c r="A1737" s="37" t="s">
        <v>3409</v>
      </c>
      <c r="B1737" s="34" t="s">
        <v>3410</v>
      </c>
      <c r="C1737" s="34" t="s">
        <v>1801</v>
      </c>
    </row>
    <row r="1738" customFormat="false" ht="102" hidden="false" customHeight="false" outlineLevel="0" collapsed="false">
      <c r="A1738" s="37" t="s">
        <v>3411</v>
      </c>
      <c r="B1738" s="34" t="s">
        <v>3412</v>
      </c>
      <c r="C1738" s="34" t="s">
        <v>221</v>
      </c>
    </row>
    <row r="1739" customFormat="false" ht="102" hidden="false" customHeight="false" outlineLevel="0" collapsed="false">
      <c r="A1739" s="37" t="s">
        <v>3413</v>
      </c>
      <c r="B1739" s="34" t="s">
        <v>3414</v>
      </c>
      <c r="C1739" s="34" t="s">
        <v>221</v>
      </c>
    </row>
    <row r="1740" customFormat="false" ht="76.5" hidden="false" customHeight="false" outlineLevel="0" collapsed="false">
      <c r="A1740" s="37" t="s">
        <v>3415</v>
      </c>
      <c r="B1740" s="34" t="s">
        <v>3416</v>
      </c>
      <c r="C1740" s="34" t="s">
        <v>3417</v>
      </c>
    </row>
    <row r="1741" customFormat="false" ht="76.5" hidden="false" customHeight="false" outlineLevel="0" collapsed="false">
      <c r="A1741" s="37" t="s">
        <v>3418</v>
      </c>
      <c r="B1741" s="34" t="s">
        <v>3419</v>
      </c>
      <c r="C1741" s="34" t="s">
        <v>3417</v>
      </c>
    </row>
    <row r="1742" customFormat="false" ht="102" hidden="false" customHeight="false" outlineLevel="0" collapsed="false">
      <c r="A1742" s="37" t="s">
        <v>3420</v>
      </c>
      <c r="B1742" s="34" t="s">
        <v>3421</v>
      </c>
      <c r="C1742" s="34" t="s">
        <v>1793</v>
      </c>
    </row>
    <row r="1743" customFormat="false" ht="89.25" hidden="false" customHeight="false" outlineLevel="0" collapsed="false">
      <c r="A1743" s="37" t="s">
        <v>3422</v>
      </c>
      <c r="B1743" s="34" t="s">
        <v>3423</v>
      </c>
      <c r="C1743" s="34" t="s">
        <v>210</v>
      </c>
    </row>
    <row r="1744" customFormat="false" ht="127.5" hidden="false" customHeight="false" outlineLevel="0" collapsed="false">
      <c r="A1744" s="37" t="s">
        <v>3424</v>
      </c>
      <c r="B1744" s="34" t="s">
        <v>3425</v>
      </c>
      <c r="C1744" s="34" t="s">
        <v>230</v>
      </c>
    </row>
    <row r="1745" customFormat="false" ht="114.75" hidden="false" customHeight="false" outlineLevel="0" collapsed="false">
      <c r="A1745" s="37" t="s">
        <v>3426</v>
      </c>
      <c r="B1745" s="34" t="s">
        <v>3427</v>
      </c>
      <c r="C1745" s="34" t="s">
        <v>3428</v>
      </c>
    </row>
    <row r="1746" customFormat="false" ht="63.75" hidden="false" customHeight="false" outlineLevel="0" collapsed="false">
      <c r="A1746" s="37" t="s">
        <v>3429</v>
      </c>
      <c r="B1746" s="34" t="s">
        <v>3430</v>
      </c>
      <c r="C1746" s="34" t="s">
        <v>139</v>
      </c>
    </row>
    <row r="1747" customFormat="false" ht="63.75" hidden="false" customHeight="false" outlineLevel="0" collapsed="false">
      <c r="A1747" s="37" t="s">
        <v>3431</v>
      </c>
      <c r="B1747" s="34" t="s">
        <v>3432</v>
      </c>
      <c r="C1747" s="34" t="s">
        <v>139</v>
      </c>
    </row>
    <row r="1748" customFormat="false" ht="63.75" hidden="false" customHeight="false" outlineLevel="0" collapsed="false">
      <c r="A1748" s="37" t="s">
        <v>3433</v>
      </c>
      <c r="B1748" s="34" t="s">
        <v>3434</v>
      </c>
      <c r="C1748" s="34" t="s">
        <v>139</v>
      </c>
    </row>
    <row r="1749" customFormat="false" ht="63.75" hidden="false" customHeight="false" outlineLevel="0" collapsed="false">
      <c r="A1749" s="37" t="s">
        <v>3435</v>
      </c>
      <c r="B1749" s="34" t="s">
        <v>3436</v>
      </c>
      <c r="C1749" s="34" t="s">
        <v>139</v>
      </c>
    </row>
    <row r="1750" customFormat="false" ht="38.25" hidden="false" customHeight="false" outlineLevel="0" collapsed="false">
      <c r="A1750" s="37" t="s">
        <v>3437</v>
      </c>
      <c r="B1750" s="34" t="s">
        <v>3438</v>
      </c>
      <c r="C1750" s="34" t="s">
        <v>965</v>
      </c>
    </row>
    <row r="1751" customFormat="false" ht="25.5" hidden="false" customHeight="false" outlineLevel="0" collapsed="false">
      <c r="A1751" s="37" t="s">
        <v>3439</v>
      </c>
      <c r="B1751" s="34" t="s">
        <v>3440</v>
      </c>
      <c r="C1751" s="34" t="s">
        <v>965</v>
      </c>
    </row>
    <row r="1752" customFormat="false" ht="63.75" hidden="false" customHeight="false" outlineLevel="0" collapsed="false">
      <c r="A1752" s="37" t="s">
        <v>3441</v>
      </c>
      <c r="B1752" s="34" t="s">
        <v>3442</v>
      </c>
      <c r="C1752" s="34" t="s">
        <v>139</v>
      </c>
    </row>
    <row r="1753" customFormat="false" ht="127.5" hidden="false" customHeight="false" outlineLevel="0" collapsed="false">
      <c r="A1753" s="37" t="n">
        <v>5631100</v>
      </c>
      <c r="B1753" s="34" t="s">
        <v>3443</v>
      </c>
      <c r="C1753" s="34" t="s">
        <v>1089</v>
      </c>
    </row>
    <row r="1754" customFormat="false" ht="127.5" hidden="false" customHeight="false" outlineLevel="0" collapsed="false">
      <c r="A1754" s="37" t="n">
        <v>5631200</v>
      </c>
      <c r="B1754" s="34" t="s">
        <v>3444</v>
      </c>
      <c r="C1754" s="34" t="s">
        <v>1089</v>
      </c>
    </row>
    <row r="1755" customFormat="false" ht="127.5" hidden="false" customHeight="false" outlineLevel="0" collapsed="false">
      <c r="A1755" s="37" t="n">
        <v>5631500</v>
      </c>
      <c r="B1755" s="34" t="s">
        <v>3445</v>
      </c>
      <c r="C1755" s="34" t="s">
        <v>1089</v>
      </c>
    </row>
    <row r="1756" customFormat="false" ht="127.5" hidden="false" customHeight="false" outlineLevel="0" collapsed="false">
      <c r="A1756" s="37" t="n">
        <v>5632100</v>
      </c>
      <c r="B1756" s="34" t="s">
        <v>3446</v>
      </c>
      <c r="C1756" s="34" t="s">
        <v>1089</v>
      </c>
    </row>
    <row r="1757" customFormat="false" ht="127.5" hidden="false" customHeight="false" outlineLevel="0" collapsed="false">
      <c r="A1757" s="37" t="n">
        <v>5632200</v>
      </c>
      <c r="B1757" s="34" t="s">
        <v>3447</v>
      </c>
      <c r="C1757" s="34" t="s">
        <v>1089</v>
      </c>
    </row>
    <row r="1758" customFormat="false" ht="127.5" hidden="false" customHeight="false" outlineLevel="0" collapsed="false">
      <c r="A1758" s="37" t="n">
        <v>5632500</v>
      </c>
      <c r="B1758" s="34" t="s">
        <v>3446</v>
      </c>
      <c r="C1758" s="34" t="s">
        <v>1089</v>
      </c>
    </row>
    <row r="1759" customFormat="false" ht="127.5" hidden="false" customHeight="false" outlineLevel="0" collapsed="false">
      <c r="A1759" s="37" t="n">
        <v>5635500</v>
      </c>
      <c r="B1759" s="34" t="s">
        <v>3448</v>
      </c>
      <c r="C1759" s="34" t="s">
        <v>1089</v>
      </c>
    </row>
    <row r="1760" customFormat="false" ht="127.5" hidden="false" customHeight="false" outlineLevel="0" collapsed="false">
      <c r="A1760" s="37" t="n">
        <v>5636500</v>
      </c>
      <c r="B1760" s="34" t="s">
        <v>3449</v>
      </c>
      <c r="C1760" s="34" t="s">
        <v>1089</v>
      </c>
    </row>
    <row r="1761" customFormat="false" ht="127.5" hidden="false" customHeight="false" outlineLevel="0" collapsed="false">
      <c r="A1761" s="37" t="n">
        <v>5637500</v>
      </c>
      <c r="B1761" s="34" t="s">
        <v>3450</v>
      </c>
      <c r="C1761" s="34" t="s">
        <v>1089</v>
      </c>
    </row>
    <row r="1762" customFormat="false" ht="127.5" hidden="false" customHeight="false" outlineLevel="0" collapsed="false">
      <c r="A1762" s="37" t="s">
        <v>3451</v>
      </c>
      <c r="B1762" s="34" t="s">
        <v>3452</v>
      </c>
      <c r="C1762" s="34" t="s">
        <v>1089</v>
      </c>
    </row>
    <row r="1763" customFormat="false" ht="127.5" hidden="false" customHeight="false" outlineLevel="0" collapsed="false">
      <c r="A1763" s="37" t="s">
        <v>3453</v>
      </c>
      <c r="B1763" s="34" t="s">
        <v>3454</v>
      </c>
      <c r="C1763" s="34" t="s">
        <v>1846</v>
      </c>
    </row>
    <row r="1764" customFormat="false" ht="127.5" hidden="false" customHeight="false" outlineLevel="0" collapsed="false">
      <c r="A1764" s="37" t="s">
        <v>3455</v>
      </c>
      <c r="B1764" s="34" t="s">
        <v>3456</v>
      </c>
      <c r="C1764" s="34" t="s">
        <v>1846</v>
      </c>
    </row>
    <row r="1765" customFormat="false" ht="102" hidden="false" customHeight="false" outlineLevel="0" collapsed="false">
      <c r="A1765" s="37" t="s">
        <v>3457</v>
      </c>
      <c r="B1765" s="34" t="s">
        <v>3458</v>
      </c>
      <c r="C1765" s="34" t="s">
        <v>1851</v>
      </c>
    </row>
    <row r="1766" customFormat="false" ht="102" hidden="false" customHeight="false" outlineLevel="0" collapsed="false">
      <c r="A1766" s="37" t="s">
        <v>3459</v>
      </c>
      <c r="B1766" s="34" t="s">
        <v>3460</v>
      </c>
      <c r="C1766" s="34" t="s">
        <v>1851</v>
      </c>
    </row>
    <row r="1767" customFormat="false" ht="127.5" hidden="false" customHeight="false" outlineLevel="0" collapsed="false">
      <c r="A1767" s="37" t="s">
        <v>3461</v>
      </c>
      <c r="B1767" s="34" t="s">
        <v>3462</v>
      </c>
      <c r="C1767" s="34" t="s">
        <v>274</v>
      </c>
    </row>
    <row r="1768" customFormat="false" ht="76.5" hidden="false" customHeight="false" outlineLevel="0" collapsed="false">
      <c r="A1768" s="37" t="s">
        <v>3463</v>
      </c>
      <c r="B1768" s="34" t="s">
        <v>3464</v>
      </c>
      <c r="C1768" s="34" t="s">
        <v>1856</v>
      </c>
    </row>
    <row r="1769" customFormat="false" ht="63.75" hidden="false" customHeight="false" outlineLevel="0" collapsed="false">
      <c r="A1769" s="37" t="s">
        <v>3465</v>
      </c>
      <c r="B1769" s="34" t="s">
        <v>3466</v>
      </c>
      <c r="C1769" s="34" t="s">
        <v>1859</v>
      </c>
    </row>
    <row r="1770" customFormat="false" ht="102" hidden="false" customHeight="false" outlineLevel="0" collapsed="false">
      <c r="A1770" s="37" t="s">
        <v>3467</v>
      </c>
      <c r="B1770" s="34" t="s">
        <v>3468</v>
      </c>
      <c r="C1770" s="34" t="s">
        <v>265</v>
      </c>
    </row>
    <row r="1771" customFormat="false" ht="102" hidden="false" customHeight="false" outlineLevel="0" collapsed="false">
      <c r="A1771" s="37" t="s">
        <v>3469</v>
      </c>
      <c r="B1771" s="34" t="s">
        <v>3470</v>
      </c>
      <c r="C1771" s="34" t="s">
        <v>265</v>
      </c>
    </row>
    <row r="1772" customFormat="false" ht="76.5" hidden="false" customHeight="false" outlineLevel="0" collapsed="false">
      <c r="A1772" s="37" t="s">
        <v>3471</v>
      </c>
      <c r="B1772" s="34" t="s">
        <v>3472</v>
      </c>
      <c r="C1772" s="34" t="s">
        <v>3473</v>
      </c>
    </row>
    <row r="1773" customFormat="false" ht="76.5" hidden="false" customHeight="false" outlineLevel="0" collapsed="false">
      <c r="A1773" s="37" t="s">
        <v>3474</v>
      </c>
      <c r="B1773" s="34" t="s">
        <v>3475</v>
      </c>
      <c r="C1773" s="34" t="s">
        <v>3473</v>
      </c>
    </row>
    <row r="1774" customFormat="false" ht="102" hidden="false" customHeight="false" outlineLevel="0" collapsed="false">
      <c r="A1774" s="37" t="s">
        <v>3476</v>
      </c>
      <c r="B1774" s="34" t="s">
        <v>3458</v>
      </c>
      <c r="C1774" s="34" t="s">
        <v>1851</v>
      </c>
    </row>
    <row r="1775" customFormat="false" ht="89.25" hidden="false" customHeight="false" outlineLevel="0" collapsed="false">
      <c r="A1775" s="37" t="s">
        <v>3477</v>
      </c>
      <c r="B1775" s="34" t="s">
        <v>3478</v>
      </c>
      <c r="C1775" s="34" t="s">
        <v>254</v>
      </c>
    </row>
    <row r="1776" customFormat="false" ht="127.5" hidden="false" customHeight="false" outlineLevel="0" collapsed="false">
      <c r="A1776" s="37" t="s">
        <v>3479</v>
      </c>
      <c r="B1776" s="34" t="s">
        <v>3480</v>
      </c>
      <c r="C1776" s="34" t="s">
        <v>274</v>
      </c>
    </row>
    <row r="1777" customFormat="false" ht="114.75" hidden="false" customHeight="false" outlineLevel="0" collapsed="false">
      <c r="A1777" s="37" t="s">
        <v>3481</v>
      </c>
      <c r="B1777" s="34" t="s">
        <v>3482</v>
      </c>
      <c r="C1777" s="34" t="s">
        <v>3483</v>
      </c>
    </row>
    <row r="1778" customFormat="false" ht="63.75" hidden="false" customHeight="false" outlineLevel="0" collapsed="false">
      <c r="A1778" s="37" t="s">
        <v>3484</v>
      </c>
      <c r="B1778" s="34" t="s">
        <v>3485</v>
      </c>
      <c r="C1778" s="34" t="s">
        <v>139</v>
      </c>
    </row>
    <row r="1779" customFormat="false" ht="63.75" hidden="false" customHeight="false" outlineLevel="0" collapsed="false">
      <c r="A1779" s="37" t="s">
        <v>3486</v>
      </c>
      <c r="B1779" s="34" t="s">
        <v>3487</v>
      </c>
      <c r="C1779" s="34" t="s">
        <v>139</v>
      </c>
    </row>
    <row r="1780" customFormat="false" ht="63.75" hidden="false" customHeight="false" outlineLevel="0" collapsed="false">
      <c r="A1780" s="37" t="s">
        <v>3488</v>
      </c>
      <c r="B1780" s="34" t="s">
        <v>3489</v>
      </c>
      <c r="C1780" s="34" t="s">
        <v>139</v>
      </c>
    </row>
    <row r="1781" customFormat="false" ht="63.75" hidden="false" customHeight="false" outlineLevel="0" collapsed="false">
      <c r="A1781" s="37" t="s">
        <v>3490</v>
      </c>
      <c r="B1781" s="34" t="s">
        <v>3491</v>
      </c>
      <c r="C1781" s="34" t="s">
        <v>139</v>
      </c>
    </row>
    <row r="1782" customFormat="false" ht="38.25" hidden="false" customHeight="false" outlineLevel="0" collapsed="false">
      <c r="A1782" s="37" t="s">
        <v>3492</v>
      </c>
      <c r="B1782" s="34" t="s">
        <v>3493</v>
      </c>
      <c r="C1782" s="34" t="s">
        <v>965</v>
      </c>
    </row>
    <row r="1783" customFormat="false" ht="25.5" hidden="false" customHeight="false" outlineLevel="0" collapsed="false">
      <c r="A1783" s="37" t="s">
        <v>3494</v>
      </c>
      <c r="B1783" s="34" t="s">
        <v>3495</v>
      </c>
      <c r="C1783" s="34" t="s">
        <v>965</v>
      </c>
    </row>
    <row r="1784" customFormat="false" ht="63.75" hidden="false" customHeight="false" outlineLevel="0" collapsed="false">
      <c r="A1784" s="37" t="s">
        <v>3496</v>
      </c>
      <c r="B1784" s="34" t="s">
        <v>3497</v>
      </c>
      <c r="C1784" s="34" t="s">
        <v>139</v>
      </c>
    </row>
    <row r="1785" customFormat="false" ht="127.5" hidden="false" customHeight="false" outlineLevel="0" collapsed="false">
      <c r="A1785" s="37" t="n">
        <v>5641100</v>
      </c>
      <c r="B1785" s="34" t="s">
        <v>3498</v>
      </c>
      <c r="C1785" s="34" t="s">
        <v>1099</v>
      </c>
    </row>
    <row r="1786" customFormat="false" ht="127.5" hidden="false" customHeight="false" outlineLevel="0" collapsed="false">
      <c r="A1786" s="37" t="n">
        <v>5641200</v>
      </c>
      <c r="B1786" s="34" t="s">
        <v>3499</v>
      </c>
      <c r="C1786" s="34" t="s">
        <v>1099</v>
      </c>
    </row>
    <row r="1787" customFormat="false" ht="127.5" hidden="false" customHeight="false" outlineLevel="0" collapsed="false">
      <c r="A1787" s="37" t="n">
        <v>5641500</v>
      </c>
      <c r="B1787" s="34" t="s">
        <v>3500</v>
      </c>
      <c r="C1787" s="34" t="s">
        <v>1099</v>
      </c>
    </row>
    <row r="1788" customFormat="false" ht="127.5" hidden="false" customHeight="false" outlineLevel="0" collapsed="false">
      <c r="A1788" s="37" t="n">
        <v>5642100</v>
      </c>
      <c r="B1788" s="34" t="s">
        <v>3501</v>
      </c>
      <c r="C1788" s="34" t="s">
        <v>1099</v>
      </c>
    </row>
    <row r="1789" customFormat="false" ht="127.5" hidden="false" customHeight="false" outlineLevel="0" collapsed="false">
      <c r="A1789" s="37" t="n">
        <v>5642200</v>
      </c>
      <c r="B1789" s="34" t="s">
        <v>3502</v>
      </c>
      <c r="C1789" s="34" t="s">
        <v>1099</v>
      </c>
    </row>
    <row r="1790" customFormat="false" ht="127.5" hidden="false" customHeight="false" outlineLevel="0" collapsed="false">
      <c r="A1790" s="37" t="n">
        <v>5642500</v>
      </c>
      <c r="B1790" s="34" t="s">
        <v>3503</v>
      </c>
      <c r="C1790" s="34" t="s">
        <v>1099</v>
      </c>
    </row>
    <row r="1791" customFormat="false" ht="127.5" hidden="false" customHeight="false" outlineLevel="0" collapsed="false">
      <c r="A1791" s="37" t="n">
        <v>5645500</v>
      </c>
      <c r="B1791" s="34" t="s">
        <v>3504</v>
      </c>
      <c r="C1791" s="34" t="s">
        <v>1099</v>
      </c>
    </row>
    <row r="1792" customFormat="false" ht="127.5" hidden="false" customHeight="false" outlineLevel="0" collapsed="false">
      <c r="A1792" s="37" t="n">
        <v>5646500</v>
      </c>
      <c r="B1792" s="34" t="s">
        <v>3505</v>
      </c>
      <c r="C1792" s="34" t="s">
        <v>1099</v>
      </c>
    </row>
    <row r="1793" customFormat="false" ht="127.5" hidden="false" customHeight="false" outlineLevel="0" collapsed="false">
      <c r="A1793" s="37" t="n">
        <v>5647500</v>
      </c>
      <c r="B1793" s="34" t="s">
        <v>3506</v>
      </c>
      <c r="C1793" s="34" t="s">
        <v>1099</v>
      </c>
    </row>
    <row r="1794" customFormat="false" ht="127.5" hidden="false" customHeight="false" outlineLevel="0" collapsed="false">
      <c r="A1794" s="37" t="s">
        <v>3507</v>
      </c>
      <c r="B1794" s="34" t="s">
        <v>3508</v>
      </c>
      <c r="C1794" s="34" t="s">
        <v>1099</v>
      </c>
    </row>
    <row r="1795" customFormat="false" ht="127.5" hidden="false" customHeight="false" outlineLevel="0" collapsed="false">
      <c r="A1795" s="37" t="s">
        <v>3509</v>
      </c>
      <c r="B1795" s="34" t="s">
        <v>3510</v>
      </c>
      <c r="C1795" s="34" t="s">
        <v>1904</v>
      </c>
    </row>
    <row r="1796" customFormat="false" ht="127.5" hidden="false" customHeight="false" outlineLevel="0" collapsed="false">
      <c r="A1796" s="37" t="s">
        <v>3511</v>
      </c>
      <c r="B1796" s="34" t="s">
        <v>3512</v>
      </c>
      <c r="C1796" s="34" t="s">
        <v>1904</v>
      </c>
    </row>
    <row r="1797" customFormat="false" ht="102" hidden="false" customHeight="false" outlineLevel="0" collapsed="false">
      <c r="A1797" s="37" t="s">
        <v>3513</v>
      </c>
      <c r="B1797" s="34" t="s">
        <v>3514</v>
      </c>
      <c r="C1797" s="34" t="s">
        <v>1909</v>
      </c>
    </row>
    <row r="1798" customFormat="false" ht="102" hidden="false" customHeight="false" outlineLevel="0" collapsed="false">
      <c r="A1798" s="37" t="s">
        <v>3515</v>
      </c>
      <c r="B1798" s="34" t="s">
        <v>3516</v>
      </c>
      <c r="C1798" s="34" t="s">
        <v>1909</v>
      </c>
    </row>
    <row r="1799" customFormat="false" ht="127.5" hidden="false" customHeight="false" outlineLevel="0" collapsed="false">
      <c r="A1799" s="37" t="s">
        <v>3517</v>
      </c>
      <c r="B1799" s="34" t="s">
        <v>3518</v>
      </c>
      <c r="C1799" s="34" t="s">
        <v>318</v>
      </c>
    </row>
    <row r="1800" customFormat="false" ht="76.5" hidden="false" customHeight="false" outlineLevel="0" collapsed="false">
      <c r="A1800" s="37" t="s">
        <v>3519</v>
      </c>
      <c r="B1800" s="34" t="s">
        <v>3520</v>
      </c>
      <c r="C1800" s="34" t="s">
        <v>1914</v>
      </c>
    </row>
    <row r="1801" customFormat="false" ht="63.75" hidden="false" customHeight="false" outlineLevel="0" collapsed="false">
      <c r="A1801" s="37" t="s">
        <v>3521</v>
      </c>
      <c r="B1801" s="34" t="s">
        <v>3522</v>
      </c>
      <c r="C1801" s="34" t="s">
        <v>1917</v>
      </c>
    </row>
    <row r="1802" customFormat="false" ht="102" hidden="false" customHeight="false" outlineLevel="0" collapsed="false">
      <c r="A1802" s="37" t="s">
        <v>3523</v>
      </c>
      <c r="B1802" s="34" t="s">
        <v>3524</v>
      </c>
      <c r="C1802" s="34" t="s">
        <v>309</v>
      </c>
    </row>
    <row r="1803" customFormat="false" ht="102" hidden="false" customHeight="false" outlineLevel="0" collapsed="false">
      <c r="A1803" s="37" t="s">
        <v>3525</v>
      </c>
      <c r="B1803" s="34" t="s">
        <v>3526</v>
      </c>
      <c r="C1803" s="34" t="s">
        <v>309</v>
      </c>
    </row>
    <row r="1804" customFormat="false" ht="76.5" hidden="false" customHeight="false" outlineLevel="0" collapsed="false">
      <c r="A1804" s="37" t="s">
        <v>3527</v>
      </c>
      <c r="B1804" s="34" t="s">
        <v>3528</v>
      </c>
      <c r="C1804" s="34" t="s">
        <v>3529</v>
      </c>
    </row>
    <row r="1805" customFormat="false" ht="76.5" hidden="false" customHeight="false" outlineLevel="0" collapsed="false">
      <c r="A1805" s="37" t="s">
        <v>3530</v>
      </c>
      <c r="B1805" s="34" t="s">
        <v>3531</v>
      </c>
      <c r="C1805" s="34" t="s">
        <v>3529</v>
      </c>
    </row>
    <row r="1806" customFormat="false" ht="102" hidden="false" customHeight="false" outlineLevel="0" collapsed="false">
      <c r="A1806" s="37" t="s">
        <v>3532</v>
      </c>
      <c r="B1806" s="34" t="s">
        <v>3533</v>
      </c>
      <c r="C1806" s="34" t="s">
        <v>1909</v>
      </c>
    </row>
    <row r="1807" customFormat="false" ht="89.25" hidden="false" customHeight="false" outlineLevel="0" collapsed="false">
      <c r="A1807" s="37" t="s">
        <v>3534</v>
      </c>
      <c r="B1807" s="34" t="s">
        <v>3535</v>
      </c>
      <c r="C1807" s="34" t="s">
        <v>298</v>
      </c>
    </row>
    <row r="1808" customFormat="false" ht="127.5" hidden="false" customHeight="false" outlineLevel="0" collapsed="false">
      <c r="A1808" s="37" t="s">
        <v>3536</v>
      </c>
      <c r="B1808" s="34" t="s">
        <v>3537</v>
      </c>
      <c r="C1808" s="34" t="s">
        <v>318</v>
      </c>
    </row>
    <row r="1809" customFormat="false" ht="114.75" hidden="false" customHeight="false" outlineLevel="0" collapsed="false">
      <c r="A1809" s="37" t="s">
        <v>3538</v>
      </c>
      <c r="B1809" s="34" t="s">
        <v>3539</v>
      </c>
      <c r="C1809" s="34" t="s">
        <v>3540</v>
      </c>
    </row>
    <row r="1810" customFormat="false" ht="63.75" hidden="false" customHeight="false" outlineLevel="0" collapsed="false">
      <c r="A1810" s="37" t="s">
        <v>3541</v>
      </c>
      <c r="B1810" s="34" t="s">
        <v>3542</v>
      </c>
      <c r="C1810" s="34" t="s">
        <v>139</v>
      </c>
    </row>
    <row r="1811" customFormat="false" ht="63.75" hidden="false" customHeight="false" outlineLevel="0" collapsed="false">
      <c r="A1811" s="37" t="s">
        <v>3543</v>
      </c>
      <c r="B1811" s="34" t="s">
        <v>3544</v>
      </c>
      <c r="C1811" s="34" t="s">
        <v>139</v>
      </c>
    </row>
    <row r="1812" customFormat="false" ht="63.75" hidden="false" customHeight="false" outlineLevel="0" collapsed="false">
      <c r="A1812" s="37" t="s">
        <v>3545</v>
      </c>
      <c r="B1812" s="34" t="s">
        <v>3546</v>
      </c>
      <c r="C1812" s="34" t="s">
        <v>139</v>
      </c>
    </row>
    <row r="1813" customFormat="false" ht="63.75" hidden="false" customHeight="false" outlineLevel="0" collapsed="false">
      <c r="A1813" s="37" t="s">
        <v>3547</v>
      </c>
      <c r="B1813" s="34" t="s">
        <v>3548</v>
      </c>
      <c r="C1813" s="34" t="s">
        <v>139</v>
      </c>
    </row>
    <row r="1814" customFormat="false" ht="38.25" hidden="false" customHeight="false" outlineLevel="0" collapsed="false">
      <c r="A1814" s="37" t="s">
        <v>3549</v>
      </c>
      <c r="B1814" s="34" t="s">
        <v>3550</v>
      </c>
      <c r="C1814" s="34" t="s">
        <v>965</v>
      </c>
    </row>
    <row r="1815" customFormat="false" ht="25.5" hidden="false" customHeight="false" outlineLevel="0" collapsed="false">
      <c r="A1815" s="37" t="s">
        <v>3551</v>
      </c>
      <c r="B1815" s="34" t="s">
        <v>3552</v>
      </c>
      <c r="C1815" s="34" t="s">
        <v>965</v>
      </c>
    </row>
    <row r="1816" customFormat="false" ht="63.75" hidden="false" customHeight="false" outlineLevel="0" collapsed="false">
      <c r="A1816" s="37" t="s">
        <v>3553</v>
      </c>
      <c r="B1816" s="34" t="s">
        <v>3554</v>
      </c>
      <c r="C1816" s="34" t="s">
        <v>139</v>
      </c>
    </row>
    <row r="1817" customFormat="false" ht="127.5" hidden="false" customHeight="false" outlineLevel="0" collapsed="false">
      <c r="A1817" s="37" t="n">
        <v>5651100</v>
      </c>
      <c r="B1817" s="34" t="s">
        <v>3555</v>
      </c>
      <c r="C1817" s="34" t="s">
        <v>1108</v>
      </c>
    </row>
    <row r="1818" customFormat="false" ht="127.5" hidden="false" customHeight="false" outlineLevel="0" collapsed="false">
      <c r="A1818" s="37" t="n">
        <v>5651200</v>
      </c>
      <c r="B1818" s="34" t="s">
        <v>3556</v>
      </c>
      <c r="C1818" s="34" t="s">
        <v>1108</v>
      </c>
    </row>
    <row r="1819" customFormat="false" ht="127.5" hidden="false" customHeight="false" outlineLevel="0" collapsed="false">
      <c r="A1819" s="37" t="n">
        <v>5651500</v>
      </c>
      <c r="B1819" s="34" t="s">
        <v>3557</v>
      </c>
      <c r="C1819" s="34" t="s">
        <v>1108</v>
      </c>
    </row>
    <row r="1820" customFormat="false" ht="127.5" hidden="false" customHeight="false" outlineLevel="0" collapsed="false">
      <c r="A1820" s="37" t="n">
        <v>5652100</v>
      </c>
      <c r="B1820" s="34" t="s">
        <v>3558</v>
      </c>
      <c r="C1820" s="34" t="s">
        <v>1108</v>
      </c>
    </row>
    <row r="1821" customFormat="false" ht="127.5" hidden="false" customHeight="false" outlineLevel="0" collapsed="false">
      <c r="A1821" s="37" t="n">
        <v>5652200</v>
      </c>
      <c r="B1821" s="34" t="s">
        <v>3559</v>
      </c>
      <c r="C1821" s="34" t="s">
        <v>1108</v>
      </c>
    </row>
    <row r="1822" customFormat="false" ht="127.5" hidden="false" customHeight="false" outlineLevel="0" collapsed="false">
      <c r="A1822" s="37" t="n">
        <v>5652500</v>
      </c>
      <c r="B1822" s="34" t="s">
        <v>3560</v>
      </c>
      <c r="C1822" s="34" t="s">
        <v>1108</v>
      </c>
    </row>
    <row r="1823" customFormat="false" ht="127.5" hidden="false" customHeight="false" outlineLevel="0" collapsed="false">
      <c r="A1823" s="37" t="n">
        <v>5655500</v>
      </c>
      <c r="B1823" s="34" t="s">
        <v>3561</v>
      </c>
      <c r="C1823" s="34" t="s">
        <v>1108</v>
      </c>
    </row>
    <row r="1824" customFormat="false" ht="127.5" hidden="false" customHeight="false" outlineLevel="0" collapsed="false">
      <c r="A1824" s="37" t="n">
        <v>5656500</v>
      </c>
      <c r="B1824" s="34" t="s">
        <v>3562</v>
      </c>
      <c r="C1824" s="34" t="s">
        <v>1108</v>
      </c>
    </row>
    <row r="1825" customFormat="false" ht="127.5" hidden="false" customHeight="false" outlineLevel="0" collapsed="false">
      <c r="A1825" s="37" t="n">
        <v>5657500</v>
      </c>
      <c r="B1825" s="34" t="s">
        <v>3563</v>
      </c>
      <c r="C1825" s="34" t="s">
        <v>1108</v>
      </c>
    </row>
    <row r="1826" customFormat="false" ht="127.5" hidden="false" customHeight="false" outlineLevel="0" collapsed="false">
      <c r="A1826" s="37" t="s">
        <v>3564</v>
      </c>
      <c r="B1826" s="34" t="s">
        <v>3565</v>
      </c>
      <c r="C1826" s="34" t="s">
        <v>1108</v>
      </c>
    </row>
    <row r="1827" customFormat="false" ht="127.5" hidden="false" customHeight="false" outlineLevel="0" collapsed="false">
      <c r="A1827" s="37" t="s">
        <v>3566</v>
      </c>
      <c r="B1827" s="34" t="s">
        <v>3567</v>
      </c>
      <c r="C1827" s="34" t="s">
        <v>1967</v>
      </c>
    </row>
    <row r="1828" customFormat="false" ht="127.5" hidden="false" customHeight="false" outlineLevel="0" collapsed="false">
      <c r="A1828" s="37" t="s">
        <v>3568</v>
      </c>
      <c r="B1828" s="34" t="s">
        <v>3569</v>
      </c>
      <c r="C1828" s="34" t="s">
        <v>1967</v>
      </c>
    </row>
    <row r="1829" customFormat="false" ht="102" hidden="false" customHeight="false" outlineLevel="0" collapsed="false">
      <c r="A1829" s="37" t="s">
        <v>3570</v>
      </c>
      <c r="B1829" s="34" t="s">
        <v>3571</v>
      </c>
      <c r="C1829" s="34" t="s">
        <v>1972</v>
      </c>
    </row>
    <row r="1830" customFormat="false" ht="102" hidden="false" customHeight="false" outlineLevel="0" collapsed="false">
      <c r="A1830" s="37" t="s">
        <v>3572</v>
      </c>
      <c r="B1830" s="34" t="s">
        <v>3573</v>
      </c>
      <c r="C1830" s="34" t="s">
        <v>1972</v>
      </c>
    </row>
    <row r="1831" customFormat="false" ht="127.5" hidden="false" customHeight="false" outlineLevel="0" collapsed="false">
      <c r="A1831" s="37" t="s">
        <v>3574</v>
      </c>
      <c r="B1831" s="34" t="s">
        <v>3575</v>
      </c>
      <c r="C1831" s="34" t="s">
        <v>360</v>
      </c>
    </row>
    <row r="1832" customFormat="false" ht="76.5" hidden="false" customHeight="false" outlineLevel="0" collapsed="false">
      <c r="A1832" s="37" t="s">
        <v>3576</v>
      </c>
      <c r="B1832" s="34" t="s">
        <v>3577</v>
      </c>
      <c r="C1832" s="34" t="s">
        <v>1977</v>
      </c>
    </row>
    <row r="1833" customFormat="false" ht="63.75" hidden="false" customHeight="false" outlineLevel="0" collapsed="false">
      <c r="A1833" s="37" t="s">
        <v>3578</v>
      </c>
      <c r="B1833" s="34" t="s">
        <v>3579</v>
      </c>
      <c r="C1833" s="34" t="s">
        <v>1980</v>
      </c>
    </row>
    <row r="1834" customFormat="false" ht="102" hidden="false" customHeight="false" outlineLevel="0" collapsed="false">
      <c r="A1834" s="37" t="s">
        <v>3580</v>
      </c>
      <c r="B1834" s="34" t="s">
        <v>3581</v>
      </c>
      <c r="C1834" s="34" t="s">
        <v>351</v>
      </c>
    </row>
    <row r="1835" customFormat="false" ht="102" hidden="false" customHeight="false" outlineLevel="0" collapsed="false">
      <c r="A1835" s="37" t="s">
        <v>3582</v>
      </c>
      <c r="B1835" s="34" t="s">
        <v>3583</v>
      </c>
      <c r="C1835" s="34" t="s">
        <v>351</v>
      </c>
    </row>
    <row r="1836" customFormat="false" ht="76.5" hidden="false" customHeight="false" outlineLevel="0" collapsed="false">
      <c r="A1836" s="37" t="s">
        <v>3584</v>
      </c>
      <c r="B1836" s="34" t="s">
        <v>3585</v>
      </c>
      <c r="C1836" s="34" t="s">
        <v>3586</v>
      </c>
    </row>
    <row r="1837" customFormat="false" ht="76.5" hidden="false" customHeight="false" outlineLevel="0" collapsed="false">
      <c r="A1837" s="37" t="s">
        <v>3587</v>
      </c>
      <c r="B1837" s="34" t="s">
        <v>3588</v>
      </c>
      <c r="C1837" s="34" t="s">
        <v>3586</v>
      </c>
    </row>
    <row r="1838" customFormat="false" ht="102" hidden="false" customHeight="false" outlineLevel="0" collapsed="false">
      <c r="A1838" s="37" t="s">
        <v>3589</v>
      </c>
      <c r="B1838" s="34" t="s">
        <v>3590</v>
      </c>
      <c r="C1838" s="34" t="s">
        <v>1972</v>
      </c>
    </row>
    <row r="1839" customFormat="false" ht="89.25" hidden="false" customHeight="false" outlineLevel="0" collapsed="false">
      <c r="A1839" s="37" t="s">
        <v>3591</v>
      </c>
      <c r="B1839" s="34" t="s">
        <v>3592</v>
      </c>
      <c r="C1839" s="34" t="s">
        <v>340</v>
      </c>
    </row>
    <row r="1840" customFormat="false" ht="127.5" hidden="false" customHeight="false" outlineLevel="0" collapsed="false">
      <c r="A1840" s="37" t="s">
        <v>3593</v>
      </c>
      <c r="B1840" s="34" t="s">
        <v>3594</v>
      </c>
      <c r="C1840" s="34" t="s">
        <v>360</v>
      </c>
    </row>
    <row r="1841" customFormat="false" ht="114.75" hidden="false" customHeight="false" outlineLevel="0" collapsed="false">
      <c r="A1841" s="37" t="s">
        <v>3595</v>
      </c>
      <c r="B1841" s="34" t="s">
        <v>3596</v>
      </c>
      <c r="C1841" s="34" t="s">
        <v>3597</v>
      </c>
    </row>
    <row r="1842" customFormat="false" ht="63.75" hidden="false" customHeight="false" outlineLevel="0" collapsed="false">
      <c r="A1842" s="37" t="s">
        <v>3598</v>
      </c>
      <c r="B1842" s="34" t="s">
        <v>3599</v>
      </c>
      <c r="C1842" s="34" t="s">
        <v>139</v>
      </c>
    </row>
    <row r="1843" customFormat="false" ht="63.75" hidden="false" customHeight="false" outlineLevel="0" collapsed="false">
      <c r="A1843" s="37" t="s">
        <v>3600</v>
      </c>
      <c r="B1843" s="34" t="s">
        <v>3601</v>
      </c>
      <c r="C1843" s="34" t="s">
        <v>139</v>
      </c>
    </row>
    <row r="1844" customFormat="false" ht="63.75" hidden="false" customHeight="false" outlineLevel="0" collapsed="false">
      <c r="A1844" s="37" t="s">
        <v>3602</v>
      </c>
      <c r="B1844" s="34" t="s">
        <v>3603</v>
      </c>
      <c r="C1844" s="34" t="s">
        <v>139</v>
      </c>
    </row>
    <row r="1845" customFormat="false" ht="63.75" hidden="false" customHeight="false" outlineLevel="0" collapsed="false">
      <c r="A1845" s="37" t="s">
        <v>3604</v>
      </c>
      <c r="B1845" s="34" t="s">
        <v>3605</v>
      </c>
      <c r="C1845" s="34" t="s">
        <v>139</v>
      </c>
    </row>
    <row r="1846" customFormat="false" ht="38.25" hidden="false" customHeight="false" outlineLevel="0" collapsed="false">
      <c r="A1846" s="37" t="s">
        <v>3606</v>
      </c>
      <c r="B1846" s="34" t="s">
        <v>3607</v>
      </c>
      <c r="C1846" s="34" t="s">
        <v>965</v>
      </c>
    </row>
    <row r="1847" customFormat="false" ht="25.5" hidden="false" customHeight="false" outlineLevel="0" collapsed="false">
      <c r="A1847" s="37" t="s">
        <v>3608</v>
      </c>
      <c r="B1847" s="34" t="s">
        <v>3609</v>
      </c>
      <c r="C1847" s="34" t="s">
        <v>965</v>
      </c>
    </row>
    <row r="1848" customFormat="false" ht="63.75" hidden="false" customHeight="false" outlineLevel="0" collapsed="false">
      <c r="A1848" s="37" t="s">
        <v>3610</v>
      </c>
      <c r="B1848" s="34" t="s">
        <v>3611</v>
      </c>
      <c r="C1848" s="34" t="s">
        <v>139</v>
      </c>
    </row>
    <row r="1849" customFormat="false" ht="89.25" hidden="false" customHeight="false" outlineLevel="0" collapsed="false">
      <c r="A1849" s="37" t="n">
        <v>5662100</v>
      </c>
      <c r="B1849" s="34" t="s">
        <v>3612</v>
      </c>
      <c r="C1849" s="34" t="s">
        <v>1115</v>
      </c>
    </row>
    <row r="1850" customFormat="false" ht="38.25" hidden="false" customHeight="false" outlineLevel="0" collapsed="false">
      <c r="A1850" s="37" t="n">
        <v>5662400</v>
      </c>
      <c r="B1850" s="34" t="s">
        <v>3613</v>
      </c>
      <c r="C1850" s="34" t="s">
        <v>965</v>
      </c>
    </row>
    <row r="1851" customFormat="false" ht="63.75" hidden="false" customHeight="false" outlineLevel="0" collapsed="false">
      <c r="A1851" s="37" t="s">
        <v>3614</v>
      </c>
      <c r="B1851" s="34" t="s">
        <v>3615</v>
      </c>
      <c r="C1851" s="34" t="s">
        <v>1142</v>
      </c>
    </row>
    <row r="1852" customFormat="false" ht="63.75" hidden="false" customHeight="false" outlineLevel="0" collapsed="false">
      <c r="A1852" s="37" t="s">
        <v>3616</v>
      </c>
      <c r="B1852" s="34" t="s">
        <v>3617</v>
      </c>
      <c r="C1852" s="34" t="s">
        <v>1142</v>
      </c>
    </row>
    <row r="1853" customFormat="false" ht="63.75" hidden="false" customHeight="false" outlineLevel="0" collapsed="false">
      <c r="A1853" s="37" t="s">
        <v>3618</v>
      </c>
      <c r="B1853" s="34" t="s">
        <v>3619</v>
      </c>
      <c r="C1853" s="34" t="s">
        <v>1142</v>
      </c>
    </row>
    <row r="1854" customFormat="false" ht="63.75" hidden="false" customHeight="false" outlineLevel="0" collapsed="false">
      <c r="A1854" s="37" t="s">
        <v>3620</v>
      </c>
      <c r="B1854" s="34" t="s">
        <v>3621</v>
      </c>
      <c r="C1854" s="34" t="s">
        <v>1142</v>
      </c>
    </row>
    <row r="1855" customFormat="false" ht="63.75" hidden="false" customHeight="false" outlineLevel="0" collapsed="false">
      <c r="A1855" s="37" t="s">
        <v>3622</v>
      </c>
      <c r="B1855" s="34" t="s">
        <v>3623</v>
      </c>
      <c r="C1855" s="34" t="s">
        <v>1142</v>
      </c>
    </row>
    <row r="1856" customFormat="false" ht="89.25" hidden="false" customHeight="false" outlineLevel="0" collapsed="false">
      <c r="A1856" s="37" t="s">
        <v>3624</v>
      </c>
      <c r="B1856" s="34" t="s">
        <v>3625</v>
      </c>
      <c r="C1856" s="34" t="s">
        <v>387</v>
      </c>
    </row>
    <row r="1857" customFormat="false" ht="51" hidden="false" customHeight="false" outlineLevel="0" collapsed="false">
      <c r="A1857" s="37" t="s">
        <v>3626</v>
      </c>
      <c r="B1857" s="34" t="s">
        <v>3627</v>
      </c>
      <c r="C1857" s="34" t="s">
        <v>1170</v>
      </c>
    </row>
    <row r="1858" customFormat="false" ht="51" hidden="false" customHeight="false" outlineLevel="0" collapsed="false">
      <c r="A1858" s="37" t="s">
        <v>3628</v>
      </c>
      <c r="B1858" s="34" t="s">
        <v>3629</v>
      </c>
      <c r="C1858" s="34" t="s">
        <v>1170</v>
      </c>
    </row>
    <row r="1859" customFormat="false" ht="51" hidden="false" customHeight="false" outlineLevel="0" collapsed="false">
      <c r="A1859" s="37" t="s">
        <v>3630</v>
      </c>
      <c r="B1859" s="34" t="s">
        <v>3631</v>
      </c>
      <c r="C1859" s="34" t="s">
        <v>1170</v>
      </c>
    </row>
    <row r="1860" customFormat="false" ht="63.75" hidden="false" customHeight="false" outlineLevel="0" collapsed="false">
      <c r="A1860" s="37" t="s">
        <v>3632</v>
      </c>
      <c r="B1860" s="34" t="s">
        <v>3633</v>
      </c>
      <c r="C1860" s="34" t="s">
        <v>373</v>
      </c>
    </row>
    <row r="1861" customFormat="false" ht="63.75" hidden="false" customHeight="false" outlineLevel="0" collapsed="false">
      <c r="A1861" s="37" t="s">
        <v>3634</v>
      </c>
      <c r="B1861" s="34" t="s">
        <v>3635</v>
      </c>
      <c r="C1861" s="34" t="s">
        <v>373</v>
      </c>
    </row>
    <row r="1862" customFormat="false" ht="51" hidden="false" customHeight="false" outlineLevel="0" collapsed="false">
      <c r="A1862" s="37" t="s">
        <v>3636</v>
      </c>
      <c r="B1862" s="34" t="s">
        <v>3637</v>
      </c>
      <c r="C1862" s="34" t="s">
        <v>384</v>
      </c>
    </row>
    <row r="1863" customFormat="false" ht="76.5" hidden="false" customHeight="false" outlineLevel="0" collapsed="false">
      <c r="A1863" s="37" t="s">
        <v>3638</v>
      </c>
      <c r="B1863" s="34" t="s">
        <v>3639</v>
      </c>
      <c r="C1863" s="34" t="s">
        <v>1188</v>
      </c>
    </row>
    <row r="1864" customFormat="false" ht="76.5" hidden="false" customHeight="false" outlineLevel="0" collapsed="false">
      <c r="A1864" s="37" t="s">
        <v>3640</v>
      </c>
      <c r="B1864" s="34" t="s">
        <v>3641</v>
      </c>
      <c r="C1864" s="34" t="s">
        <v>1188</v>
      </c>
    </row>
    <row r="1865" customFormat="false" ht="76.5" hidden="false" customHeight="false" outlineLevel="0" collapsed="false">
      <c r="A1865" s="37" t="s">
        <v>3642</v>
      </c>
      <c r="B1865" s="34" t="s">
        <v>3643</v>
      </c>
      <c r="C1865" s="34" t="s">
        <v>1188</v>
      </c>
    </row>
    <row r="1866" customFormat="false" ht="76.5" hidden="false" customHeight="false" outlineLevel="0" collapsed="false">
      <c r="A1866" s="37" t="s">
        <v>3644</v>
      </c>
      <c r="B1866" s="34" t="s">
        <v>3645</v>
      </c>
      <c r="C1866" s="34" t="s">
        <v>1193</v>
      </c>
    </row>
    <row r="1867" customFormat="false" ht="89.25" hidden="false" customHeight="false" outlineLevel="0" collapsed="false">
      <c r="A1867" s="37" t="s">
        <v>3646</v>
      </c>
      <c r="B1867" s="34" t="s">
        <v>3647</v>
      </c>
      <c r="C1867" s="34" t="s">
        <v>1198</v>
      </c>
    </row>
    <row r="1868" customFormat="false" ht="89.25" hidden="false" customHeight="false" outlineLevel="0" collapsed="false">
      <c r="A1868" s="37" t="s">
        <v>3648</v>
      </c>
      <c r="B1868" s="34" t="s">
        <v>3649</v>
      </c>
      <c r="C1868" s="34" t="s">
        <v>1198</v>
      </c>
    </row>
    <row r="1869" customFormat="false" ht="89.25" hidden="false" customHeight="false" outlineLevel="0" collapsed="false">
      <c r="A1869" s="37" t="s">
        <v>3650</v>
      </c>
      <c r="B1869" s="34" t="s">
        <v>3651</v>
      </c>
      <c r="C1869" s="34" t="s">
        <v>1198</v>
      </c>
    </row>
    <row r="1870" customFormat="false" ht="89.25" hidden="false" customHeight="false" outlineLevel="0" collapsed="false">
      <c r="A1870" s="37" t="s">
        <v>3652</v>
      </c>
      <c r="B1870" s="34" t="s">
        <v>3653</v>
      </c>
      <c r="C1870" s="34" t="s">
        <v>1198</v>
      </c>
    </row>
    <row r="1871" customFormat="false" ht="89.25" hidden="false" customHeight="false" outlineLevel="0" collapsed="false">
      <c r="A1871" s="37" t="s">
        <v>3654</v>
      </c>
      <c r="B1871" s="34" t="s">
        <v>3655</v>
      </c>
      <c r="C1871" s="34" t="s">
        <v>1198</v>
      </c>
    </row>
    <row r="1872" customFormat="false" ht="89.25" hidden="false" customHeight="false" outlineLevel="0" collapsed="false">
      <c r="A1872" s="37" t="s">
        <v>3656</v>
      </c>
      <c r="B1872" s="34" t="s">
        <v>3657</v>
      </c>
      <c r="C1872" s="34" t="s">
        <v>1198</v>
      </c>
    </row>
    <row r="1873" customFormat="false" ht="89.25" hidden="false" customHeight="false" outlineLevel="0" collapsed="false">
      <c r="A1873" s="37" t="s">
        <v>3658</v>
      </c>
      <c r="B1873" s="34" t="s">
        <v>3659</v>
      </c>
      <c r="C1873" s="34" t="s">
        <v>1198</v>
      </c>
    </row>
    <row r="1874" customFormat="false" ht="89.25" hidden="false" customHeight="false" outlineLevel="0" collapsed="false">
      <c r="A1874" s="37" t="s">
        <v>3660</v>
      </c>
      <c r="B1874" s="34" t="s">
        <v>3661</v>
      </c>
      <c r="C1874" s="34" t="s">
        <v>1198</v>
      </c>
    </row>
    <row r="1875" customFormat="false" ht="102" hidden="false" customHeight="false" outlineLevel="0" collapsed="false">
      <c r="A1875" s="37" t="s">
        <v>3662</v>
      </c>
      <c r="B1875" s="34" t="s">
        <v>3663</v>
      </c>
      <c r="C1875" s="34" t="s">
        <v>1215</v>
      </c>
    </row>
    <row r="1876" customFormat="false" ht="38.25" hidden="false" customHeight="false" outlineLevel="0" collapsed="false">
      <c r="A1876" s="37" t="s">
        <v>3664</v>
      </c>
      <c r="B1876" s="34" t="s">
        <v>3665</v>
      </c>
      <c r="C1876" s="34" t="s">
        <v>965</v>
      </c>
    </row>
    <row r="1877" customFormat="false" ht="63.75" hidden="false" customHeight="false" outlineLevel="0" collapsed="false">
      <c r="A1877" s="37" t="s">
        <v>3666</v>
      </c>
      <c r="B1877" s="34" t="s">
        <v>3667</v>
      </c>
      <c r="C1877" s="34" t="s">
        <v>139</v>
      </c>
    </row>
    <row r="1878" customFormat="false" ht="63.75" hidden="false" customHeight="false" outlineLevel="0" collapsed="false">
      <c r="A1878" s="37" t="s">
        <v>3668</v>
      </c>
      <c r="B1878" s="34" t="s">
        <v>3669</v>
      </c>
      <c r="C1878" s="34" t="s">
        <v>139</v>
      </c>
    </row>
    <row r="1879" customFormat="false" ht="63.75" hidden="false" customHeight="false" outlineLevel="0" collapsed="false">
      <c r="A1879" s="37" t="s">
        <v>3670</v>
      </c>
      <c r="B1879" s="34" t="s">
        <v>3671</v>
      </c>
      <c r="C1879" s="34" t="s">
        <v>139</v>
      </c>
    </row>
    <row r="1880" customFormat="false" ht="63.75" hidden="false" customHeight="false" outlineLevel="0" collapsed="false">
      <c r="A1880" s="37" t="s">
        <v>3672</v>
      </c>
      <c r="B1880" s="34" t="s">
        <v>3673</v>
      </c>
      <c r="C1880" s="34" t="s">
        <v>139</v>
      </c>
    </row>
    <row r="1881" customFormat="false" ht="89.25" hidden="false" customHeight="false" outlineLevel="0" collapsed="false">
      <c r="A1881" s="37" t="n">
        <v>5671300</v>
      </c>
      <c r="B1881" s="34" t="s">
        <v>3674</v>
      </c>
      <c r="C1881" s="34" t="s">
        <v>122</v>
      </c>
    </row>
    <row r="1882" customFormat="false" ht="89.25" hidden="false" customHeight="false" outlineLevel="0" collapsed="false">
      <c r="A1882" s="37" t="n">
        <v>5672100</v>
      </c>
      <c r="B1882" s="34" t="s">
        <v>3675</v>
      </c>
      <c r="C1882" s="34" t="s">
        <v>122</v>
      </c>
    </row>
    <row r="1883" customFormat="false" ht="89.25" hidden="false" customHeight="false" outlineLevel="0" collapsed="false">
      <c r="A1883" s="37" t="n">
        <v>5672200</v>
      </c>
      <c r="B1883" s="34" t="s">
        <v>3676</v>
      </c>
      <c r="C1883" s="34" t="s">
        <v>122</v>
      </c>
    </row>
    <row r="1884" customFormat="false" ht="89.25" hidden="false" customHeight="false" outlineLevel="0" collapsed="false">
      <c r="A1884" s="37" t="n">
        <v>5672300</v>
      </c>
      <c r="B1884" s="34" t="s">
        <v>3677</v>
      </c>
      <c r="C1884" s="34" t="s">
        <v>122</v>
      </c>
    </row>
    <row r="1885" customFormat="false" ht="89.25" hidden="false" customHeight="false" outlineLevel="0" collapsed="false">
      <c r="A1885" s="37" t="n">
        <v>5672800</v>
      </c>
      <c r="B1885" s="34" t="s">
        <v>3678</v>
      </c>
      <c r="C1885" s="34" t="s">
        <v>122</v>
      </c>
    </row>
    <row r="1886" customFormat="false" ht="51" hidden="false" customHeight="false" outlineLevel="0" collapsed="false">
      <c r="A1886" s="37" t="s">
        <v>3679</v>
      </c>
      <c r="B1886" s="34" t="s">
        <v>3680</v>
      </c>
      <c r="C1886" s="34" t="s">
        <v>437</v>
      </c>
    </row>
    <row r="1887" customFormat="false" ht="51" hidden="false" customHeight="false" outlineLevel="0" collapsed="false">
      <c r="A1887" s="37" t="s">
        <v>3681</v>
      </c>
      <c r="B1887" s="34" t="s">
        <v>3682</v>
      </c>
      <c r="C1887" s="34" t="s">
        <v>437</v>
      </c>
    </row>
    <row r="1888" customFormat="false" ht="51" hidden="false" customHeight="false" outlineLevel="0" collapsed="false">
      <c r="A1888" s="37" t="s">
        <v>3683</v>
      </c>
      <c r="B1888" s="34" t="s">
        <v>3684</v>
      </c>
      <c r="C1888" s="34" t="s">
        <v>437</v>
      </c>
    </row>
    <row r="1889" customFormat="false" ht="89.25" hidden="false" customHeight="false" outlineLevel="0" collapsed="false">
      <c r="A1889" s="37" t="s">
        <v>3685</v>
      </c>
      <c r="B1889" s="34" t="s">
        <v>3686</v>
      </c>
      <c r="C1889" s="34" t="s">
        <v>444</v>
      </c>
    </row>
    <row r="1890" customFormat="false" ht="89.25" hidden="false" customHeight="false" outlineLevel="0" collapsed="false">
      <c r="A1890" s="37" t="s">
        <v>3687</v>
      </c>
      <c r="B1890" s="34" t="s">
        <v>3688</v>
      </c>
      <c r="C1890" s="34" t="s">
        <v>444</v>
      </c>
    </row>
    <row r="1891" customFormat="false" ht="89.25" hidden="false" customHeight="false" outlineLevel="0" collapsed="false">
      <c r="A1891" s="37" t="s">
        <v>3689</v>
      </c>
      <c r="B1891" s="34" t="s">
        <v>3690</v>
      </c>
      <c r="C1891" s="34" t="s">
        <v>449</v>
      </c>
    </row>
    <row r="1892" customFormat="false" ht="63.75" hidden="false" customHeight="false" outlineLevel="0" collapsed="false">
      <c r="A1892" s="37" t="s">
        <v>3691</v>
      </c>
      <c r="B1892" s="34" t="s">
        <v>3692</v>
      </c>
      <c r="C1892" s="34" t="s">
        <v>452</v>
      </c>
    </row>
    <row r="1893" customFormat="false" ht="63.75" hidden="false" customHeight="false" outlineLevel="0" collapsed="false">
      <c r="A1893" s="37" t="s">
        <v>3693</v>
      </c>
      <c r="B1893" s="34" t="s">
        <v>3694</v>
      </c>
      <c r="C1893" s="34" t="s">
        <v>139</v>
      </c>
    </row>
    <row r="1894" customFormat="false" ht="63.75" hidden="false" customHeight="false" outlineLevel="0" collapsed="false">
      <c r="A1894" s="37" t="s">
        <v>3695</v>
      </c>
      <c r="B1894" s="34" t="s">
        <v>3696</v>
      </c>
      <c r="C1894" s="34" t="s">
        <v>139</v>
      </c>
    </row>
    <row r="1895" customFormat="false" ht="63.75" hidden="false" customHeight="false" outlineLevel="0" collapsed="false">
      <c r="A1895" s="37" t="s">
        <v>3697</v>
      </c>
      <c r="B1895" s="34" t="s">
        <v>3698</v>
      </c>
      <c r="C1895" s="34" t="s">
        <v>139</v>
      </c>
    </row>
    <row r="1896" customFormat="false" ht="63.75" hidden="false" customHeight="false" outlineLevel="0" collapsed="false">
      <c r="A1896" s="37" t="s">
        <v>3699</v>
      </c>
      <c r="B1896" s="34" t="s">
        <v>3700</v>
      </c>
      <c r="C1896" s="34" t="s">
        <v>139</v>
      </c>
    </row>
    <row r="1897" customFormat="false" ht="38.25" hidden="false" customHeight="false" outlineLevel="0" collapsed="false">
      <c r="A1897" s="37" t="s">
        <v>3701</v>
      </c>
      <c r="B1897" s="34" t="s">
        <v>3702</v>
      </c>
      <c r="C1897" s="34" t="s">
        <v>463</v>
      </c>
    </row>
    <row r="1898" customFormat="false" ht="38.25" hidden="false" customHeight="false" outlineLevel="0" collapsed="false">
      <c r="A1898" s="37" t="s">
        <v>3703</v>
      </c>
      <c r="B1898" s="34" t="s">
        <v>3704</v>
      </c>
      <c r="C1898" s="34" t="s">
        <v>466</v>
      </c>
    </row>
    <row r="1899" customFormat="false" ht="38.25" hidden="false" customHeight="false" outlineLevel="0" collapsed="false">
      <c r="A1899" s="37" t="s">
        <v>3705</v>
      </c>
      <c r="B1899" s="34" t="s">
        <v>3706</v>
      </c>
      <c r="C1899" s="34" t="s">
        <v>469</v>
      </c>
    </row>
    <row r="1900" customFormat="false" ht="38.25" hidden="false" customHeight="false" outlineLevel="0" collapsed="false">
      <c r="A1900" s="37" t="s">
        <v>3707</v>
      </c>
      <c r="B1900" s="34" t="s">
        <v>3708</v>
      </c>
      <c r="C1900" s="34" t="s">
        <v>472</v>
      </c>
    </row>
    <row r="1901" customFormat="false" ht="38.25" hidden="false" customHeight="false" outlineLevel="0" collapsed="false">
      <c r="A1901" s="37" t="s">
        <v>3709</v>
      </c>
      <c r="B1901" s="34" t="s">
        <v>3710</v>
      </c>
      <c r="C1901" s="34" t="s">
        <v>475</v>
      </c>
    </row>
    <row r="1902" customFormat="false" ht="38.25" hidden="false" customHeight="false" outlineLevel="0" collapsed="false">
      <c r="A1902" s="37" t="s">
        <v>3711</v>
      </c>
      <c r="B1902" s="34" t="s">
        <v>3712</v>
      </c>
      <c r="C1902" s="34" t="s">
        <v>478</v>
      </c>
    </row>
    <row r="1903" customFormat="false" ht="38.25" hidden="false" customHeight="false" outlineLevel="0" collapsed="false">
      <c r="A1903" s="37" t="s">
        <v>3713</v>
      </c>
      <c r="B1903" s="34" t="s">
        <v>3714</v>
      </c>
      <c r="C1903" s="34" t="s">
        <v>481</v>
      </c>
    </row>
    <row r="1904" customFormat="false" ht="38.25" hidden="false" customHeight="false" outlineLevel="0" collapsed="false">
      <c r="A1904" s="37" t="s">
        <v>3715</v>
      </c>
      <c r="B1904" s="34" t="s">
        <v>3716</v>
      </c>
      <c r="C1904" s="34" t="s">
        <v>484</v>
      </c>
    </row>
    <row r="1905" customFormat="false" ht="38.25" hidden="false" customHeight="false" outlineLevel="0" collapsed="false">
      <c r="A1905" s="37" t="s">
        <v>3717</v>
      </c>
      <c r="B1905" s="34" t="s">
        <v>3718</v>
      </c>
      <c r="C1905" s="34" t="s">
        <v>487</v>
      </c>
    </row>
    <row r="1906" customFormat="false" ht="38.25" hidden="false" customHeight="false" outlineLevel="0" collapsed="false">
      <c r="A1906" s="37" t="s">
        <v>3719</v>
      </c>
      <c r="B1906" s="34" t="s">
        <v>3720</v>
      </c>
      <c r="C1906" s="34" t="s">
        <v>490</v>
      </c>
    </row>
    <row r="1907" customFormat="false" ht="38.25" hidden="false" customHeight="false" outlineLevel="0" collapsed="false">
      <c r="A1907" s="37" t="s">
        <v>3721</v>
      </c>
      <c r="B1907" s="34" t="s">
        <v>3722</v>
      </c>
      <c r="C1907" s="34" t="s">
        <v>493</v>
      </c>
    </row>
    <row r="1908" customFormat="false" ht="38.25" hidden="false" customHeight="false" outlineLevel="0" collapsed="false">
      <c r="A1908" s="37" t="s">
        <v>3723</v>
      </c>
      <c r="B1908" s="34" t="s">
        <v>3724</v>
      </c>
      <c r="C1908" s="34" t="s">
        <v>496</v>
      </c>
    </row>
    <row r="1909" customFormat="false" ht="38.25" hidden="false" customHeight="false" outlineLevel="0" collapsed="false">
      <c r="A1909" s="37" t="s">
        <v>3725</v>
      </c>
      <c r="B1909" s="34" t="s">
        <v>3726</v>
      </c>
      <c r="C1909" s="34" t="s">
        <v>499</v>
      </c>
    </row>
    <row r="1910" customFormat="false" ht="38.25" hidden="false" customHeight="false" outlineLevel="0" collapsed="false">
      <c r="A1910" s="37" t="s">
        <v>3727</v>
      </c>
      <c r="B1910" s="34" t="s">
        <v>3728</v>
      </c>
      <c r="C1910" s="34" t="s">
        <v>502</v>
      </c>
    </row>
    <row r="1911" customFormat="false" ht="38.25" hidden="false" customHeight="false" outlineLevel="0" collapsed="false">
      <c r="A1911" s="37" t="s">
        <v>3729</v>
      </c>
      <c r="B1911" s="34" t="s">
        <v>3730</v>
      </c>
      <c r="C1911" s="34" t="s">
        <v>505</v>
      </c>
    </row>
    <row r="1912" customFormat="false" ht="51" hidden="false" customHeight="false" outlineLevel="0" collapsed="false">
      <c r="A1912" s="37" t="s">
        <v>3731</v>
      </c>
      <c r="B1912" s="34" t="s">
        <v>3732</v>
      </c>
      <c r="C1912" s="34" t="s">
        <v>508</v>
      </c>
    </row>
    <row r="1913" customFormat="false" ht="51" hidden="false" customHeight="false" outlineLevel="0" collapsed="false">
      <c r="A1913" s="37" t="s">
        <v>3733</v>
      </c>
      <c r="B1913" s="34" t="s">
        <v>3734</v>
      </c>
      <c r="C1913" s="34" t="s">
        <v>511</v>
      </c>
    </row>
    <row r="1914" customFormat="false" ht="51" hidden="false" customHeight="false" outlineLevel="0" collapsed="false">
      <c r="A1914" s="37" t="s">
        <v>3735</v>
      </c>
      <c r="B1914" s="34" t="s">
        <v>3736</v>
      </c>
      <c r="C1914" s="34" t="s">
        <v>514</v>
      </c>
    </row>
    <row r="1915" customFormat="false" ht="51" hidden="false" customHeight="false" outlineLevel="0" collapsed="false">
      <c r="A1915" s="37" t="s">
        <v>3737</v>
      </c>
      <c r="B1915" s="34" t="s">
        <v>3738</v>
      </c>
      <c r="C1915" s="34" t="s">
        <v>517</v>
      </c>
    </row>
    <row r="1916" customFormat="false" ht="51" hidden="false" customHeight="false" outlineLevel="0" collapsed="false">
      <c r="A1916" s="37" t="s">
        <v>3739</v>
      </c>
      <c r="B1916" s="34" t="s">
        <v>3740</v>
      </c>
      <c r="C1916" s="34" t="s">
        <v>517</v>
      </c>
    </row>
    <row r="1917" customFormat="false" ht="51" hidden="false" customHeight="false" outlineLevel="0" collapsed="false">
      <c r="A1917" s="37" t="s">
        <v>3741</v>
      </c>
      <c r="B1917" s="34" t="s">
        <v>3742</v>
      </c>
      <c r="C1917" s="34" t="s">
        <v>517</v>
      </c>
    </row>
    <row r="1918" customFormat="false" ht="51" hidden="false" customHeight="false" outlineLevel="0" collapsed="false">
      <c r="A1918" s="37" t="s">
        <v>3743</v>
      </c>
      <c r="B1918" s="34" t="s">
        <v>3744</v>
      </c>
      <c r="C1918" s="34" t="s">
        <v>517</v>
      </c>
    </row>
    <row r="1919" customFormat="false" ht="51" hidden="false" customHeight="false" outlineLevel="0" collapsed="false">
      <c r="A1919" s="37" t="s">
        <v>3745</v>
      </c>
      <c r="B1919" s="34" t="s">
        <v>3746</v>
      </c>
      <c r="C1919" s="34" t="s">
        <v>511</v>
      </c>
    </row>
    <row r="1920" customFormat="false" ht="51" hidden="false" customHeight="false" outlineLevel="0" collapsed="false">
      <c r="A1920" s="37" t="s">
        <v>3747</v>
      </c>
      <c r="B1920" s="34" t="s">
        <v>3748</v>
      </c>
      <c r="C1920" s="34" t="s">
        <v>511</v>
      </c>
    </row>
    <row r="1921" customFormat="false" ht="51" hidden="false" customHeight="false" outlineLevel="0" collapsed="false">
      <c r="A1921" s="37" t="s">
        <v>3749</v>
      </c>
      <c r="B1921" s="34" t="s">
        <v>3750</v>
      </c>
      <c r="C1921" s="34" t="s">
        <v>511</v>
      </c>
    </row>
    <row r="1922" customFormat="false" ht="51" hidden="false" customHeight="false" outlineLevel="0" collapsed="false">
      <c r="A1922" s="37" t="s">
        <v>3751</v>
      </c>
      <c r="B1922" s="34" t="s">
        <v>3752</v>
      </c>
      <c r="C1922" s="34" t="s">
        <v>511</v>
      </c>
    </row>
    <row r="1923" customFormat="false" ht="51" hidden="false" customHeight="false" outlineLevel="0" collapsed="false">
      <c r="A1923" s="37" t="s">
        <v>3753</v>
      </c>
      <c r="B1923" s="34" t="s">
        <v>3754</v>
      </c>
      <c r="C1923" s="34" t="s">
        <v>511</v>
      </c>
    </row>
    <row r="1924" customFormat="false" ht="51" hidden="false" customHeight="false" outlineLevel="0" collapsed="false">
      <c r="A1924" s="37" t="s">
        <v>3755</v>
      </c>
      <c r="B1924" s="34" t="s">
        <v>3756</v>
      </c>
      <c r="C1924" s="34" t="s">
        <v>511</v>
      </c>
    </row>
    <row r="1925" customFormat="false" ht="51" hidden="false" customHeight="false" outlineLevel="0" collapsed="false">
      <c r="A1925" s="37" t="s">
        <v>3757</v>
      </c>
      <c r="B1925" s="34" t="s">
        <v>3758</v>
      </c>
      <c r="C1925" s="34" t="s">
        <v>511</v>
      </c>
    </row>
    <row r="1926" customFormat="false" ht="51" hidden="false" customHeight="false" outlineLevel="0" collapsed="false">
      <c r="A1926" s="37" t="s">
        <v>3759</v>
      </c>
      <c r="B1926" s="34" t="s">
        <v>3760</v>
      </c>
      <c r="C1926" s="34" t="s">
        <v>511</v>
      </c>
    </row>
    <row r="1927" customFormat="false" ht="51" hidden="false" customHeight="false" outlineLevel="0" collapsed="false">
      <c r="A1927" s="37" t="s">
        <v>3761</v>
      </c>
      <c r="B1927" s="34" t="s">
        <v>3762</v>
      </c>
      <c r="C1927" s="34" t="s">
        <v>511</v>
      </c>
    </row>
    <row r="1928" customFormat="false" ht="51" hidden="false" customHeight="false" outlineLevel="0" collapsed="false">
      <c r="A1928" s="37" t="s">
        <v>3763</v>
      </c>
      <c r="B1928" s="34" t="s">
        <v>3764</v>
      </c>
      <c r="C1928" s="34" t="s">
        <v>511</v>
      </c>
    </row>
    <row r="1929" customFormat="false" ht="51" hidden="false" customHeight="false" outlineLevel="0" collapsed="false">
      <c r="A1929" s="37" t="s">
        <v>3765</v>
      </c>
      <c r="B1929" s="34" t="s">
        <v>3766</v>
      </c>
      <c r="C1929" s="34" t="s">
        <v>546</v>
      </c>
    </row>
    <row r="1930" customFormat="false" ht="51" hidden="false" customHeight="false" outlineLevel="0" collapsed="false">
      <c r="A1930" s="37" t="s">
        <v>3767</v>
      </c>
      <c r="B1930" s="34" t="s">
        <v>3768</v>
      </c>
      <c r="C1930" s="34" t="s">
        <v>546</v>
      </c>
    </row>
    <row r="1931" customFormat="false" ht="51" hidden="false" customHeight="false" outlineLevel="0" collapsed="false">
      <c r="A1931" s="37" t="s">
        <v>3769</v>
      </c>
      <c r="B1931" s="34" t="s">
        <v>3770</v>
      </c>
      <c r="C1931" s="34" t="s">
        <v>546</v>
      </c>
    </row>
    <row r="1932" customFormat="false" ht="51" hidden="false" customHeight="false" outlineLevel="0" collapsed="false">
      <c r="A1932" s="37" t="s">
        <v>3771</v>
      </c>
      <c r="B1932" s="34" t="s">
        <v>3772</v>
      </c>
      <c r="C1932" s="34" t="s">
        <v>546</v>
      </c>
    </row>
    <row r="1933" customFormat="false" ht="51" hidden="false" customHeight="false" outlineLevel="0" collapsed="false">
      <c r="A1933" s="37" t="s">
        <v>3773</v>
      </c>
      <c r="B1933" s="34" t="s">
        <v>3774</v>
      </c>
      <c r="C1933" s="34" t="s">
        <v>546</v>
      </c>
    </row>
    <row r="1934" customFormat="false" ht="51" hidden="false" customHeight="false" outlineLevel="0" collapsed="false">
      <c r="A1934" s="37" t="s">
        <v>3775</v>
      </c>
      <c r="B1934" s="34" t="s">
        <v>3776</v>
      </c>
      <c r="C1934" s="34" t="s">
        <v>546</v>
      </c>
    </row>
    <row r="1935" customFormat="false" ht="51" hidden="false" customHeight="false" outlineLevel="0" collapsed="false">
      <c r="A1935" s="37" t="s">
        <v>3777</v>
      </c>
      <c r="B1935" s="34" t="s">
        <v>3778</v>
      </c>
      <c r="C1935" s="34" t="s">
        <v>546</v>
      </c>
    </row>
    <row r="1936" customFormat="false" ht="63.75" hidden="false" customHeight="false" outlineLevel="0" collapsed="false">
      <c r="A1936" s="37" t="s">
        <v>3779</v>
      </c>
      <c r="B1936" s="34" t="s">
        <v>3780</v>
      </c>
      <c r="C1936" s="34" t="s">
        <v>561</v>
      </c>
    </row>
    <row r="1937" customFormat="false" ht="63.75" hidden="false" customHeight="false" outlineLevel="0" collapsed="false">
      <c r="A1937" s="37" t="s">
        <v>3781</v>
      </c>
      <c r="B1937" s="34" t="s">
        <v>3782</v>
      </c>
      <c r="C1937" s="34" t="s">
        <v>561</v>
      </c>
    </row>
    <row r="1938" customFormat="false" ht="89.25" hidden="false" customHeight="false" outlineLevel="0" collapsed="false">
      <c r="A1938" s="37" t="s">
        <v>3783</v>
      </c>
      <c r="B1938" s="34" t="s">
        <v>3784</v>
      </c>
      <c r="C1938" s="34" t="s">
        <v>566</v>
      </c>
    </row>
    <row r="1939" customFormat="false" ht="63.75" hidden="false" customHeight="false" outlineLevel="0" collapsed="false">
      <c r="A1939" s="37" t="s">
        <v>3785</v>
      </c>
      <c r="B1939" s="34" t="s">
        <v>3786</v>
      </c>
      <c r="C1939" s="34" t="s">
        <v>561</v>
      </c>
    </row>
    <row r="1940" customFormat="false" ht="63.75" hidden="false" customHeight="false" outlineLevel="0" collapsed="false">
      <c r="A1940" s="37" t="s">
        <v>3787</v>
      </c>
      <c r="B1940" s="34" t="s">
        <v>3788</v>
      </c>
      <c r="C1940" s="34" t="s">
        <v>571</v>
      </c>
    </row>
    <row r="1941" customFormat="false" ht="89.25" hidden="false" customHeight="false" outlineLevel="0" collapsed="false">
      <c r="A1941" s="37" t="s">
        <v>3789</v>
      </c>
      <c r="B1941" s="34" t="s">
        <v>3790</v>
      </c>
      <c r="C1941" s="34" t="s">
        <v>574</v>
      </c>
    </row>
    <row r="1942" customFormat="false" ht="89.25" hidden="false" customHeight="false" outlineLevel="0" collapsed="false">
      <c r="A1942" s="37" t="s">
        <v>3791</v>
      </c>
      <c r="B1942" s="34" t="s">
        <v>3792</v>
      </c>
      <c r="C1942" s="34" t="s">
        <v>574</v>
      </c>
    </row>
    <row r="1943" customFormat="false" ht="89.25" hidden="false" customHeight="false" outlineLevel="0" collapsed="false">
      <c r="A1943" s="37" t="s">
        <v>3793</v>
      </c>
      <c r="B1943" s="34" t="s">
        <v>3794</v>
      </c>
      <c r="C1943" s="34" t="s">
        <v>574</v>
      </c>
    </row>
    <row r="1944" customFormat="false" ht="89.25" hidden="false" customHeight="false" outlineLevel="0" collapsed="false">
      <c r="A1944" s="37" t="s">
        <v>3795</v>
      </c>
      <c r="B1944" s="34" t="s">
        <v>3796</v>
      </c>
      <c r="C1944" s="34" t="s">
        <v>574</v>
      </c>
    </row>
    <row r="1945" customFormat="false" ht="89.25" hidden="false" customHeight="false" outlineLevel="0" collapsed="false">
      <c r="A1945" s="37" t="s">
        <v>3797</v>
      </c>
      <c r="B1945" s="34" t="s">
        <v>3798</v>
      </c>
      <c r="C1945" s="34" t="s">
        <v>574</v>
      </c>
    </row>
    <row r="1946" customFormat="false" ht="63.75" hidden="false" customHeight="false" outlineLevel="0" collapsed="false">
      <c r="A1946" s="37" t="s">
        <v>3799</v>
      </c>
      <c r="B1946" s="34" t="s">
        <v>3800</v>
      </c>
      <c r="C1946" s="34" t="s">
        <v>585</v>
      </c>
    </row>
    <row r="1947" customFormat="false" ht="63.75" hidden="false" customHeight="false" outlineLevel="0" collapsed="false">
      <c r="A1947" s="37" t="s">
        <v>3801</v>
      </c>
      <c r="B1947" s="34" t="s">
        <v>3802</v>
      </c>
      <c r="C1947" s="34" t="s">
        <v>588</v>
      </c>
    </row>
    <row r="1948" customFormat="false" ht="51" hidden="false" customHeight="false" outlineLevel="0" collapsed="false">
      <c r="A1948" s="37" t="s">
        <v>3803</v>
      </c>
      <c r="B1948" s="34" t="s">
        <v>3804</v>
      </c>
      <c r="C1948" s="34" t="s">
        <v>546</v>
      </c>
    </row>
    <row r="1949" customFormat="false" ht="51" hidden="false" customHeight="false" outlineLevel="0" collapsed="false">
      <c r="A1949" s="37" t="s">
        <v>3805</v>
      </c>
      <c r="B1949" s="34" t="s">
        <v>3806</v>
      </c>
      <c r="C1949" s="34" t="s">
        <v>546</v>
      </c>
    </row>
    <row r="1950" customFormat="false" ht="51" hidden="false" customHeight="false" outlineLevel="0" collapsed="false">
      <c r="A1950" s="37" t="s">
        <v>3807</v>
      </c>
      <c r="B1950" s="34" t="s">
        <v>3808</v>
      </c>
      <c r="C1950" s="34" t="s">
        <v>546</v>
      </c>
    </row>
    <row r="1951" customFormat="false" ht="51" hidden="false" customHeight="false" outlineLevel="0" collapsed="false">
      <c r="A1951" s="37" t="s">
        <v>3809</v>
      </c>
      <c r="B1951" s="34" t="s">
        <v>3810</v>
      </c>
      <c r="C1951" s="34" t="s">
        <v>546</v>
      </c>
    </row>
    <row r="1952" customFormat="false" ht="51" hidden="false" customHeight="false" outlineLevel="0" collapsed="false">
      <c r="A1952" s="37" t="s">
        <v>3811</v>
      </c>
      <c r="B1952" s="34" t="s">
        <v>3812</v>
      </c>
      <c r="C1952" s="34" t="s">
        <v>546</v>
      </c>
    </row>
    <row r="1953" customFormat="false" ht="51" hidden="false" customHeight="false" outlineLevel="0" collapsed="false">
      <c r="A1953" s="37" t="s">
        <v>3813</v>
      </c>
      <c r="B1953" s="34" t="s">
        <v>3814</v>
      </c>
      <c r="C1953" s="34" t="s">
        <v>546</v>
      </c>
    </row>
    <row r="1954" customFormat="false" ht="51" hidden="false" customHeight="false" outlineLevel="0" collapsed="false">
      <c r="A1954" s="37" t="s">
        <v>3815</v>
      </c>
      <c r="B1954" s="34" t="s">
        <v>3816</v>
      </c>
      <c r="C1954" s="34" t="s">
        <v>546</v>
      </c>
    </row>
    <row r="1955" customFormat="false" ht="51" hidden="false" customHeight="false" outlineLevel="0" collapsed="false">
      <c r="A1955" s="37" t="s">
        <v>3817</v>
      </c>
      <c r="B1955" s="34" t="s">
        <v>3818</v>
      </c>
      <c r="C1955" s="34" t="s">
        <v>546</v>
      </c>
    </row>
    <row r="1956" customFormat="false" ht="51" hidden="false" customHeight="false" outlineLevel="0" collapsed="false">
      <c r="A1956" s="37" t="s">
        <v>3819</v>
      </c>
      <c r="B1956" s="34" t="s">
        <v>3820</v>
      </c>
      <c r="C1956" s="34" t="s">
        <v>546</v>
      </c>
    </row>
    <row r="1957" customFormat="false" ht="51" hidden="false" customHeight="false" outlineLevel="0" collapsed="false">
      <c r="A1957" s="37" t="s">
        <v>3821</v>
      </c>
      <c r="B1957" s="34" t="s">
        <v>3822</v>
      </c>
      <c r="C1957" s="34" t="s">
        <v>546</v>
      </c>
    </row>
    <row r="1958" customFormat="false" ht="51" hidden="false" customHeight="false" outlineLevel="0" collapsed="false">
      <c r="A1958" s="37" t="s">
        <v>3823</v>
      </c>
      <c r="B1958" s="34" t="s">
        <v>3824</v>
      </c>
      <c r="C1958" s="34" t="s">
        <v>546</v>
      </c>
    </row>
    <row r="1959" customFormat="false" ht="38.25" hidden="false" customHeight="false" outlineLevel="0" collapsed="false">
      <c r="A1959" s="37" t="s">
        <v>3825</v>
      </c>
      <c r="B1959" s="34" t="s">
        <v>3826</v>
      </c>
      <c r="C1959" s="34" t="s">
        <v>613</v>
      </c>
    </row>
    <row r="1960" customFormat="false" ht="51" hidden="false" customHeight="false" outlineLevel="0" collapsed="false">
      <c r="A1960" s="37" t="s">
        <v>3827</v>
      </c>
      <c r="B1960" s="34" t="s">
        <v>3828</v>
      </c>
      <c r="C1960" s="34" t="s">
        <v>546</v>
      </c>
    </row>
    <row r="1961" customFormat="false" ht="51" hidden="false" customHeight="false" outlineLevel="0" collapsed="false">
      <c r="A1961" s="37" t="s">
        <v>3829</v>
      </c>
      <c r="B1961" s="34" t="s">
        <v>3830</v>
      </c>
      <c r="C1961" s="34" t="s">
        <v>546</v>
      </c>
    </row>
    <row r="1962" customFormat="false" ht="51" hidden="false" customHeight="false" outlineLevel="0" collapsed="false">
      <c r="A1962" s="37" t="s">
        <v>3831</v>
      </c>
      <c r="B1962" s="34" t="s">
        <v>3832</v>
      </c>
      <c r="C1962" s="34" t="s">
        <v>546</v>
      </c>
    </row>
    <row r="1963" customFormat="false" ht="51" hidden="false" customHeight="false" outlineLevel="0" collapsed="false">
      <c r="A1963" s="37" t="s">
        <v>3833</v>
      </c>
      <c r="B1963" s="34" t="s">
        <v>3834</v>
      </c>
      <c r="C1963" s="34" t="s">
        <v>546</v>
      </c>
    </row>
    <row r="1964" customFormat="false" ht="51" hidden="false" customHeight="false" outlineLevel="0" collapsed="false">
      <c r="A1964" s="37" t="s">
        <v>3835</v>
      </c>
      <c r="B1964" s="34" t="s">
        <v>3836</v>
      </c>
      <c r="C1964" s="34" t="s">
        <v>546</v>
      </c>
    </row>
    <row r="1965" customFormat="false" ht="38.25" hidden="false" customHeight="false" outlineLevel="0" collapsed="false">
      <c r="A1965" s="37" t="s">
        <v>3837</v>
      </c>
      <c r="B1965" s="34" t="s">
        <v>3838</v>
      </c>
      <c r="C1965" s="34" t="s">
        <v>613</v>
      </c>
    </row>
    <row r="1966" customFormat="false" ht="51" hidden="false" customHeight="false" outlineLevel="0" collapsed="false">
      <c r="A1966" s="37" t="s">
        <v>3839</v>
      </c>
      <c r="B1966" s="34" t="s">
        <v>3840</v>
      </c>
      <c r="C1966" s="34" t="s">
        <v>546</v>
      </c>
    </row>
    <row r="1967" customFormat="false" ht="51" hidden="false" customHeight="false" outlineLevel="0" collapsed="false">
      <c r="A1967" s="37" t="s">
        <v>3841</v>
      </c>
      <c r="B1967" s="34" t="s">
        <v>3842</v>
      </c>
      <c r="C1967" s="34" t="s">
        <v>546</v>
      </c>
    </row>
    <row r="1968" customFormat="false" ht="51" hidden="false" customHeight="false" outlineLevel="0" collapsed="false">
      <c r="A1968" s="37" t="s">
        <v>3843</v>
      </c>
      <c r="B1968" s="34" t="s">
        <v>3844</v>
      </c>
      <c r="C1968" s="34" t="s">
        <v>546</v>
      </c>
    </row>
    <row r="1969" customFormat="false" ht="38.25" hidden="false" customHeight="false" outlineLevel="0" collapsed="false">
      <c r="A1969" s="37" t="s">
        <v>3845</v>
      </c>
      <c r="B1969" s="34" t="s">
        <v>3846</v>
      </c>
      <c r="C1969" s="34" t="s">
        <v>634</v>
      </c>
    </row>
    <row r="1970" customFormat="false" ht="38.25" hidden="false" customHeight="false" outlineLevel="0" collapsed="false">
      <c r="A1970" s="37" t="s">
        <v>3847</v>
      </c>
      <c r="B1970" s="34" t="s">
        <v>3848</v>
      </c>
      <c r="C1970" s="34" t="s">
        <v>637</v>
      </c>
    </row>
    <row r="1971" customFormat="false" ht="51" hidden="false" customHeight="false" outlineLevel="0" collapsed="false">
      <c r="A1971" s="37" t="s">
        <v>3849</v>
      </c>
      <c r="B1971" s="34" t="s">
        <v>3850</v>
      </c>
      <c r="C1971" s="34" t="s">
        <v>546</v>
      </c>
    </row>
    <row r="1972" customFormat="false" ht="51" hidden="false" customHeight="false" outlineLevel="0" collapsed="false">
      <c r="A1972" s="37" t="s">
        <v>3851</v>
      </c>
      <c r="B1972" s="34" t="s">
        <v>3852</v>
      </c>
      <c r="C1972" s="34" t="s">
        <v>546</v>
      </c>
    </row>
    <row r="1973" customFormat="false" ht="51" hidden="false" customHeight="false" outlineLevel="0" collapsed="false">
      <c r="A1973" s="37" t="s">
        <v>3853</v>
      </c>
      <c r="B1973" s="34" t="s">
        <v>3854</v>
      </c>
      <c r="C1973" s="34" t="s">
        <v>546</v>
      </c>
    </row>
    <row r="1974" customFormat="false" ht="63.75" hidden="false" customHeight="false" outlineLevel="0" collapsed="false">
      <c r="A1974" s="37" t="s">
        <v>3855</v>
      </c>
      <c r="B1974" s="34" t="s">
        <v>3856</v>
      </c>
      <c r="C1974" s="34" t="s">
        <v>139</v>
      </c>
    </row>
    <row r="1975" customFormat="false" ht="63.75" hidden="false" customHeight="false" outlineLevel="0" collapsed="false">
      <c r="A1975" s="37" t="s">
        <v>3857</v>
      </c>
      <c r="B1975" s="34" t="s">
        <v>3858</v>
      </c>
      <c r="C1975" s="34" t="s">
        <v>139</v>
      </c>
    </row>
    <row r="1976" customFormat="false" ht="63.75" hidden="false" customHeight="false" outlineLevel="0" collapsed="false">
      <c r="A1976" s="37" t="s">
        <v>3859</v>
      </c>
      <c r="B1976" s="34" t="s">
        <v>3860</v>
      </c>
      <c r="C1976" s="34" t="s">
        <v>139</v>
      </c>
    </row>
    <row r="1977" customFormat="false" ht="63.75" hidden="false" customHeight="false" outlineLevel="0" collapsed="false">
      <c r="A1977" s="37" t="s">
        <v>3861</v>
      </c>
      <c r="B1977" s="34" t="s">
        <v>3862</v>
      </c>
      <c r="C1977" s="34" t="s">
        <v>139</v>
      </c>
    </row>
    <row r="1978" customFormat="false" ht="63.75" hidden="false" customHeight="false" outlineLevel="0" collapsed="false">
      <c r="A1978" s="37" t="s">
        <v>3863</v>
      </c>
      <c r="B1978" s="34" t="s">
        <v>3864</v>
      </c>
      <c r="C1978" s="34" t="s">
        <v>139</v>
      </c>
    </row>
    <row r="1979" customFormat="false" ht="63.75" hidden="false" customHeight="false" outlineLevel="0" collapsed="false">
      <c r="A1979" s="37" t="s">
        <v>3865</v>
      </c>
      <c r="B1979" s="34" t="s">
        <v>3866</v>
      </c>
      <c r="C1979" s="34" t="s">
        <v>139</v>
      </c>
    </row>
    <row r="1980" customFormat="false" ht="63.75" hidden="false" customHeight="false" outlineLevel="0" collapsed="false">
      <c r="A1980" s="37" t="s">
        <v>3867</v>
      </c>
      <c r="B1980" s="34" t="s">
        <v>3868</v>
      </c>
      <c r="C1980" s="34" t="s">
        <v>139</v>
      </c>
    </row>
    <row r="1981" customFormat="false" ht="63.75" hidden="false" customHeight="false" outlineLevel="0" collapsed="false">
      <c r="A1981" s="37" t="s">
        <v>3869</v>
      </c>
      <c r="B1981" s="34" t="s">
        <v>3870</v>
      </c>
      <c r="C1981" s="34" t="s">
        <v>139</v>
      </c>
    </row>
    <row r="1982" customFormat="false" ht="63.75" hidden="false" customHeight="false" outlineLevel="0" collapsed="false">
      <c r="A1982" s="37" t="s">
        <v>3871</v>
      </c>
      <c r="B1982" s="34" t="s">
        <v>2214</v>
      </c>
      <c r="C1982" s="34" t="s">
        <v>139</v>
      </c>
    </row>
    <row r="1983" customFormat="false" ht="89.25" hidden="false" customHeight="false" outlineLevel="0" collapsed="false">
      <c r="A1983" s="37" t="n">
        <v>5691300</v>
      </c>
      <c r="B1983" s="34" t="s">
        <v>3872</v>
      </c>
      <c r="C1983" s="34" t="s">
        <v>3873</v>
      </c>
    </row>
    <row r="1984" customFormat="false" ht="89.25" hidden="false" customHeight="false" outlineLevel="0" collapsed="false">
      <c r="A1984" s="37" t="n">
        <v>5691500</v>
      </c>
      <c r="B1984" s="34" t="s">
        <v>3874</v>
      </c>
      <c r="C1984" s="34" t="s">
        <v>3873</v>
      </c>
    </row>
    <row r="1985" customFormat="false" ht="89.25" hidden="false" customHeight="false" outlineLevel="0" collapsed="false">
      <c r="A1985" s="37" t="s">
        <v>3875</v>
      </c>
      <c r="B1985" s="34" t="s">
        <v>3876</v>
      </c>
      <c r="C1985" s="34" t="s">
        <v>1450</v>
      </c>
    </row>
    <row r="1986" customFormat="false" ht="76.5" hidden="false" customHeight="false" outlineLevel="0" collapsed="false">
      <c r="A1986" s="37" t="s">
        <v>3877</v>
      </c>
      <c r="B1986" s="34" t="s">
        <v>3878</v>
      </c>
      <c r="C1986" s="34" t="s">
        <v>2222</v>
      </c>
    </row>
    <row r="1987" customFormat="false" ht="102" hidden="false" customHeight="false" outlineLevel="0" collapsed="false">
      <c r="A1987" s="37" t="s">
        <v>3879</v>
      </c>
      <c r="B1987" s="34" t="s">
        <v>3880</v>
      </c>
      <c r="C1987" s="34" t="s">
        <v>97</v>
      </c>
    </row>
    <row r="1988" customFormat="false" ht="102" hidden="false" customHeight="false" outlineLevel="0" collapsed="false">
      <c r="A1988" s="37" t="s">
        <v>3881</v>
      </c>
      <c r="B1988" s="34" t="s">
        <v>3882</v>
      </c>
      <c r="C1988" s="34" t="s">
        <v>97</v>
      </c>
    </row>
    <row r="1989" customFormat="false" ht="102" hidden="false" customHeight="false" outlineLevel="0" collapsed="false">
      <c r="A1989" s="37" t="s">
        <v>3883</v>
      </c>
      <c r="B1989" s="34" t="s">
        <v>3884</v>
      </c>
      <c r="C1989" s="34" t="s">
        <v>887</v>
      </c>
    </row>
    <row r="1990" customFormat="false" ht="114.75" hidden="false" customHeight="false" outlineLevel="0" collapsed="false">
      <c r="A1990" s="37" t="s">
        <v>3885</v>
      </c>
      <c r="B1990" s="34" t="s">
        <v>3886</v>
      </c>
      <c r="C1990" s="34" t="s">
        <v>849</v>
      </c>
    </row>
    <row r="1991" customFormat="false" ht="89.25" hidden="false" customHeight="false" outlineLevel="0" collapsed="false">
      <c r="A1991" s="37" t="s">
        <v>3887</v>
      </c>
      <c r="B1991" s="34" t="s">
        <v>3888</v>
      </c>
      <c r="C1991" s="34" t="s">
        <v>891</v>
      </c>
    </row>
    <row r="1992" customFormat="false" ht="114.75" hidden="false" customHeight="false" outlineLevel="0" collapsed="false">
      <c r="A1992" s="37" t="s">
        <v>3889</v>
      </c>
      <c r="B1992" s="34" t="s">
        <v>3890</v>
      </c>
      <c r="C1992" s="34" t="s">
        <v>849</v>
      </c>
    </row>
    <row r="1993" customFormat="false" ht="114.75" hidden="false" customHeight="false" outlineLevel="0" collapsed="false">
      <c r="A1993" s="37" t="s">
        <v>3889</v>
      </c>
      <c r="B1993" s="34" t="s">
        <v>3890</v>
      </c>
      <c r="C1993" s="34" t="s">
        <v>2241</v>
      </c>
    </row>
    <row r="1994" customFormat="false" ht="76.5" hidden="false" customHeight="false" outlineLevel="0" collapsed="false">
      <c r="A1994" s="37" t="s">
        <v>3891</v>
      </c>
      <c r="B1994" s="34" t="s">
        <v>3892</v>
      </c>
      <c r="C1994" s="34" t="s">
        <v>108</v>
      </c>
    </row>
    <row r="1995" customFormat="false" ht="89.25" hidden="false" customHeight="false" outlineLevel="0" collapsed="false">
      <c r="A1995" s="37" t="s">
        <v>3893</v>
      </c>
      <c r="B1995" s="34" t="s">
        <v>3894</v>
      </c>
      <c r="C1995" s="34" t="s">
        <v>871</v>
      </c>
    </row>
    <row r="1996" customFormat="false" ht="89.25" hidden="false" customHeight="false" outlineLevel="0" collapsed="false">
      <c r="A1996" s="37" t="s">
        <v>3895</v>
      </c>
      <c r="B1996" s="34" t="s">
        <v>3896</v>
      </c>
      <c r="C1996" s="34" t="s">
        <v>858</v>
      </c>
    </row>
    <row r="1997" customFormat="false" ht="89.25" hidden="false" customHeight="false" outlineLevel="0" collapsed="false">
      <c r="A1997" s="37" t="s">
        <v>3897</v>
      </c>
      <c r="B1997" s="34" t="s">
        <v>3898</v>
      </c>
      <c r="C1997" s="34" t="s">
        <v>902</v>
      </c>
    </row>
    <row r="1998" customFormat="false" ht="89.25" hidden="false" customHeight="false" outlineLevel="0" collapsed="false">
      <c r="A1998" s="37" t="s">
        <v>3899</v>
      </c>
      <c r="B1998" s="34" t="s">
        <v>3900</v>
      </c>
      <c r="C1998" s="34" t="s">
        <v>902</v>
      </c>
    </row>
    <row r="1999" customFormat="false" ht="89.25" hidden="false" customHeight="false" outlineLevel="0" collapsed="false">
      <c r="A1999" s="37" t="s">
        <v>3901</v>
      </c>
      <c r="B1999" s="34" t="s">
        <v>3902</v>
      </c>
      <c r="C1999" s="34" t="s">
        <v>122</v>
      </c>
    </row>
    <row r="2000" customFormat="false" ht="89.25" hidden="false" customHeight="false" outlineLevel="0" collapsed="false">
      <c r="A2000" s="37" t="s">
        <v>3903</v>
      </c>
      <c r="B2000" s="34" t="s">
        <v>3904</v>
      </c>
      <c r="C2000" s="34" t="s">
        <v>874</v>
      </c>
    </row>
    <row r="2001" customFormat="false" ht="89.25" hidden="false" customHeight="false" outlineLevel="0" collapsed="false">
      <c r="A2001" s="37" t="s">
        <v>3905</v>
      </c>
      <c r="B2001" s="34" t="s">
        <v>3906</v>
      </c>
      <c r="C2001" s="34" t="s">
        <v>874</v>
      </c>
    </row>
    <row r="2002" customFormat="false" ht="89.25" hidden="false" customHeight="false" outlineLevel="0" collapsed="false">
      <c r="A2002" s="37" t="s">
        <v>3907</v>
      </c>
      <c r="B2002" s="34" t="s">
        <v>3908</v>
      </c>
      <c r="C2002" s="34" t="s">
        <v>874</v>
      </c>
    </row>
    <row r="2003" customFormat="false" ht="89.25" hidden="false" customHeight="false" outlineLevel="0" collapsed="false">
      <c r="A2003" s="37" t="s">
        <v>3909</v>
      </c>
      <c r="B2003" s="34" t="s">
        <v>3910</v>
      </c>
      <c r="C2003" s="34" t="s">
        <v>874</v>
      </c>
    </row>
    <row r="2004" customFormat="false" ht="102" hidden="false" customHeight="false" outlineLevel="0" collapsed="false">
      <c r="A2004" s="37" t="s">
        <v>3911</v>
      </c>
      <c r="B2004" s="34" t="s">
        <v>3912</v>
      </c>
      <c r="C2004" s="34" t="s">
        <v>883</v>
      </c>
    </row>
    <row r="2005" customFormat="false" ht="63.75" hidden="false" customHeight="false" outlineLevel="0" collapsed="false">
      <c r="A2005" s="37" t="s">
        <v>3913</v>
      </c>
      <c r="B2005" s="34" t="s">
        <v>3914</v>
      </c>
      <c r="C2005" s="34" t="s">
        <v>1033</v>
      </c>
    </row>
    <row r="2006" customFormat="false" ht="38.25" hidden="false" customHeight="false" outlineLevel="0" collapsed="false">
      <c r="A2006" s="37" t="s">
        <v>3915</v>
      </c>
      <c r="B2006" s="34" t="s">
        <v>3916</v>
      </c>
      <c r="C2006" s="34" t="s">
        <v>687</v>
      </c>
    </row>
    <row r="2007" customFormat="false" ht="51" hidden="false" customHeight="false" outlineLevel="0" collapsed="false">
      <c r="A2007" s="37" t="s">
        <v>3917</v>
      </c>
      <c r="B2007" s="34" t="s">
        <v>3918</v>
      </c>
      <c r="C2007" s="34" t="s">
        <v>1038</v>
      </c>
    </row>
    <row r="2008" customFormat="false" ht="38.25" hidden="false" customHeight="false" outlineLevel="0" collapsed="false">
      <c r="A2008" s="37" t="s">
        <v>3919</v>
      </c>
      <c r="B2008" s="34" t="s">
        <v>3920</v>
      </c>
      <c r="C2008" s="34" t="s">
        <v>1041</v>
      </c>
    </row>
    <row r="2009" customFormat="false" ht="51" hidden="false" customHeight="false" outlineLevel="0" collapsed="false">
      <c r="A2009" s="37" t="s">
        <v>3921</v>
      </c>
      <c r="B2009" s="34" t="s">
        <v>3922</v>
      </c>
      <c r="C2009" s="34" t="s">
        <v>696</v>
      </c>
    </row>
    <row r="2010" customFormat="false" ht="51" hidden="false" customHeight="false" outlineLevel="0" collapsed="false">
      <c r="A2010" s="37" t="s">
        <v>3923</v>
      </c>
      <c r="B2010" s="34" t="s">
        <v>3924</v>
      </c>
      <c r="C2010" s="34" t="s">
        <v>1050</v>
      </c>
    </row>
    <row r="2011" customFormat="false" ht="89.25" hidden="false" customHeight="false" outlineLevel="0" collapsed="false">
      <c r="A2011" s="37" t="s">
        <v>3925</v>
      </c>
      <c r="B2011" s="34" t="s">
        <v>3926</v>
      </c>
      <c r="C2011" s="34" t="s">
        <v>702</v>
      </c>
    </row>
    <row r="2012" customFormat="false" ht="89.25" hidden="false" customHeight="false" outlineLevel="0" collapsed="false">
      <c r="A2012" s="37" t="s">
        <v>3927</v>
      </c>
      <c r="B2012" s="34" t="s">
        <v>3928</v>
      </c>
      <c r="C2012" s="34" t="s">
        <v>702</v>
      </c>
    </row>
    <row r="2013" customFormat="false" ht="38.25" hidden="false" customHeight="false" outlineLevel="0" collapsed="false">
      <c r="A2013" s="37" t="s">
        <v>3929</v>
      </c>
      <c r="B2013" s="34" t="s">
        <v>3930</v>
      </c>
      <c r="C2013" s="34" t="s">
        <v>707</v>
      </c>
    </row>
    <row r="2014" customFormat="false" ht="89.25" hidden="false" customHeight="false" outlineLevel="0" collapsed="false">
      <c r="A2014" s="37" t="s">
        <v>3931</v>
      </c>
      <c r="B2014" s="34" t="s">
        <v>3932</v>
      </c>
      <c r="C2014" s="34" t="s">
        <v>1447</v>
      </c>
    </row>
    <row r="2015" customFormat="false" ht="89.25" hidden="false" customHeight="false" outlineLevel="0" collapsed="false">
      <c r="A2015" s="37" t="s">
        <v>3933</v>
      </c>
      <c r="B2015" s="34" t="s">
        <v>3934</v>
      </c>
      <c r="C2015" s="34" t="s">
        <v>1450</v>
      </c>
    </row>
    <row r="2016" customFormat="false" ht="102" hidden="false" customHeight="false" outlineLevel="0" collapsed="false">
      <c r="A2016" s="37" t="s">
        <v>3935</v>
      </c>
      <c r="B2016" s="34" t="s">
        <v>3936</v>
      </c>
      <c r="C2016" s="34" t="s">
        <v>1453</v>
      </c>
    </row>
    <row r="2017" customFormat="false" ht="76.5" hidden="false" customHeight="false" outlineLevel="0" collapsed="false">
      <c r="A2017" s="37" t="s">
        <v>3937</v>
      </c>
      <c r="B2017" s="34" t="s">
        <v>3938</v>
      </c>
      <c r="C2017" s="34" t="s">
        <v>719</v>
      </c>
    </row>
    <row r="2018" customFormat="false" ht="63.75" hidden="false" customHeight="false" outlineLevel="0" collapsed="false">
      <c r="A2018" s="37" t="s">
        <v>3939</v>
      </c>
      <c r="B2018" s="34" t="s">
        <v>3940</v>
      </c>
      <c r="C2018" s="34" t="s">
        <v>2294</v>
      </c>
    </row>
    <row r="2019" customFormat="false" ht="76.5" hidden="false" customHeight="false" outlineLevel="0" collapsed="false">
      <c r="A2019" s="37" t="s">
        <v>3941</v>
      </c>
      <c r="B2019" s="34" t="s">
        <v>3942</v>
      </c>
      <c r="C2019" s="34" t="s">
        <v>2297</v>
      </c>
    </row>
    <row r="2020" customFormat="false" ht="76.5" hidden="false" customHeight="false" outlineLevel="0" collapsed="false">
      <c r="A2020" s="37" t="s">
        <v>3943</v>
      </c>
      <c r="B2020" s="34" t="s">
        <v>3944</v>
      </c>
      <c r="C2020" s="34" t="s">
        <v>2297</v>
      </c>
    </row>
    <row r="2021" customFormat="false" ht="76.5" hidden="false" customHeight="false" outlineLevel="0" collapsed="false">
      <c r="A2021" s="37" t="s">
        <v>3945</v>
      </c>
      <c r="B2021" s="34" t="s">
        <v>3946</v>
      </c>
      <c r="C2021" s="34" t="s">
        <v>2297</v>
      </c>
    </row>
    <row r="2022" customFormat="false" ht="76.5" hidden="false" customHeight="false" outlineLevel="0" collapsed="false">
      <c r="A2022" s="37" t="s">
        <v>3947</v>
      </c>
      <c r="B2022" s="34" t="s">
        <v>3948</v>
      </c>
      <c r="C2022" s="34" t="s">
        <v>2297</v>
      </c>
    </row>
    <row r="2023" customFormat="false" ht="63.75" hidden="false" customHeight="false" outlineLevel="0" collapsed="false">
      <c r="A2023" s="37" t="s">
        <v>3949</v>
      </c>
      <c r="B2023" s="34" t="s">
        <v>3950</v>
      </c>
      <c r="C2023" s="34" t="s">
        <v>139</v>
      </c>
    </row>
    <row r="2024" customFormat="false" ht="63.75" hidden="false" customHeight="false" outlineLevel="0" collapsed="false">
      <c r="A2024" s="37" t="s">
        <v>3951</v>
      </c>
      <c r="B2024" s="34" t="s">
        <v>3952</v>
      </c>
      <c r="C2024" s="34" t="s">
        <v>139</v>
      </c>
    </row>
    <row r="2025" customFormat="false" ht="63.75" hidden="false" customHeight="false" outlineLevel="0" collapsed="false">
      <c r="A2025" s="37" t="s">
        <v>3953</v>
      </c>
      <c r="B2025" s="34" t="s">
        <v>3954</v>
      </c>
      <c r="C2025" s="34" t="s">
        <v>139</v>
      </c>
    </row>
    <row r="2026" customFormat="false" ht="63.75" hidden="false" customHeight="false" outlineLevel="0" collapsed="false">
      <c r="A2026" s="37" t="s">
        <v>3955</v>
      </c>
      <c r="B2026" s="34" t="s">
        <v>3956</v>
      </c>
      <c r="C2026" s="34" t="s">
        <v>139</v>
      </c>
    </row>
    <row r="2027" customFormat="false" ht="63.75" hidden="false" customHeight="false" outlineLevel="0" collapsed="false">
      <c r="A2027" s="37" t="s">
        <v>3955</v>
      </c>
      <c r="B2027" s="34" t="s">
        <v>3956</v>
      </c>
      <c r="C2027" s="34" t="s">
        <v>142</v>
      </c>
    </row>
    <row r="2028" customFormat="false" ht="63.75" hidden="false" customHeight="false" outlineLevel="0" collapsed="false">
      <c r="A2028" s="37" t="s">
        <v>3957</v>
      </c>
      <c r="B2028" s="34" t="s">
        <v>3958</v>
      </c>
      <c r="C2028" s="34" t="s">
        <v>139</v>
      </c>
    </row>
    <row r="2029" customFormat="false" ht="63.75" hidden="false" customHeight="false" outlineLevel="0" collapsed="false">
      <c r="A2029" s="37" t="s">
        <v>3959</v>
      </c>
      <c r="B2029" s="34" t="s">
        <v>3960</v>
      </c>
      <c r="C2029" s="34" t="s">
        <v>139</v>
      </c>
    </row>
    <row r="2030" customFormat="false" ht="63.75" hidden="false" customHeight="false" outlineLevel="0" collapsed="false">
      <c r="A2030" s="37" t="s">
        <v>3961</v>
      </c>
      <c r="B2030" s="34" t="s">
        <v>3962</v>
      </c>
      <c r="C2030" s="34" t="s">
        <v>139</v>
      </c>
    </row>
    <row r="2031" customFormat="false" ht="63.75" hidden="false" customHeight="false" outlineLevel="0" collapsed="false">
      <c r="A2031" s="37" t="s">
        <v>3963</v>
      </c>
      <c r="B2031" s="34" t="s">
        <v>3964</v>
      </c>
      <c r="C2031" s="34" t="s">
        <v>139</v>
      </c>
    </row>
    <row r="2032" customFormat="false" ht="63.75" hidden="false" customHeight="false" outlineLevel="0" collapsed="false">
      <c r="A2032" s="37" t="s">
        <v>3965</v>
      </c>
      <c r="B2032" s="34" t="s">
        <v>3862</v>
      </c>
      <c r="C2032" s="34" t="s">
        <v>139</v>
      </c>
    </row>
    <row r="2033" customFormat="false" ht="63.75" hidden="false" customHeight="false" outlineLevel="0" collapsed="false">
      <c r="A2033" s="37" t="s">
        <v>3966</v>
      </c>
      <c r="B2033" s="34" t="s">
        <v>3967</v>
      </c>
      <c r="C2033" s="34" t="s">
        <v>139</v>
      </c>
    </row>
    <row r="2034" customFormat="false" ht="63.75" hidden="false" customHeight="false" outlineLevel="0" collapsed="false">
      <c r="A2034" s="37" t="s">
        <v>3968</v>
      </c>
      <c r="B2034" s="34" t="s">
        <v>3969</v>
      </c>
      <c r="C2034" s="34" t="s">
        <v>139</v>
      </c>
    </row>
    <row r="2035" customFormat="false" ht="63.75" hidden="false" customHeight="false" outlineLevel="0" collapsed="false">
      <c r="A2035" s="37" t="s">
        <v>3970</v>
      </c>
      <c r="B2035" s="34" t="s">
        <v>3971</v>
      </c>
      <c r="C2035" s="34" t="s">
        <v>139</v>
      </c>
    </row>
    <row r="2036" customFormat="false" ht="63.75" hidden="false" customHeight="false" outlineLevel="0" collapsed="false">
      <c r="A2036" s="37" t="s">
        <v>3972</v>
      </c>
      <c r="B2036" s="34" t="s">
        <v>3973</v>
      </c>
      <c r="C2036" s="34" t="s">
        <v>139</v>
      </c>
    </row>
    <row r="2037" customFormat="false" ht="38.25" hidden="false" customHeight="false" outlineLevel="0" collapsed="false">
      <c r="A2037" s="37" t="s">
        <v>3974</v>
      </c>
      <c r="B2037" s="34" t="s">
        <v>3975</v>
      </c>
      <c r="C2037" s="34" t="s">
        <v>73</v>
      </c>
    </row>
    <row r="2038" customFormat="false" ht="38.25" hidden="false" customHeight="false" outlineLevel="0" collapsed="false">
      <c r="A2038" s="37" t="s">
        <v>3976</v>
      </c>
      <c r="B2038" s="34" t="s">
        <v>3977</v>
      </c>
      <c r="C2038" s="34" t="s">
        <v>2412</v>
      </c>
    </row>
    <row r="2039" customFormat="false" ht="102" hidden="false" customHeight="false" outlineLevel="0" collapsed="false">
      <c r="A2039" s="37" t="n">
        <v>5700100</v>
      </c>
      <c r="B2039" s="34" t="s">
        <v>3978</v>
      </c>
      <c r="C2039" s="34" t="s">
        <v>97</v>
      </c>
    </row>
    <row r="2040" customFormat="false" ht="76.5" hidden="false" customHeight="false" outlineLevel="0" collapsed="false">
      <c r="A2040" s="37" t="n">
        <v>5700200</v>
      </c>
      <c r="B2040" s="34" t="s">
        <v>3979</v>
      </c>
      <c r="C2040" s="34" t="s">
        <v>108</v>
      </c>
    </row>
    <row r="2041" customFormat="false" ht="102" hidden="false" customHeight="false" outlineLevel="0" collapsed="false">
      <c r="A2041" s="37" t="n">
        <v>5700300</v>
      </c>
      <c r="B2041" s="34" t="s">
        <v>3980</v>
      </c>
      <c r="C2041" s="34" t="s">
        <v>1530</v>
      </c>
    </row>
    <row r="2042" customFormat="false" ht="89.25" hidden="false" customHeight="false" outlineLevel="0" collapsed="false">
      <c r="A2042" s="37" t="n">
        <v>5700500</v>
      </c>
      <c r="B2042" s="34" t="s">
        <v>3981</v>
      </c>
      <c r="C2042" s="34" t="s">
        <v>3982</v>
      </c>
    </row>
    <row r="2043" customFormat="false" ht="51" hidden="false" customHeight="false" outlineLevel="0" collapsed="false">
      <c r="A2043" s="37" t="s">
        <v>3983</v>
      </c>
      <c r="B2043" s="34" t="s">
        <v>3984</v>
      </c>
      <c r="C2043" s="34" t="s">
        <v>1520</v>
      </c>
    </row>
    <row r="2044" customFormat="false" ht="63.75" hidden="false" customHeight="false" outlineLevel="0" collapsed="false">
      <c r="A2044" s="37" t="s">
        <v>3985</v>
      </c>
      <c r="B2044" s="34" t="s">
        <v>3986</v>
      </c>
      <c r="C2044" s="34" t="s">
        <v>2425</v>
      </c>
    </row>
    <row r="2045" customFormat="false" ht="102" hidden="false" customHeight="false" outlineLevel="0" collapsed="false">
      <c r="A2045" s="37" t="s">
        <v>3987</v>
      </c>
      <c r="B2045" s="34" t="s">
        <v>3988</v>
      </c>
      <c r="C2045" s="34" t="s">
        <v>3989</v>
      </c>
    </row>
    <row r="2046" customFormat="false" ht="102" hidden="false" customHeight="false" outlineLevel="0" collapsed="false">
      <c r="A2046" s="37" t="s">
        <v>3990</v>
      </c>
      <c r="B2046" s="34" t="s">
        <v>3991</v>
      </c>
      <c r="C2046" s="34" t="s">
        <v>3989</v>
      </c>
    </row>
    <row r="2047" customFormat="false" ht="76.5" hidden="false" customHeight="false" outlineLevel="0" collapsed="false">
      <c r="A2047" s="37" t="s">
        <v>3992</v>
      </c>
      <c r="B2047" s="34" t="s">
        <v>3993</v>
      </c>
      <c r="C2047" s="34" t="s">
        <v>3994</v>
      </c>
    </row>
    <row r="2048" customFormat="false" ht="51" hidden="false" customHeight="false" outlineLevel="0" collapsed="false">
      <c r="A2048" s="37" t="s">
        <v>3995</v>
      </c>
      <c r="B2048" s="34" t="s">
        <v>3996</v>
      </c>
      <c r="C2048" s="34" t="s">
        <v>1520</v>
      </c>
    </row>
    <row r="2049" customFormat="false" ht="51" hidden="false" customHeight="false" outlineLevel="0" collapsed="false">
      <c r="A2049" s="37" t="s">
        <v>3997</v>
      </c>
      <c r="B2049" s="34" t="s">
        <v>3998</v>
      </c>
      <c r="C2049" s="34" t="s">
        <v>1520</v>
      </c>
    </row>
    <row r="2050" customFormat="false" ht="51" hidden="false" customHeight="false" outlineLevel="0" collapsed="false">
      <c r="A2050" s="37" t="s">
        <v>3999</v>
      </c>
      <c r="B2050" s="34" t="s">
        <v>4000</v>
      </c>
      <c r="C2050" s="34" t="s">
        <v>1520</v>
      </c>
    </row>
    <row r="2051" customFormat="false" ht="51" hidden="false" customHeight="false" outlineLevel="0" collapsed="false">
      <c r="A2051" s="37" t="s">
        <v>4001</v>
      </c>
      <c r="B2051" s="34" t="s">
        <v>4002</v>
      </c>
      <c r="C2051" s="34" t="s">
        <v>1520</v>
      </c>
    </row>
    <row r="2052" customFormat="false" ht="63.75" hidden="false" customHeight="false" outlineLevel="0" collapsed="false">
      <c r="A2052" s="37" t="s">
        <v>4003</v>
      </c>
      <c r="B2052" s="34" t="s">
        <v>4004</v>
      </c>
      <c r="C2052" s="34" t="s">
        <v>4005</v>
      </c>
    </row>
    <row r="2053" customFormat="false" ht="102" hidden="false" customHeight="false" outlineLevel="0" collapsed="false">
      <c r="A2053" s="37" t="n">
        <v>5701100</v>
      </c>
      <c r="B2053" s="34" t="s">
        <v>4006</v>
      </c>
      <c r="C2053" s="34" t="s">
        <v>97</v>
      </c>
    </row>
    <row r="2054" customFormat="false" ht="102" hidden="false" customHeight="false" outlineLevel="0" collapsed="false">
      <c r="A2054" s="37" t="n">
        <v>5701200</v>
      </c>
      <c r="B2054" s="34" t="s">
        <v>4007</v>
      </c>
      <c r="C2054" s="34" t="s">
        <v>97</v>
      </c>
    </row>
    <row r="2055" customFormat="false" ht="102" hidden="false" customHeight="false" outlineLevel="0" collapsed="false">
      <c r="A2055" s="37" t="n">
        <v>5701300</v>
      </c>
      <c r="B2055" s="34" t="s">
        <v>4008</v>
      </c>
      <c r="C2055" s="34" t="s">
        <v>786</v>
      </c>
    </row>
    <row r="2056" customFormat="false" ht="114.75" hidden="false" customHeight="false" outlineLevel="0" collapsed="false">
      <c r="A2056" s="37" t="n">
        <v>5701400</v>
      </c>
      <c r="B2056" s="34" t="s">
        <v>4009</v>
      </c>
      <c r="C2056" s="34" t="s">
        <v>1593</v>
      </c>
    </row>
    <row r="2057" customFormat="false" ht="89.25" hidden="false" customHeight="false" outlineLevel="0" collapsed="false">
      <c r="A2057" s="37" t="n">
        <v>5701500</v>
      </c>
      <c r="B2057" s="34" t="s">
        <v>4010</v>
      </c>
      <c r="C2057" s="34" t="s">
        <v>891</v>
      </c>
    </row>
    <row r="2058" customFormat="false" ht="114.75" hidden="false" customHeight="false" outlineLevel="0" collapsed="false">
      <c r="A2058" s="37" t="n">
        <v>5701600</v>
      </c>
      <c r="B2058" s="34" t="s">
        <v>4011</v>
      </c>
      <c r="C2058" s="34" t="s">
        <v>1596</v>
      </c>
    </row>
    <row r="2059" customFormat="false" ht="76.5" hidden="false" customHeight="false" outlineLevel="0" collapsed="false">
      <c r="A2059" s="37" t="s">
        <v>4012</v>
      </c>
      <c r="B2059" s="34" t="s">
        <v>4013</v>
      </c>
      <c r="C2059" s="34" t="s">
        <v>108</v>
      </c>
    </row>
    <row r="2060" customFormat="false" ht="89.25" hidden="false" customHeight="false" outlineLevel="0" collapsed="false">
      <c r="A2060" s="37" t="s">
        <v>4014</v>
      </c>
      <c r="B2060" s="34" t="s">
        <v>4015</v>
      </c>
      <c r="C2060" s="34" t="s">
        <v>871</v>
      </c>
    </row>
    <row r="2061" customFormat="false" ht="89.25" hidden="false" customHeight="false" outlineLevel="0" collapsed="false">
      <c r="A2061" s="37" t="s">
        <v>4016</v>
      </c>
      <c r="B2061" s="34" t="s">
        <v>4017</v>
      </c>
      <c r="C2061" s="34" t="s">
        <v>858</v>
      </c>
    </row>
    <row r="2062" customFormat="false" ht="89.25" hidden="false" customHeight="false" outlineLevel="0" collapsed="false">
      <c r="A2062" s="37" t="s">
        <v>4018</v>
      </c>
      <c r="B2062" s="34" t="s">
        <v>4019</v>
      </c>
      <c r="C2062" s="34" t="s">
        <v>902</v>
      </c>
    </row>
    <row r="2063" customFormat="false" ht="89.25" hidden="false" customHeight="false" outlineLevel="0" collapsed="false">
      <c r="A2063" s="37" t="s">
        <v>4020</v>
      </c>
      <c r="B2063" s="34" t="s">
        <v>4021</v>
      </c>
      <c r="C2063" s="34" t="s">
        <v>902</v>
      </c>
    </row>
    <row r="2064" customFormat="false" ht="89.25" hidden="false" customHeight="false" outlineLevel="0" collapsed="false">
      <c r="A2064" s="37" t="s">
        <v>4022</v>
      </c>
      <c r="B2064" s="34" t="s">
        <v>4023</v>
      </c>
      <c r="C2064" s="34" t="s">
        <v>122</v>
      </c>
    </row>
    <row r="2065" customFormat="false" ht="89.25" hidden="false" customHeight="false" outlineLevel="0" collapsed="false">
      <c r="A2065" s="37" t="s">
        <v>4024</v>
      </c>
      <c r="B2065" s="34" t="s">
        <v>4025</v>
      </c>
      <c r="C2065" s="34" t="s">
        <v>874</v>
      </c>
    </row>
    <row r="2066" customFormat="false" ht="89.25" hidden="false" customHeight="false" outlineLevel="0" collapsed="false">
      <c r="A2066" s="37" t="s">
        <v>4026</v>
      </c>
      <c r="B2066" s="34" t="s">
        <v>4027</v>
      </c>
      <c r="C2066" s="34" t="s">
        <v>874</v>
      </c>
    </row>
    <row r="2067" customFormat="false" ht="89.25" hidden="false" customHeight="false" outlineLevel="0" collapsed="false">
      <c r="A2067" s="37" t="s">
        <v>4028</v>
      </c>
      <c r="B2067" s="34" t="s">
        <v>4029</v>
      </c>
      <c r="C2067" s="34" t="s">
        <v>874</v>
      </c>
    </row>
    <row r="2068" customFormat="false" ht="89.25" hidden="false" customHeight="false" outlineLevel="0" collapsed="false">
      <c r="A2068" s="37" t="s">
        <v>4030</v>
      </c>
      <c r="B2068" s="34" t="s">
        <v>4031</v>
      </c>
      <c r="C2068" s="34" t="s">
        <v>874</v>
      </c>
    </row>
    <row r="2069" customFormat="false" ht="102" hidden="false" customHeight="false" outlineLevel="0" collapsed="false">
      <c r="A2069" s="37" t="s">
        <v>4032</v>
      </c>
      <c r="B2069" s="34" t="s">
        <v>4033</v>
      </c>
      <c r="C2069" s="34" t="s">
        <v>883</v>
      </c>
    </row>
    <row r="2070" customFormat="false" ht="102" hidden="false" customHeight="false" outlineLevel="0" collapsed="false">
      <c r="A2070" s="37" t="n">
        <v>5702100</v>
      </c>
      <c r="B2070" s="34" t="s">
        <v>4034</v>
      </c>
      <c r="C2070" s="34" t="s">
        <v>97</v>
      </c>
    </row>
    <row r="2071" customFormat="false" ht="102" hidden="false" customHeight="false" outlineLevel="0" collapsed="false">
      <c r="A2071" s="37" t="n">
        <v>5702200</v>
      </c>
      <c r="B2071" s="34" t="s">
        <v>4035</v>
      </c>
      <c r="C2071" s="34" t="s">
        <v>97</v>
      </c>
    </row>
    <row r="2072" customFormat="false" ht="102" hidden="false" customHeight="false" outlineLevel="0" collapsed="false">
      <c r="A2072" s="37" t="n">
        <v>5702300</v>
      </c>
      <c r="B2072" s="34" t="s">
        <v>4036</v>
      </c>
      <c r="C2072" s="34" t="s">
        <v>887</v>
      </c>
    </row>
    <row r="2073" customFormat="false" ht="114.75" hidden="false" customHeight="false" outlineLevel="0" collapsed="false">
      <c r="A2073" s="37" t="n">
        <v>5702400</v>
      </c>
      <c r="B2073" s="34" t="s">
        <v>4037</v>
      </c>
      <c r="C2073" s="34" t="s">
        <v>849</v>
      </c>
    </row>
    <row r="2074" customFormat="false" ht="89.25" hidden="false" customHeight="false" outlineLevel="0" collapsed="false">
      <c r="A2074" s="37" t="n">
        <v>5702500</v>
      </c>
      <c r="B2074" s="34" t="s">
        <v>4038</v>
      </c>
      <c r="C2074" s="34" t="s">
        <v>891</v>
      </c>
    </row>
    <row r="2075" customFormat="false" ht="114.75" hidden="false" customHeight="false" outlineLevel="0" collapsed="false">
      <c r="A2075" s="37" t="n">
        <v>5702600</v>
      </c>
      <c r="B2075" s="34" t="s">
        <v>4039</v>
      </c>
      <c r="C2075" s="34" t="s">
        <v>853</v>
      </c>
    </row>
    <row r="2076" customFormat="false" ht="76.5" hidden="false" customHeight="false" outlineLevel="0" collapsed="false">
      <c r="A2076" s="37" t="s">
        <v>4040</v>
      </c>
      <c r="B2076" s="34" t="s">
        <v>4041</v>
      </c>
      <c r="C2076" s="34" t="s">
        <v>108</v>
      </c>
    </row>
    <row r="2077" customFormat="false" ht="89.25" hidden="false" customHeight="false" outlineLevel="0" collapsed="false">
      <c r="A2077" s="37" t="s">
        <v>4042</v>
      </c>
      <c r="B2077" s="34" t="s">
        <v>4043</v>
      </c>
      <c r="C2077" s="34" t="s">
        <v>871</v>
      </c>
    </row>
    <row r="2078" customFormat="false" ht="89.25" hidden="false" customHeight="false" outlineLevel="0" collapsed="false">
      <c r="A2078" s="37" t="s">
        <v>4044</v>
      </c>
      <c r="B2078" s="34" t="s">
        <v>4045</v>
      </c>
      <c r="C2078" s="34" t="s">
        <v>858</v>
      </c>
    </row>
    <row r="2079" customFormat="false" ht="89.25" hidden="false" customHeight="false" outlineLevel="0" collapsed="false">
      <c r="A2079" s="37" t="s">
        <v>4046</v>
      </c>
      <c r="B2079" s="34" t="s">
        <v>4047</v>
      </c>
      <c r="C2079" s="34" t="s">
        <v>902</v>
      </c>
    </row>
    <row r="2080" customFormat="false" ht="89.25" hidden="false" customHeight="false" outlineLevel="0" collapsed="false">
      <c r="A2080" s="37" t="s">
        <v>4048</v>
      </c>
      <c r="B2080" s="34" t="s">
        <v>4049</v>
      </c>
      <c r="C2080" s="34" t="s">
        <v>902</v>
      </c>
    </row>
    <row r="2081" customFormat="false" ht="89.25" hidden="false" customHeight="false" outlineLevel="0" collapsed="false">
      <c r="A2081" s="37" t="s">
        <v>4050</v>
      </c>
      <c r="B2081" s="34" t="s">
        <v>4051</v>
      </c>
      <c r="C2081" s="34" t="s">
        <v>122</v>
      </c>
    </row>
    <row r="2082" customFormat="false" ht="89.25" hidden="false" customHeight="false" outlineLevel="0" collapsed="false">
      <c r="A2082" s="37" t="s">
        <v>4052</v>
      </c>
      <c r="B2082" s="34" t="s">
        <v>4053</v>
      </c>
      <c r="C2082" s="34" t="s">
        <v>874</v>
      </c>
    </row>
    <row r="2083" customFormat="false" ht="89.25" hidden="false" customHeight="false" outlineLevel="0" collapsed="false">
      <c r="A2083" s="37" t="s">
        <v>4054</v>
      </c>
      <c r="B2083" s="34" t="s">
        <v>4055</v>
      </c>
      <c r="C2083" s="34" t="s">
        <v>874</v>
      </c>
    </row>
    <row r="2084" customFormat="false" ht="89.25" hidden="false" customHeight="false" outlineLevel="0" collapsed="false">
      <c r="A2084" s="37" t="s">
        <v>4056</v>
      </c>
      <c r="B2084" s="34" t="s">
        <v>4057</v>
      </c>
      <c r="C2084" s="34" t="s">
        <v>874</v>
      </c>
    </row>
    <row r="2085" customFormat="false" ht="89.25" hidden="false" customHeight="false" outlineLevel="0" collapsed="false">
      <c r="A2085" s="37" t="s">
        <v>4058</v>
      </c>
      <c r="B2085" s="34" t="s">
        <v>4059</v>
      </c>
      <c r="C2085" s="34" t="s">
        <v>874</v>
      </c>
    </row>
    <row r="2086" customFormat="false" ht="102" hidden="false" customHeight="false" outlineLevel="0" collapsed="false">
      <c r="A2086" s="37" t="s">
        <v>4060</v>
      </c>
      <c r="B2086" s="34" t="s">
        <v>4061</v>
      </c>
      <c r="C2086" s="34" t="s">
        <v>883</v>
      </c>
    </row>
    <row r="2087" customFormat="false" ht="102" hidden="false" customHeight="false" outlineLevel="0" collapsed="false">
      <c r="A2087" s="37" t="n">
        <v>5705500</v>
      </c>
      <c r="B2087" s="34" t="s">
        <v>4062</v>
      </c>
      <c r="C2087" s="34" t="s">
        <v>851</v>
      </c>
    </row>
    <row r="2088" customFormat="false" ht="89.25" hidden="false" customHeight="false" outlineLevel="0" collapsed="false">
      <c r="A2088" s="37" t="s">
        <v>4063</v>
      </c>
      <c r="B2088" s="34" t="s">
        <v>4064</v>
      </c>
      <c r="C2088" s="34" t="s">
        <v>858</v>
      </c>
    </row>
    <row r="2089" customFormat="false" ht="102" hidden="false" customHeight="false" outlineLevel="0" collapsed="false">
      <c r="A2089" s="37" t="s">
        <v>4065</v>
      </c>
      <c r="B2089" s="34" t="s">
        <v>4066</v>
      </c>
      <c r="C2089" s="34" t="s">
        <v>851</v>
      </c>
    </row>
    <row r="2090" customFormat="false" ht="102" hidden="false" customHeight="false" outlineLevel="0" collapsed="false">
      <c r="A2090" s="37" t="s">
        <v>4067</v>
      </c>
      <c r="B2090" s="34" t="s">
        <v>4068</v>
      </c>
      <c r="C2090" s="34" t="s">
        <v>851</v>
      </c>
    </row>
    <row r="2091" customFormat="false" ht="89.25" hidden="false" customHeight="false" outlineLevel="0" collapsed="false">
      <c r="A2091" s="37" t="s">
        <v>4069</v>
      </c>
      <c r="B2091" s="34" t="s">
        <v>4070</v>
      </c>
      <c r="C2091" s="34" t="s">
        <v>122</v>
      </c>
    </row>
    <row r="2092" customFormat="false" ht="114.75" hidden="false" customHeight="false" outlineLevel="0" collapsed="false">
      <c r="A2092" s="37" t="n">
        <v>5706400</v>
      </c>
      <c r="B2092" s="34" t="s">
        <v>4071</v>
      </c>
      <c r="C2092" s="34" t="s">
        <v>849</v>
      </c>
    </row>
    <row r="2093" customFormat="false" ht="114.75" hidden="false" customHeight="false" outlineLevel="0" collapsed="false">
      <c r="A2093" s="37" t="n">
        <v>5706600</v>
      </c>
      <c r="B2093" s="34" t="s">
        <v>4072</v>
      </c>
      <c r="C2093" s="34" t="s">
        <v>853</v>
      </c>
    </row>
    <row r="2094" customFormat="false" ht="89.25" hidden="false" customHeight="false" outlineLevel="0" collapsed="false">
      <c r="A2094" s="37" t="s">
        <v>4073</v>
      </c>
      <c r="B2094" s="34" t="s">
        <v>4074</v>
      </c>
      <c r="C2094" s="34" t="s">
        <v>871</v>
      </c>
    </row>
    <row r="2095" customFormat="false" ht="102" hidden="false" customHeight="false" outlineLevel="0" collapsed="false">
      <c r="A2095" s="37" t="n">
        <v>5707100</v>
      </c>
      <c r="B2095" s="34" t="s">
        <v>4075</v>
      </c>
      <c r="C2095" s="34" t="s">
        <v>97</v>
      </c>
    </row>
    <row r="2096" customFormat="false" ht="102" hidden="false" customHeight="false" outlineLevel="0" collapsed="false">
      <c r="A2096" s="37" t="n">
        <v>5707200</v>
      </c>
      <c r="B2096" s="34" t="s">
        <v>4076</v>
      </c>
      <c r="C2096" s="34" t="s">
        <v>97</v>
      </c>
    </row>
    <row r="2097" customFormat="false" ht="102" hidden="false" customHeight="false" outlineLevel="0" collapsed="false">
      <c r="A2097" s="37" t="n">
        <v>5707300</v>
      </c>
      <c r="B2097" s="34" t="s">
        <v>4077</v>
      </c>
      <c r="C2097" s="34" t="s">
        <v>887</v>
      </c>
    </row>
    <row r="2098" customFormat="false" ht="114.75" hidden="false" customHeight="false" outlineLevel="0" collapsed="false">
      <c r="A2098" s="37" t="n">
        <v>5707400</v>
      </c>
      <c r="B2098" s="34" t="s">
        <v>4078</v>
      </c>
      <c r="C2098" s="34" t="s">
        <v>849</v>
      </c>
    </row>
    <row r="2099" customFormat="false" ht="89.25" hidden="false" customHeight="false" outlineLevel="0" collapsed="false">
      <c r="A2099" s="37" t="n">
        <v>5707500</v>
      </c>
      <c r="B2099" s="34" t="s">
        <v>4079</v>
      </c>
      <c r="C2099" s="34" t="s">
        <v>891</v>
      </c>
    </row>
    <row r="2100" customFormat="false" ht="89.25" hidden="false" customHeight="false" outlineLevel="0" collapsed="false">
      <c r="A2100" s="37" t="n">
        <v>5707600</v>
      </c>
      <c r="B2100" s="34" t="s">
        <v>4080</v>
      </c>
      <c r="C2100" s="34" t="s">
        <v>4081</v>
      </c>
    </row>
    <row r="2101" customFormat="false" ht="76.5" hidden="false" customHeight="false" outlineLevel="0" collapsed="false">
      <c r="A2101" s="37" t="s">
        <v>4082</v>
      </c>
      <c r="B2101" s="34" t="s">
        <v>4083</v>
      </c>
      <c r="C2101" s="34" t="s">
        <v>108</v>
      </c>
    </row>
    <row r="2102" customFormat="false" ht="89.25" hidden="false" customHeight="false" outlineLevel="0" collapsed="false">
      <c r="A2102" s="37" t="s">
        <v>4084</v>
      </c>
      <c r="B2102" s="34" t="s">
        <v>4085</v>
      </c>
      <c r="C2102" s="34" t="s">
        <v>871</v>
      </c>
    </row>
    <row r="2103" customFormat="false" ht="89.25" hidden="false" customHeight="false" outlineLevel="0" collapsed="false">
      <c r="A2103" s="37" t="s">
        <v>4086</v>
      </c>
      <c r="B2103" s="34" t="s">
        <v>4087</v>
      </c>
      <c r="C2103" s="34" t="s">
        <v>858</v>
      </c>
    </row>
    <row r="2104" customFormat="false" ht="89.25" hidden="false" customHeight="false" outlineLevel="0" collapsed="false">
      <c r="A2104" s="37" t="s">
        <v>4088</v>
      </c>
      <c r="B2104" s="34" t="s">
        <v>4089</v>
      </c>
      <c r="C2104" s="34" t="s">
        <v>902</v>
      </c>
    </row>
    <row r="2105" customFormat="false" ht="89.25" hidden="false" customHeight="false" outlineLevel="0" collapsed="false">
      <c r="A2105" s="37" t="s">
        <v>4090</v>
      </c>
      <c r="B2105" s="34" t="s">
        <v>4091</v>
      </c>
      <c r="C2105" s="34" t="s">
        <v>902</v>
      </c>
    </row>
    <row r="2106" customFormat="false" ht="89.25" hidden="false" customHeight="false" outlineLevel="0" collapsed="false">
      <c r="A2106" s="37" t="s">
        <v>4092</v>
      </c>
      <c r="B2106" s="34" t="s">
        <v>4093</v>
      </c>
      <c r="C2106" s="34" t="s">
        <v>122</v>
      </c>
    </row>
    <row r="2107" customFormat="false" ht="89.25" hidden="false" customHeight="false" outlineLevel="0" collapsed="false">
      <c r="A2107" s="37" t="s">
        <v>4094</v>
      </c>
      <c r="B2107" s="34" t="s">
        <v>4095</v>
      </c>
      <c r="C2107" s="34" t="s">
        <v>874</v>
      </c>
    </row>
    <row r="2108" customFormat="false" ht="89.25" hidden="false" customHeight="false" outlineLevel="0" collapsed="false">
      <c r="A2108" s="37" t="s">
        <v>4096</v>
      </c>
      <c r="B2108" s="34" t="s">
        <v>4097</v>
      </c>
      <c r="C2108" s="34" t="s">
        <v>874</v>
      </c>
    </row>
    <row r="2109" customFormat="false" ht="89.25" hidden="false" customHeight="false" outlineLevel="0" collapsed="false">
      <c r="A2109" s="37" t="s">
        <v>4098</v>
      </c>
      <c r="B2109" s="34" t="s">
        <v>4099</v>
      </c>
      <c r="C2109" s="34" t="s">
        <v>874</v>
      </c>
    </row>
    <row r="2110" customFormat="false" ht="89.25" hidden="false" customHeight="false" outlineLevel="0" collapsed="false">
      <c r="A2110" s="37" t="s">
        <v>4100</v>
      </c>
      <c r="B2110" s="34" t="s">
        <v>4101</v>
      </c>
      <c r="C2110" s="34" t="s">
        <v>874</v>
      </c>
    </row>
    <row r="2111" customFormat="false" ht="102" hidden="false" customHeight="false" outlineLevel="0" collapsed="false">
      <c r="A2111" s="37" t="s">
        <v>4102</v>
      </c>
      <c r="B2111" s="34" t="s">
        <v>4103</v>
      </c>
      <c r="C2111" s="34" t="s">
        <v>883</v>
      </c>
    </row>
    <row r="2112" customFormat="false" ht="25.5" hidden="false" customHeight="false" outlineLevel="0" collapsed="false">
      <c r="A2112" s="37" t="s">
        <v>4104</v>
      </c>
      <c r="B2112" s="34" t="s">
        <v>4105</v>
      </c>
      <c r="C2112" s="34" t="s">
        <v>4106</v>
      </c>
    </row>
    <row r="2113" customFormat="false" ht="51" hidden="false" customHeight="false" outlineLevel="0" collapsed="false">
      <c r="A2113" s="37" t="s">
        <v>4107</v>
      </c>
      <c r="B2113" s="34" t="s">
        <v>4108</v>
      </c>
      <c r="C2113" s="34" t="s">
        <v>4109</v>
      </c>
    </row>
    <row r="2114" customFormat="false" ht="51" hidden="false" customHeight="false" outlineLevel="0" collapsed="false">
      <c r="A2114" s="37" t="s">
        <v>4110</v>
      </c>
      <c r="B2114" s="34" t="s">
        <v>4111</v>
      </c>
      <c r="C2114" s="34" t="s">
        <v>4109</v>
      </c>
    </row>
    <row r="2115" customFormat="false" ht="51" hidden="false" customHeight="false" outlineLevel="0" collapsed="false">
      <c r="A2115" s="37" t="s">
        <v>4112</v>
      </c>
      <c r="B2115" s="34" t="s">
        <v>4113</v>
      </c>
      <c r="C2115" s="34" t="s">
        <v>4109</v>
      </c>
    </row>
    <row r="2116" customFormat="false" ht="63.75" hidden="false" customHeight="false" outlineLevel="0" collapsed="false">
      <c r="A2116" s="37" t="s">
        <v>4114</v>
      </c>
      <c r="B2116" s="34" t="s">
        <v>4115</v>
      </c>
      <c r="C2116" s="34" t="s">
        <v>919</v>
      </c>
    </row>
    <row r="2117" customFormat="false" ht="63.75" hidden="false" customHeight="false" outlineLevel="0" collapsed="false">
      <c r="A2117" s="37" t="s">
        <v>4116</v>
      </c>
      <c r="B2117" s="34" t="s">
        <v>4117</v>
      </c>
      <c r="C2117" s="34" t="s">
        <v>919</v>
      </c>
    </row>
    <row r="2118" customFormat="false" ht="63.75" hidden="false" customHeight="false" outlineLevel="0" collapsed="false">
      <c r="A2118" s="37" t="s">
        <v>4118</v>
      </c>
      <c r="B2118" s="34" t="s">
        <v>4119</v>
      </c>
      <c r="C2118" s="34" t="s">
        <v>919</v>
      </c>
    </row>
    <row r="2119" customFormat="false" ht="63.75" hidden="false" customHeight="false" outlineLevel="0" collapsed="false">
      <c r="A2119" s="37" t="s">
        <v>4120</v>
      </c>
      <c r="B2119" s="34" t="s">
        <v>4121</v>
      </c>
      <c r="C2119" s="34" t="s">
        <v>919</v>
      </c>
    </row>
    <row r="2120" customFormat="false" ht="63.75" hidden="false" customHeight="false" outlineLevel="0" collapsed="false">
      <c r="A2120" s="37" t="s">
        <v>4122</v>
      </c>
      <c r="B2120" s="34" t="s">
        <v>4123</v>
      </c>
      <c r="C2120" s="34" t="s">
        <v>919</v>
      </c>
    </row>
    <row r="2121" customFormat="false" ht="63.75" hidden="false" customHeight="false" outlineLevel="0" collapsed="false">
      <c r="A2121" s="37" t="s">
        <v>4124</v>
      </c>
      <c r="B2121" s="34" t="s">
        <v>4125</v>
      </c>
      <c r="C2121" s="34" t="s">
        <v>919</v>
      </c>
    </row>
    <row r="2122" customFormat="false" ht="63.75" hidden="false" customHeight="false" outlineLevel="0" collapsed="false">
      <c r="A2122" s="37" t="s">
        <v>4126</v>
      </c>
      <c r="B2122" s="34" t="s">
        <v>4127</v>
      </c>
      <c r="C2122" s="34" t="s">
        <v>919</v>
      </c>
    </row>
    <row r="2123" customFormat="false" ht="63.75" hidden="false" customHeight="false" outlineLevel="0" collapsed="false">
      <c r="A2123" s="37" t="s">
        <v>4128</v>
      </c>
      <c r="B2123" s="34" t="s">
        <v>4129</v>
      </c>
      <c r="C2123" s="34" t="s">
        <v>919</v>
      </c>
    </row>
    <row r="2124" customFormat="false" ht="63.75" hidden="false" customHeight="false" outlineLevel="0" collapsed="false">
      <c r="A2124" s="37" t="s">
        <v>4130</v>
      </c>
      <c r="B2124" s="34" t="s">
        <v>4131</v>
      </c>
      <c r="C2124" s="34" t="s">
        <v>919</v>
      </c>
    </row>
    <row r="2125" customFormat="false" ht="63.75" hidden="false" customHeight="false" outlineLevel="0" collapsed="false">
      <c r="A2125" s="37" t="s">
        <v>4132</v>
      </c>
      <c r="B2125" s="34" t="s">
        <v>4133</v>
      </c>
      <c r="C2125" s="34" t="s">
        <v>919</v>
      </c>
    </row>
    <row r="2126" customFormat="false" ht="63.75" hidden="false" customHeight="false" outlineLevel="0" collapsed="false">
      <c r="A2126" s="37" t="s">
        <v>4134</v>
      </c>
      <c r="B2126" s="34" t="s">
        <v>4135</v>
      </c>
      <c r="C2126" s="34" t="s">
        <v>919</v>
      </c>
    </row>
    <row r="2127" customFormat="false" ht="51" hidden="false" customHeight="false" outlineLevel="0" collapsed="false">
      <c r="A2127" s="37" t="s">
        <v>4136</v>
      </c>
      <c r="B2127" s="34" t="s">
        <v>951</v>
      </c>
      <c r="C2127" s="34" t="s">
        <v>4109</v>
      </c>
    </row>
    <row r="2128" customFormat="false" ht="38.25" hidden="false" customHeight="false" outlineLevel="0" collapsed="false">
      <c r="A2128" s="37" t="s">
        <v>4137</v>
      </c>
      <c r="B2128" s="34" t="s">
        <v>4138</v>
      </c>
      <c r="C2128" s="34" t="s">
        <v>4139</v>
      </c>
    </row>
    <row r="2129" customFormat="false" ht="38.25" hidden="false" customHeight="false" outlineLevel="0" collapsed="false">
      <c r="A2129" s="37" t="s">
        <v>4140</v>
      </c>
      <c r="B2129" s="34" t="s">
        <v>4141</v>
      </c>
      <c r="C2129" s="34" t="s">
        <v>4139</v>
      </c>
    </row>
    <row r="2130" customFormat="false" ht="38.25" hidden="false" customHeight="false" outlineLevel="0" collapsed="false">
      <c r="A2130" s="37" t="s">
        <v>4142</v>
      </c>
      <c r="B2130" s="34" t="s">
        <v>4143</v>
      </c>
      <c r="C2130" s="34" t="s">
        <v>4139</v>
      </c>
    </row>
    <row r="2131" customFormat="false" ht="38.25" hidden="false" customHeight="false" outlineLevel="0" collapsed="false">
      <c r="A2131" s="37" t="s">
        <v>4144</v>
      </c>
      <c r="B2131" s="34" t="s">
        <v>4145</v>
      </c>
      <c r="C2131" s="34" t="s">
        <v>4139</v>
      </c>
    </row>
    <row r="2132" customFormat="false" ht="38.25" hidden="false" customHeight="false" outlineLevel="0" collapsed="false">
      <c r="A2132" s="37" t="s">
        <v>4146</v>
      </c>
      <c r="B2132" s="34" t="s">
        <v>4147</v>
      </c>
      <c r="C2132" s="34" t="s">
        <v>4139</v>
      </c>
    </row>
    <row r="2133" customFormat="false" ht="25.5" hidden="false" customHeight="false" outlineLevel="0" collapsed="false">
      <c r="A2133" s="37" t="s">
        <v>4148</v>
      </c>
      <c r="B2133" s="34" t="s">
        <v>4149</v>
      </c>
      <c r="C2133" s="34" t="s">
        <v>965</v>
      </c>
    </row>
    <row r="2134" customFormat="false" ht="25.5" hidden="false" customHeight="false" outlineLevel="0" collapsed="false">
      <c r="A2134" s="37" t="s">
        <v>4150</v>
      </c>
      <c r="B2134" s="34" t="s">
        <v>4151</v>
      </c>
      <c r="C2134" s="34" t="s">
        <v>965</v>
      </c>
    </row>
    <row r="2135" customFormat="false" ht="25.5" hidden="false" customHeight="false" outlineLevel="0" collapsed="false">
      <c r="A2135" s="37" t="s">
        <v>4152</v>
      </c>
      <c r="B2135" s="34" t="s">
        <v>4153</v>
      </c>
      <c r="C2135" s="34" t="s">
        <v>965</v>
      </c>
    </row>
    <row r="2136" customFormat="false" ht="25.5" hidden="false" customHeight="false" outlineLevel="0" collapsed="false">
      <c r="A2136" s="37" t="s">
        <v>4154</v>
      </c>
      <c r="B2136" s="34" t="s">
        <v>4155</v>
      </c>
      <c r="C2136" s="34" t="s">
        <v>965</v>
      </c>
    </row>
    <row r="2137" customFormat="false" ht="25.5" hidden="false" customHeight="false" outlineLevel="0" collapsed="false">
      <c r="A2137" s="37" t="s">
        <v>4156</v>
      </c>
      <c r="B2137" s="34" t="s">
        <v>4155</v>
      </c>
      <c r="C2137" s="34" t="s">
        <v>965</v>
      </c>
    </row>
    <row r="2138" customFormat="false" ht="25.5" hidden="false" customHeight="false" outlineLevel="0" collapsed="false">
      <c r="A2138" s="37" t="s">
        <v>4157</v>
      </c>
      <c r="B2138" s="34" t="s">
        <v>4155</v>
      </c>
      <c r="C2138" s="34" t="s">
        <v>965</v>
      </c>
    </row>
    <row r="2139" customFormat="false" ht="25.5" hidden="false" customHeight="false" outlineLevel="0" collapsed="false">
      <c r="A2139" s="37" t="s">
        <v>4158</v>
      </c>
      <c r="B2139" s="34" t="s">
        <v>4155</v>
      </c>
      <c r="C2139" s="34" t="s">
        <v>965</v>
      </c>
    </row>
    <row r="2140" customFormat="false" ht="25.5" hidden="false" customHeight="false" outlineLevel="0" collapsed="false">
      <c r="A2140" s="37" t="s">
        <v>4159</v>
      </c>
      <c r="B2140" s="34" t="s">
        <v>4155</v>
      </c>
      <c r="C2140" s="34" t="s">
        <v>965</v>
      </c>
    </row>
    <row r="2141" customFormat="false" ht="25.5" hidden="false" customHeight="false" outlineLevel="0" collapsed="false">
      <c r="A2141" s="37" t="s">
        <v>4160</v>
      </c>
      <c r="B2141" s="34" t="s">
        <v>4155</v>
      </c>
      <c r="C2141" s="34" t="s">
        <v>965</v>
      </c>
    </row>
    <row r="2142" customFormat="false" ht="25.5" hidden="false" customHeight="false" outlineLevel="0" collapsed="false">
      <c r="A2142" s="37" t="s">
        <v>4161</v>
      </c>
      <c r="B2142" s="34" t="s">
        <v>4155</v>
      </c>
      <c r="C2142" s="34" t="s">
        <v>965</v>
      </c>
    </row>
    <row r="2143" customFormat="false" ht="25.5" hidden="false" customHeight="false" outlineLevel="0" collapsed="false">
      <c r="A2143" s="37" t="s">
        <v>4162</v>
      </c>
      <c r="B2143" s="34" t="s">
        <v>4155</v>
      </c>
      <c r="C2143" s="34" t="s">
        <v>965</v>
      </c>
    </row>
    <row r="2144" customFormat="false" ht="89.25" hidden="false" customHeight="false" outlineLevel="0" collapsed="false">
      <c r="A2144" s="37" t="s">
        <v>4163</v>
      </c>
      <c r="B2144" s="34" t="s">
        <v>4164</v>
      </c>
      <c r="C2144" s="34" t="s">
        <v>985</v>
      </c>
    </row>
    <row r="2145" customFormat="false" ht="89.25" hidden="false" customHeight="false" outlineLevel="0" collapsed="false">
      <c r="A2145" s="37" t="s">
        <v>4165</v>
      </c>
      <c r="B2145" s="34" t="s">
        <v>4166</v>
      </c>
      <c r="C2145" s="34" t="s">
        <v>988</v>
      </c>
    </row>
    <row r="2146" customFormat="false" ht="76.5" hidden="false" customHeight="false" outlineLevel="0" collapsed="false">
      <c r="A2146" s="37" t="s">
        <v>4167</v>
      </c>
      <c r="B2146" s="34" t="s">
        <v>4168</v>
      </c>
      <c r="C2146" s="34" t="s">
        <v>1661</v>
      </c>
    </row>
    <row r="2147" customFormat="false" ht="38.25" hidden="false" customHeight="false" outlineLevel="0" collapsed="false">
      <c r="A2147" s="37" t="s">
        <v>4169</v>
      </c>
      <c r="B2147" s="34" t="s">
        <v>4170</v>
      </c>
      <c r="C2147" s="34" t="s">
        <v>965</v>
      </c>
    </row>
    <row r="2148" customFormat="false" ht="38.25" hidden="false" customHeight="false" outlineLevel="0" collapsed="false">
      <c r="A2148" s="37" t="s">
        <v>4171</v>
      </c>
      <c r="B2148" s="34" t="s">
        <v>4172</v>
      </c>
      <c r="C2148" s="34" t="s">
        <v>965</v>
      </c>
    </row>
    <row r="2149" customFormat="false" ht="38.25" hidden="false" customHeight="false" outlineLevel="0" collapsed="false">
      <c r="A2149" s="37" t="s">
        <v>4173</v>
      </c>
      <c r="B2149" s="34" t="s">
        <v>4174</v>
      </c>
      <c r="C2149" s="34" t="s">
        <v>965</v>
      </c>
    </row>
    <row r="2150" customFormat="false" ht="89.25" hidden="false" customHeight="false" outlineLevel="0" collapsed="false">
      <c r="A2150" s="37" t="s">
        <v>4175</v>
      </c>
      <c r="B2150" s="34" t="s">
        <v>4176</v>
      </c>
      <c r="C2150" s="34" t="s">
        <v>997</v>
      </c>
    </row>
    <row r="2151" customFormat="false" ht="89.25" hidden="false" customHeight="false" outlineLevel="0" collapsed="false">
      <c r="A2151" s="37" t="s">
        <v>4177</v>
      </c>
      <c r="B2151" s="34" t="s">
        <v>4178</v>
      </c>
      <c r="C2151" s="34" t="s">
        <v>997</v>
      </c>
    </row>
    <row r="2152" customFormat="false" ht="38.25" hidden="false" customHeight="false" outlineLevel="0" collapsed="false">
      <c r="A2152" s="37" t="s">
        <v>4179</v>
      </c>
      <c r="B2152" s="34" t="s">
        <v>4180</v>
      </c>
      <c r="C2152" s="34" t="s">
        <v>1002</v>
      </c>
    </row>
    <row r="2153" customFormat="false" ht="63.75" hidden="false" customHeight="false" outlineLevel="0" collapsed="false">
      <c r="A2153" s="37" t="s">
        <v>4181</v>
      </c>
      <c r="B2153" s="34" t="s">
        <v>4182</v>
      </c>
      <c r="C2153" s="34" t="s">
        <v>965</v>
      </c>
    </row>
    <row r="2154" customFormat="false" ht="51" hidden="false" customHeight="false" outlineLevel="0" collapsed="false">
      <c r="A2154" s="37" t="s">
        <v>4183</v>
      </c>
      <c r="B2154" s="34" t="s">
        <v>4184</v>
      </c>
      <c r="C2154" s="34" t="s">
        <v>965</v>
      </c>
    </row>
    <row r="2155" customFormat="false" ht="38.25" hidden="false" customHeight="false" outlineLevel="0" collapsed="false">
      <c r="A2155" s="37" t="s">
        <v>4185</v>
      </c>
      <c r="B2155" s="34" t="s">
        <v>2586</v>
      </c>
      <c r="C2155" s="34" t="s">
        <v>965</v>
      </c>
    </row>
    <row r="2156" customFormat="false" ht="63.75" hidden="false" customHeight="false" outlineLevel="0" collapsed="false">
      <c r="A2156" s="37" t="s">
        <v>4186</v>
      </c>
      <c r="B2156" s="34" t="s">
        <v>4187</v>
      </c>
      <c r="C2156" s="34" t="s">
        <v>139</v>
      </c>
    </row>
    <row r="2157" customFormat="false" ht="63.75" hidden="false" customHeight="false" outlineLevel="0" collapsed="false">
      <c r="A2157" s="37" t="s">
        <v>4188</v>
      </c>
      <c r="B2157" s="34" t="s">
        <v>4189</v>
      </c>
      <c r="C2157" s="34" t="s">
        <v>142</v>
      </c>
    </row>
    <row r="2158" customFormat="false" ht="63.75" hidden="false" customHeight="false" outlineLevel="0" collapsed="false">
      <c r="A2158" s="37" t="s">
        <v>4190</v>
      </c>
      <c r="B2158" s="34" t="s">
        <v>4191</v>
      </c>
      <c r="C2158" s="34" t="s">
        <v>1033</v>
      </c>
    </row>
    <row r="2159" customFormat="false" ht="38.25" hidden="false" customHeight="false" outlineLevel="0" collapsed="false">
      <c r="A2159" s="37" t="s">
        <v>4192</v>
      </c>
      <c r="B2159" s="34" t="s">
        <v>4193</v>
      </c>
      <c r="C2159" s="34" t="s">
        <v>687</v>
      </c>
    </row>
    <row r="2160" customFormat="false" ht="51" hidden="false" customHeight="false" outlineLevel="0" collapsed="false">
      <c r="A2160" s="37" t="s">
        <v>4194</v>
      </c>
      <c r="B2160" s="34" t="s">
        <v>1037</v>
      </c>
      <c r="C2160" s="34" t="s">
        <v>1038</v>
      </c>
    </row>
    <row r="2161" customFormat="false" ht="38.25" hidden="false" customHeight="false" outlineLevel="0" collapsed="false">
      <c r="A2161" s="37" t="s">
        <v>4195</v>
      </c>
      <c r="B2161" s="34" t="s">
        <v>4196</v>
      </c>
      <c r="C2161" s="34" t="s">
        <v>1041</v>
      </c>
    </row>
    <row r="2162" customFormat="false" ht="25.5" hidden="false" customHeight="false" outlineLevel="0" collapsed="false">
      <c r="A2162" s="37" t="s">
        <v>4197</v>
      </c>
      <c r="B2162" s="34" t="s">
        <v>4198</v>
      </c>
      <c r="C2162" s="34" t="s">
        <v>1044</v>
      </c>
    </row>
    <row r="2163" customFormat="false" ht="51" hidden="false" customHeight="false" outlineLevel="0" collapsed="false">
      <c r="A2163" s="37" t="s">
        <v>4199</v>
      </c>
      <c r="B2163" s="34" t="s">
        <v>4200</v>
      </c>
      <c r="C2163" s="34" t="s">
        <v>1047</v>
      </c>
    </row>
    <row r="2164" customFormat="false" ht="51" hidden="false" customHeight="false" outlineLevel="0" collapsed="false">
      <c r="A2164" s="37" t="s">
        <v>4201</v>
      </c>
      <c r="B2164" s="34" t="s">
        <v>4202</v>
      </c>
      <c r="C2164" s="34" t="s">
        <v>1050</v>
      </c>
    </row>
    <row r="2165" customFormat="false" ht="51" hidden="false" customHeight="false" outlineLevel="0" collapsed="false">
      <c r="A2165" s="37" t="s">
        <v>4203</v>
      </c>
      <c r="B2165" s="34" t="s">
        <v>4204</v>
      </c>
      <c r="C2165" s="34" t="s">
        <v>1053</v>
      </c>
    </row>
    <row r="2166" customFormat="false" ht="38.25" hidden="false" customHeight="false" outlineLevel="0" collapsed="false">
      <c r="A2166" s="37" t="s">
        <v>4205</v>
      </c>
      <c r="B2166" s="34" t="s">
        <v>4206</v>
      </c>
      <c r="C2166" s="34" t="s">
        <v>1056</v>
      </c>
    </row>
    <row r="2167" customFormat="false" ht="63.75" hidden="false" customHeight="false" outlineLevel="0" collapsed="false">
      <c r="A2167" s="37" t="s">
        <v>4207</v>
      </c>
      <c r="B2167" s="34" t="s">
        <v>4208</v>
      </c>
      <c r="C2167" s="34" t="s">
        <v>1059</v>
      </c>
    </row>
    <row r="2168" customFormat="false" ht="63.75" hidden="false" customHeight="false" outlineLevel="0" collapsed="false">
      <c r="A2168" s="37" t="s">
        <v>4209</v>
      </c>
      <c r="B2168" s="34" t="s">
        <v>4210</v>
      </c>
      <c r="C2168" s="34" t="s">
        <v>139</v>
      </c>
    </row>
    <row r="2169" customFormat="false" ht="63.75" hidden="false" customHeight="false" outlineLevel="0" collapsed="false">
      <c r="A2169" s="37" t="s">
        <v>4211</v>
      </c>
      <c r="B2169" s="34" t="s">
        <v>4212</v>
      </c>
      <c r="C2169" s="34" t="s">
        <v>139</v>
      </c>
    </row>
    <row r="2170" customFormat="false" ht="63.75" hidden="false" customHeight="false" outlineLevel="0" collapsed="false">
      <c r="A2170" s="37" t="s">
        <v>4213</v>
      </c>
      <c r="B2170" s="34" t="s">
        <v>4214</v>
      </c>
      <c r="C2170" s="34" t="s">
        <v>139</v>
      </c>
    </row>
    <row r="2171" customFormat="false" ht="63.75" hidden="false" customHeight="false" outlineLevel="0" collapsed="false">
      <c r="A2171" s="37" t="s">
        <v>4215</v>
      </c>
      <c r="B2171" s="34" t="s">
        <v>4216</v>
      </c>
      <c r="C2171" s="34" t="s">
        <v>139</v>
      </c>
    </row>
    <row r="2172" customFormat="false" ht="102" hidden="false" customHeight="false" outlineLevel="0" collapsed="false">
      <c r="A2172" s="37" t="n">
        <v>5710500</v>
      </c>
      <c r="B2172" s="34" t="s">
        <v>4217</v>
      </c>
      <c r="C2172" s="34" t="s">
        <v>4218</v>
      </c>
    </row>
    <row r="2173" customFormat="false" ht="127.5" hidden="false" customHeight="false" outlineLevel="0" collapsed="false">
      <c r="A2173" s="37" t="n">
        <v>5711100</v>
      </c>
      <c r="B2173" s="34" t="s">
        <v>4219</v>
      </c>
      <c r="C2173" s="34" t="s">
        <v>1069</v>
      </c>
    </row>
    <row r="2174" customFormat="false" ht="127.5" hidden="false" customHeight="false" outlineLevel="0" collapsed="false">
      <c r="A2174" s="37" t="n">
        <v>5711200</v>
      </c>
      <c r="B2174" s="34" t="s">
        <v>4220</v>
      </c>
      <c r="C2174" s="34" t="s">
        <v>1069</v>
      </c>
    </row>
    <row r="2175" customFormat="false" ht="127.5" hidden="false" customHeight="false" outlineLevel="0" collapsed="false">
      <c r="A2175" s="37" t="n">
        <v>5711500</v>
      </c>
      <c r="B2175" s="34" t="s">
        <v>4221</v>
      </c>
      <c r="C2175" s="34" t="s">
        <v>1069</v>
      </c>
    </row>
    <row r="2176" customFormat="false" ht="127.5" hidden="false" customHeight="false" outlineLevel="0" collapsed="false">
      <c r="A2176" s="37" t="n">
        <v>5712100</v>
      </c>
      <c r="B2176" s="34" t="s">
        <v>4222</v>
      </c>
      <c r="C2176" s="34" t="s">
        <v>1069</v>
      </c>
    </row>
    <row r="2177" customFormat="false" ht="127.5" hidden="false" customHeight="false" outlineLevel="0" collapsed="false">
      <c r="A2177" s="37" t="n">
        <v>5712200</v>
      </c>
      <c r="B2177" s="34" t="s">
        <v>4223</v>
      </c>
      <c r="C2177" s="34" t="s">
        <v>1069</v>
      </c>
    </row>
    <row r="2178" customFormat="false" ht="127.5" hidden="false" customHeight="false" outlineLevel="0" collapsed="false">
      <c r="A2178" s="37" t="n">
        <v>5712500</v>
      </c>
      <c r="B2178" s="34" t="s">
        <v>4224</v>
      </c>
      <c r="C2178" s="34" t="s">
        <v>1069</v>
      </c>
    </row>
    <row r="2179" customFormat="false" ht="127.5" hidden="false" customHeight="false" outlineLevel="0" collapsed="false">
      <c r="A2179" s="37" t="n">
        <v>5715500</v>
      </c>
      <c r="B2179" s="34" t="s">
        <v>4225</v>
      </c>
      <c r="C2179" s="34" t="s">
        <v>1069</v>
      </c>
    </row>
    <row r="2180" customFormat="false" ht="127.5" hidden="false" customHeight="false" outlineLevel="0" collapsed="false">
      <c r="A2180" s="37" t="n">
        <v>5716500</v>
      </c>
      <c r="B2180" s="34" t="s">
        <v>4226</v>
      </c>
      <c r="C2180" s="34" t="s">
        <v>1069</v>
      </c>
    </row>
    <row r="2181" customFormat="false" ht="127.5" hidden="false" customHeight="false" outlineLevel="0" collapsed="false">
      <c r="A2181" s="37" t="n">
        <v>5717500</v>
      </c>
      <c r="B2181" s="34" t="s">
        <v>4227</v>
      </c>
      <c r="C2181" s="34" t="s">
        <v>1069</v>
      </c>
    </row>
    <row r="2182" customFormat="false" ht="114.75" hidden="false" customHeight="false" outlineLevel="0" collapsed="false">
      <c r="A2182" s="37" t="s">
        <v>4228</v>
      </c>
      <c r="B2182" s="34" t="s">
        <v>4229</v>
      </c>
      <c r="C2182" s="34" t="s">
        <v>4230</v>
      </c>
    </row>
    <row r="2183" customFormat="false" ht="127.5" hidden="false" customHeight="false" outlineLevel="0" collapsed="false">
      <c r="A2183" s="37" t="s">
        <v>4231</v>
      </c>
      <c r="B2183" s="34" t="s">
        <v>4232</v>
      </c>
      <c r="C2183" s="34" t="s">
        <v>1069</v>
      </c>
    </row>
    <row r="2184" customFormat="false" ht="127.5" hidden="false" customHeight="false" outlineLevel="0" collapsed="false">
      <c r="A2184" s="37" t="s">
        <v>4233</v>
      </c>
      <c r="B2184" s="34" t="s">
        <v>4234</v>
      </c>
      <c r="C2184" s="34" t="s">
        <v>1732</v>
      </c>
    </row>
    <row r="2185" customFormat="false" ht="102" hidden="false" customHeight="false" outlineLevel="0" collapsed="false">
      <c r="A2185" s="37" t="s">
        <v>4235</v>
      </c>
      <c r="B2185" s="34" t="s">
        <v>4236</v>
      </c>
      <c r="C2185" s="34" t="s">
        <v>1737</v>
      </c>
    </row>
    <row r="2186" customFormat="false" ht="127.5" hidden="false" customHeight="false" outlineLevel="0" collapsed="false">
      <c r="A2186" s="37" t="s">
        <v>4237</v>
      </c>
      <c r="B2186" s="34" t="s">
        <v>4238</v>
      </c>
      <c r="C2186" s="34" t="s">
        <v>1732</v>
      </c>
    </row>
    <row r="2187" customFormat="false" ht="102" hidden="false" customHeight="false" outlineLevel="0" collapsed="false">
      <c r="A2187" s="37" t="s">
        <v>4239</v>
      </c>
      <c r="B2187" s="34" t="s">
        <v>4240</v>
      </c>
      <c r="C2187" s="34" t="s">
        <v>1737</v>
      </c>
    </row>
    <row r="2188" customFormat="false" ht="102" hidden="false" customHeight="false" outlineLevel="0" collapsed="false">
      <c r="A2188" s="37" t="s">
        <v>4241</v>
      </c>
      <c r="B2188" s="34" t="s">
        <v>4242</v>
      </c>
      <c r="C2188" s="34" t="s">
        <v>1737</v>
      </c>
    </row>
    <row r="2189" customFormat="false" ht="102" hidden="false" customHeight="false" outlineLevel="0" collapsed="false">
      <c r="A2189" s="37" t="s">
        <v>4243</v>
      </c>
      <c r="B2189" s="34" t="s">
        <v>4244</v>
      </c>
      <c r="C2189" s="34" t="s">
        <v>1737</v>
      </c>
    </row>
    <row r="2190" customFormat="false" ht="76.5" hidden="false" customHeight="false" outlineLevel="0" collapsed="false">
      <c r="A2190" s="37" t="s">
        <v>4245</v>
      </c>
      <c r="B2190" s="34" t="s">
        <v>4246</v>
      </c>
      <c r="C2190" s="34" t="s">
        <v>1741</v>
      </c>
    </row>
    <row r="2191" customFormat="false" ht="63.75" hidden="false" customHeight="false" outlineLevel="0" collapsed="false">
      <c r="A2191" s="37" t="s">
        <v>4247</v>
      </c>
      <c r="B2191" s="34" t="s">
        <v>4248</v>
      </c>
      <c r="C2191" s="34" t="s">
        <v>1744</v>
      </c>
    </row>
    <row r="2192" customFormat="false" ht="102" hidden="false" customHeight="false" outlineLevel="0" collapsed="false">
      <c r="A2192" s="37" t="s">
        <v>4249</v>
      </c>
      <c r="B2192" s="34" t="s">
        <v>4250</v>
      </c>
      <c r="C2192" s="34" t="s">
        <v>177</v>
      </c>
    </row>
    <row r="2193" customFormat="false" ht="102" hidden="false" customHeight="false" outlineLevel="0" collapsed="false">
      <c r="A2193" s="37" t="s">
        <v>4251</v>
      </c>
      <c r="B2193" s="34" t="s">
        <v>4252</v>
      </c>
      <c r="C2193" s="34" t="s">
        <v>177</v>
      </c>
    </row>
    <row r="2194" customFormat="false" ht="102" hidden="false" customHeight="false" outlineLevel="0" collapsed="false">
      <c r="A2194" s="37" t="s">
        <v>4253</v>
      </c>
      <c r="B2194" s="34" t="s">
        <v>4254</v>
      </c>
      <c r="C2194" s="34" t="s">
        <v>1737</v>
      </c>
    </row>
    <row r="2195" customFormat="false" ht="102" hidden="false" customHeight="false" outlineLevel="0" collapsed="false">
      <c r="A2195" s="37" t="s">
        <v>4255</v>
      </c>
      <c r="B2195" s="34" t="s">
        <v>4256</v>
      </c>
      <c r="C2195" s="34" t="s">
        <v>1737</v>
      </c>
    </row>
    <row r="2196" customFormat="false" ht="127.5" hidden="false" customHeight="false" outlineLevel="0" collapsed="false">
      <c r="A2196" s="37" t="s">
        <v>4257</v>
      </c>
      <c r="B2196" s="34" t="s">
        <v>4258</v>
      </c>
      <c r="C2196" s="34" t="s">
        <v>186</v>
      </c>
    </row>
    <row r="2197" customFormat="false" ht="114.75" hidden="false" customHeight="false" outlineLevel="0" collapsed="false">
      <c r="A2197" s="37" t="s">
        <v>4259</v>
      </c>
      <c r="B2197" s="34" t="s">
        <v>4260</v>
      </c>
      <c r="C2197" s="34" t="s">
        <v>3372</v>
      </c>
    </row>
    <row r="2198" customFormat="false" ht="38.25" hidden="false" customHeight="false" outlineLevel="0" collapsed="false">
      <c r="A2198" s="37" t="s">
        <v>4261</v>
      </c>
      <c r="B2198" s="34" t="s">
        <v>4262</v>
      </c>
      <c r="C2198" s="34" t="s">
        <v>965</v>
      </c>
    </row>
    <row r="2199" customFormat="false" ht="89.25" hidden="false" customHeight="false" outlineLevel="0" collapsed="false">
      <c r="A2199" s="37" t="s">
        <v>4263</v>
      </c>
      <c r="B2199" s="34" t="s">
        <v>4264</v>
      </c>
      <c r="C2199" s="34" t="s">
        <v>4265</v>
      </c>
    </row>
    <row r="2200" customFormat="false" ht="63.75" hidden="false" customHeight="false" outlineLevel="0" collapsed="false">
      <c r="A2200" s="37" t="s">
        <v>4266</v>
      </c>
      <c r="B2200" s="34" t="s">
        <v>4267</v>
      </c>
      <c r="C2200" s="34" t="s">
        <v>139</v>
      </c>
    </row>
    <row r="2201" customFormat="false" ht="63.75" hidden="false" customHeight="false" outlineLevel="0" collapsed="false">
      <c r="A2201" s="37" t="s">
        <v>4268</v>
      </c>
      <c r="B2201" s="34" t="s">
        <v>4269</v>
      </c>
      <c r="C2201" s="34" t="s">
        <v>139</v>
      </c>
    </row>
    <row r="2202" customFormat="false" ht="63.75" hidden="false" customHeight="false" outlineLevel="0" collapsed="false">
      <c r="A2202" s="37" t="s">
        <v>4270</v>
      </c>
      <c r="B2202" s="34" t="s">
        <v>4271</v>
      </c>
      <c r="C2202" s="34" t="s">
        <v>139</v>
      </c>
    </row>
    <row r="2203" customFormat="false" ht="63.75" hidden="false" customHeight="false" outlineLevel="0" collapsed="false">
      <c r="A2203" s="37" t="s">
        <v>4272</v>
      </c>
      <c r="B2203" s="34" t="s">
        <v>4273</v>
      </c>
      <c r="C2203" s="34" t="s">
        <v>139</v>
      </c>
    </row>
    <row r="2204" customFormat="false" ht="38.25" hidden="false" customHeight="false" outlineLevel="0" collapsed="false">
      <c r="A2204" s="37" t="s">
        <v>4274</v>
      </c>
      <c r="B2204" s="34" t="s">
        <v>4275</v>
      </c>
      <c r="C2204" s="34" t="s">
        <v>965</v>
      </c>
    </row>
    <row r="2205" customFormat="false" ht="25.5" hidden="false" customHeight="false" outlineLevel="0" collapsed="false">
      <c r="A2205" s="37" t="s">
        <v>4276</v>
      </c>
      <c r="B2205" s="34" t="s">
        <v>4277</v>
      </c>
      <c r="C2205" s="34" t="s">
        <v>965</v>
      </c>
    </row>
    <row r="2206" customFormat="false" ht="63.75" hidden="false" customHeight="false" outlineLevel="0" collapsed="false">
      <c r="A2206" s="37" t="s">
        <v>4278</v>
      </c>
      <c r="B2206" s="34" t="s">
        <v>3386</v>
      </c>
      <c r="C2206" s="34" t="s">
        <v>139</v>
      </c>
    </row>
    <row r="2207" customFormat="false" ht="51" hidden="false" customHeight="false" outlineLevel="0" collapsed="false">
      <c r="A2207" s="37" t="s">
        <v>4279</v>
      </c>
      <c r="B2207" s="34" t="s">
        <v>4280</v>
      </c>
      <c r="C2207" s="34" t="s">
        <v>4281</v>
      </c>
    </row>
    <row r="2208" customFormat="false" ht="102" hidden="false" customHeight="false" outlineLevel="0" collapsed="false">
      <c r="A2208" s="37" t="n">
        <v>5720500</v>
      </c>
      <c r="B2208" s="34" t="s">
        <v>4282</v>
      </c>
      <c r="C2208" s="34" t="s">
        <v>4283</v>
      </c>
    </row>
    <row r="2209" customFormat="false" ht="127.5" hidden="false" customHeight="false" outlineLevel="0" collapsed="false">
      <c r="A2209" s="37" t="n">
        <v>5721100</v>
      </c>
      <c r="B2209" s="34" t="s">
        <v>4284</v>
      </c>
      <c r="C2209" s="34" t="s">
        <v>1079</v>
      </c>
    </row>
    <row r="2210" customFormat="false" ht="127.5" hidden="false" customHeight="false" outlineLevel="0" collapsed="false">
      <c r="A2210" s="37" t="n">
        <v>5721200</v>
      </c>
      <c r="B2210" s="34" t="s">
        <v>4285</v>
      </c>
      <c r="C2210" s="34" t="s">
        <v>1079</v>
      </c>
    </row>
    <row r="2211" customFormat="false" ht="127.5" hidden="false" customHeight="false" outlineLevel="0" collapsed="false">
      <c r="A2211" s="37" t="n">
        <v>5721500</v>
      </c>
      <c r="B2211" s="34" t="s">
        <v>4286</v>
      </c>
      <c r="C2211" s="34" t="s">
        <v>1079</v>
      </c>
    </row>
    <row r="2212" customFormat="false" ht="127.5" hidden="false" customHeight="false" outlineLevel="0" collapsed="false">
      <c r="A2212" s="37" t="n">
        <v>5722100</v>
      </c>
      <c r="B2212" s="34" t="s">
        <v>4287</v>
      </c>
      <c r="C2212" s="34" t="s">
        <v>1079</v>
      </c>
    </row>
    <row r="2213" customFormat="false" ht="127.5" hidden="false" customHeight="false" outlineLevel="0" collapsed="false">
      <c r="A2213" s="37" t="n">
        <v>5722200</v>
      </c>
      <c r="B2213" s="34" t="s">
        <v>4288</v>
      </c>
      <c r="C2213" s="34" t="s">
        <v>1079</v>
      </c>
    </row>
    <row r="2214" customFormat="false" ht="127.5" hidden="false" customHeight="false" outlineLevel="0" collapsed="false">
      <c r="A2214" s="37" t="n">
        <v>5722500</v>
      </c>
      <c r="B2214" s="34" t="s">
        <v>4289</v>
      </c>
      <c r="C2214" s="34" t="s">
        <v>1079</v>
      </c>
    </row>
    <row r="2215" customFormat="false" ht="127.5" hidden="false" customHeight="false" outlineLevel="0" collapsed="false">
      <c r="A2215" s="37" t="n">
        <v>5725500</v>
      </c>
      <c r="B2215" s="34" t="s">
        <v>4290</v>
      </c>
      <c r="C2215" s="34" t="s">
        <v>1079</v>
      </c>
    </row>
    <row r="2216" customFormat="false" ht="127.5" hidden="false" customHeight="false" outlineLevel="0" collapsed="false">
      <c r="A2216" s="37" t="n">
        <v>5726500</v>
      </c>
      <c r="B2216" s="34" t="s">
        <v>4291</v>
      </c>
      <c r="C2216" s="34" t="s">
        <v>1079</v>
      </c>
    </row>
    <row r="2217" customFormat="false" ht="127.5" hidden="false" customHeight="false" outlineLevel="0" collapsed="false">
      <c r="A2217" s="37" t="n">
        <v>5727500</v>
      </c>
      <c r="B2217" s="34" t="s">
        <v>4292</v>
      </c>
      <c r="C2217" s="34" t="s">
        <v>1079</v>
      </c>
    </row>
    <row r="2218" customFormat="false" ht="114.75" hidden="false" customHeight="false" outlineLevel="0" collapsed="false">
      <c r="A2218" s="37" t="s">
        <v>4293</v>
      </c>
      <c r="B2218" s="34" t="s">
        <v>4294</v>
      </c>
      <c r="C2218" s="34" t="s">
        <v>4295</v>
      </c>
    </row>
    <row r="2219" customFormat="false" ht="127.5" hidden="false" customHeight="false" outlineLevel="0" collapsed="false">
      <c r="A2219" s="37" t="s">
        <v>4296</v>
      </c>
      <c r="B2219" s="34" t="s">
        <v>4297</v>
      </c>
      <c r="C2219" s="34" t="s">
        <v>1069</v>
      </c>
    </row>
    <row r="2220" customFormat="false" ht="127.5" hidden="false" customHeight="false" outlineLevel="0" collapsed="false">
      <c r="A2220" s="37" t="s">
        <v>4298</v>
      </c>
      <c r="B2220" s="34" t="s">
        <v>4299</v>
      </c>
      <c r="C2220" s="34" t="s">
        <v>1732</v>
      </c>
    </row>
    <row r="2221" customFormat="false" ht="102" hidden="false" customHeight="false" outlineLevel="0" collapsed="false">
      <c r="A2221" s="37" t="s">
        <v>4300</v>
      </c>
      <c r="B2221" s="34" t="s">
        <v>4301</v>
      </c>
      <c r="C2221" s="34" t="s">
        <v>1737</v>
      </c>
    </row>
    <row r="2222" customFormat="false" ht="127.5" hidden="false" customHeight="false" outlineLevel="0" collapsed="false">
      <c r="A2222" s="37" t="s">
        <v>4302</v>
      </c>
      <c r="B2222" s="34" t="s">
        <v>4303</v>
      </c>
      <c r="C2222" s="34" t="s">
        <v>1732</v>
      </c>
    </row>
    <row r="2223" customFormat="false" ht="102" hidden="false" customHeight="false" outlineLevel="0" collapsed="false">
      <c r="A2223" s="37" t="s">
        <v>4304</v>
      </c>
      <c r="B2223" s="34" t="s">
        <v>4305</v>
      </c>
      <c r="C2223" s="34" t="s">
        <v>1737</v>
      </c>
    </row>
    <row r="2224" customFormat="false" ht="102" hidden="false" customHeight="false" outlineLevel="0" collapsed="false">
      <c r="A2224" s="37" t="s">
        <v>4306</v>
      </c>
      <c r="B2224" s="34" t="s">
        <v>4307</v>
      </c>
      <c r="C2224" s="34" t="s">
        <v>1737</v>
      </c>
    </row>
    <row r="2225" customFormat="false" ht="102" hidden="false" customHeight="false" outlineLevel="0" collapsed="false">
      <c r="A2225" s="37" t="s">
        <v>4308</v>
      </c>
      <c r="B2225" s="34" t="s">
        <v>4309</v>
      </c>
      <c r="C2225" s="34" t="s">
        <v>1737</v>
      </c>
    </row>
    <row r="2226" customFormat="false" ht="76.5" hidden="false" customHeight="false" outlineLevel="0" collapsed="false">
      <c r="A2226" s="37" t="s">
        <v>4310</v>
      </c>
      <c r="B2226" s="34" t="s">
        <v>4311</v>
      </c>
      <c r="C2226" s="34" t="s">
        <v>1741</v>
      </c>
    </row>
    <row r="2227" customFormat="false" ht="63.75" hidden="false" customHeight="false" outlineLevel="0" collapsed="false">
      <c r="A2227" s="37" t="s">
        <v>4312</v>
      </c>
      <c r="B2227" s="34" t="s">
        <v>4313</v>
      </c>
      <c r="C2227" s="34" t="s">
        <v>1801</v>
      </c>
    </row>
    <row r="2228" customFormat="false" ht="102" hidden="false" customHeight="false" outlineLevel="0" collapsed="false">
      <c r="A2228" s="37" t="s">
        <v>4314</v>
      </c>
      <c r="B2228" s="34" t="s">
        <v>4315</v>
      </c>
      <c r="C2228" s="34" t="s">
        <v>221</v>
      </c>
    </row>
    <row r="2229" customFormat="false" ht="102" hidden="false" customHeight="false" outlineLevel="0" collapsed="false">
      <c r="A2229" s="37" t="s">
        <v>4316</v>
      </c>
      <c r="B2229" s="34" t="s">
        <v>4317</v>
      </c>
      <c r="C2229" s="34" t="s">
        <v>221</v>
      </c>
    </row>
    <row r="2230" customFormat="false" ht="102" hidden="false" customHeight="false" outlineLevel="0" collapsed="false">
      <c r="A2230" s="37" t="s">
        <v>4318</v>
      </c>
      <c r="B2230" s="34" t="s">
        <v>4319</v>
      </c>
      <c r="C2230" s="34" t="s">
        <v>1737</v>
      </c>
    </row>
    <row r="2231" customFormat="false" ht="89.25" hidden="false" customHeight="false" outlineLevel="0" collapsed="false">
      <c r="A2231" s="37" t="s">
        <v>4320</v>
      </c>
      <c r="B2231" s="34" t="s">
        <v>4321</v>
      </c>
      <c r="C2231" s="34" t="s">
        <v>210</v>
      </c>
    </row>
    <row r="2232" customFormat="false" ht="127.5" hidden="false" customHeight="false" outlineLevel="0" collapsed="false">
      <c r="A2232" s="37" t="s">
        <v>4322</v>
      </c>
      <c r="B2232" s="34" t="s">
        <v>4323</v>
      </c>
      <c r="C2232" s="34" t="s">
        <v>230</v>
      </c>
    </row>
    <row r="2233" customFormat="false" ht="114.75" hidden="false" customHeight="false" outlineLevel="0" collapsed="false">
      <c r="A2233" s="37" t="s">
        <v>4324</v>
      </c>
      <c r="B2233" s="34" t="s">
        <v>4325</v>
      </c>
      <c r="C2233" s="34" t="s">
        <v>3428</v>
      </c>
    </row>
    <row r="2234" customFormat="false" ht="38.25" hidden="false" customHeight="false" outlineLevel="0" collapsed="false">
      <c r="A2234" s="37" t="s">
        <v>4326</v>
      </c>
      <c r="B2234" s="34" t="s">
        <v>4327</v>
      </c>
      <c r="C2234" s="34" t="s">
        <v>965</v>
      </c>
    </row>
    <row r="2235" customFormat="false" ht="89.25" hidden="false" customHeight="false" outlineLevel="0" collapsed="false">
      <c r="A2235" s="37" t="s">
        <v>4328</v>
      </c>
      <c r="B2235" s="34" t="s">
        <v>4264</v>
      </c>
      <c r="C2235" s="34" t="s">
        <v>4329</v>
      </c>
    </row>
    <row r="2236" customFormat="false" ht="63.75" hidden="false" customHeight="false" outlineLevel="0" collapsed="false">
      <c r="A2236" s="37" t="s">
        <v>4330</v>
      </c>
      <c r="B2236" s="34" t="s">
        <v>4331</v>
      </c>
      <c r="C2236" s="34" t="s">
        <v>139</v>
      </c>
    </row>
    <row r="2237" customFormat="false" ht="63.75" hidden="false" customHeight="false" outlineLevel="0" collapsed="false">
      <c r="A2237" s="37" t="s">
        <v>4332</v>
      </c>
      <c r="B2237" s="34" t="s">
        <v>4333</v>
      </c>
      <c r="C2237" s="34" t="s">
        <v>139</v>
      </c>
    </row>
    <row r="2238" customFormat="false" ht="63.75" hidden="false" customHeight="false" outlineLevel="0" collapsed="false">
      <c r="A2238" s="37" t="s">
        <v>4334</v>
      </c>
      <c r="B2238" s="34" t="s">
        <v>4335</v>
      </c>
      <c r="C2238" s="34" t="s">
        <v>139</v>
      </c>
    </row>
    <row r="2239" customFormat="false" ht="63.75" hidden="false" customHeight="false" outlineLevel="0" collapsed="false">
      <c r="A2239" s="37" t="s">
        <v>4336</v>
      </c>
      <c r="B2239" s="34" t="s">
        <v>4337</v>
      </c>
      <c r="C2239" s="34" t="s">
        <v>139</v>
      </c>
    </row>
    <row r="2240" customFormat="false" ht="38.25" hidden="false" customHeight="false" outlineLevel="0" collapsed="false">
      <c r="A2240" s="37" t="s">
        <v>4338</v>
      </c>
      <c r="B2240" s="34" t="s">
        <v>4339</v>
      </c>
      <c r="C2240" s="34" t="s">
        <v>965</v>
      </c>
    </row>
    <row r="2241" customFormat="false" ht="25.5" hidden="false" customHeight="false" outlineLevel="0" collapsed="false">
      <c r="A2241" s="37" t="s">
        <v>4340</v>
      </c>
      <c r="B2241" s="34" t="s">
        <v>4341</v>
      </c>
      <c r="C2241" s="34" t="s">
        <v>965</v>
      </c>
    </row>
    <row r="2242" customFormat="false" ht="63.75" hidden="false" customHeight="false" outlineLevel="0" collapsed="false">
      <c r="A2242" s="37" t="s">
        <v>4342</v>
      </c>
      <c r="B2242" s="34" t="s">
        <v>3442</v>
      </c>
      <c r="C2242" s="34" t="s">
        <v>139</v>
      </c>
    </row>
    <row r="2243" customFormat="false" ht="63.75" hidden="false" customHeight="false" outlineLevel="0" collapsed="false">
      <c r="A2243" s="37" t="s">
        <v>4343</v>
      </c>
      <c r="B2243" s="34" t="s">
        <v>4344</v>
      </c>
      <c r="C2243" s="34" t="s">
        <v>4281</v>
      </c>
    </row>
    <row r="2244" customFormat="false" ht="102" hidden="false" customHeight="false" outlineLevel="0" collapsed="false">
      <c r="A2244" s="37" t="n">
        <v>5730500</v>
      </c>
      <c r="B2244" s="34" t="s">
        <v>4345</v>
      </c>
      <c r="C2244" s="34" t="s">
        <v>4346</v>
      </c>
    </row>
    <row r="2245" customFormat="false" ht="127.5" hidden="false" customHeight="false" outlineLevel="0" collapsed="false">
      <c r="A2245" s="37" t="n">
        <v>5731100</v>
      </c>
      <c r="B2245" s="34" t="s">
        <v>4347</v>
      </c>
      <c r="C2245" s="34" t="s">
        <v>1089</v>
      </c>
    </row>
    <row r="2246" customFormat="false" ht="127.5" hidden="false" customHeight="false" outlineLevel="0" collapsed="false">
      <c r="A2246" s="37" t="n">
        <v>5731200</v>
      </c>
      <c r="B2246" s="34" t="s">
        <v>4348</v>
      </c>
      <c r="C2246" s="34" t="s">
        <v>1089</v>
      </c>
    </row>
    <row r="2247" customFormat="false" ht="127.5" hidden="false" customHeight="false" outlineLevel="0" collapsed="false">
      <c r="A2247" s="37" t="n">
        <v>5731500</v>
      </c>
      <c r="B2247" s="34" t="s">
        <v>4349</v>
      </c>
      <c r="C2247" s="34" t="s">
        <v>1089</v>
      </c>
    </row>
    <row r="2248" customFormat="false" ht="127.5" hidden="false" customHeight="false" outlineLevel="0" collapsed="false">
      <c r="A2248" s="37" t="n">
        <v>5732100</v>
      </c>
      <c r="B2248" s="34" t="s">
        <v>4350</v>
      </c>
      <c r="C2248" s="34" t="s">
        <v>1089</v>
      </c>
    </row>
    <row r="2249" customFormat="false" ht="127.5" hidden="false" customHeight="false" outlineLevel="0" collapsed="false">
      <c r="A2249" s="37" t="n">
        <v>5732200</v>
      </c>
      <c r="B2249" s="34" t="s">
        <v>4351</v>
      </c>
      <c r="C2249" s="34" t="s">
        <v>1089</v>
      </c>
    </row>
    <row r="2250" customFormat="false" ht="127.5" hidden="false" customHeight="false" outlineLevel="0" collapsed="false">
      <c r="A2250" s="37" t="n">
        <v>5732500</v>
      </c>
      <c r="B2250" s="34" t="s">
        <v>4352</v>
      </c>
      <c r="C2250" s="34" t="s">
        <v>1089</v>
      </c>
    </row>
    <row r="2251" customFormat="false" ht="127.5" hidden="false" customHeight="false" outlineLevel="0" collapsed="false">
      <c r="A2251" s="37" t="n">
        <v>5735500</v>
      </c>
      <c r="B2251" s="34" t="s">
        <v>4353</v>
      </c>
      <c r="C2251" s="34" t="s">
        <v>1089</v>
      </c>
    </row>
    <row r="2252" customFormat="false" ht="127.5" hidden="false" customHeight="false" outlineLevel="0" collapsed="false">
      <c r="A2252" s="37" t="n">
        <v>5736500</v>
      </c>
      <c r="B2252" s="34" t="s">
        <v>4354</v>
      </c>
      <c r="C2252" s="34" t="s">
        <v>1089</v>
      </c>
    </row>
    <row r="2253" customFormat="false" ht="127.5" hidden="false" customHeight="false" outlineLevel="0" collapsed="false">
      <c r="A2253" s="37" t="n">
        <v>5737500</v>
      </c>
      <c r="B2253" s="34" t="s">
        <v>4355</v>
      </c>
      <c r="C2253" s="34" t="s">
        <v>1089</v>
      </c>
    </row>
    <row r="2254" customFormat="false" ht="114.75" hidden="false" customHeight="false" outlineLevel="0" collapsed="false">
      <c r="A2254" s="37" t="s">
        <v>4356</v>
      </c>
      <c r="B2254" s="34" t="s">
        <v>4357</v>
      </c>
      <c r="C2254" s="34" t="s">
        <v>4358</v>
      </c>
    </row>
    <row r="2255" customFormat="false" ht="127.5" hidden="false" customHeight="false" outlineLevel="0" collapsed="false">
      <c r="A2255" s="37" t="s">
        <v>4359</v>
      </c>
      <c r="B2255" s="34" t="s">
        <v>4360</v>
      </c>
      <c r="C2255" s="34" t="s">
        <v>1069</v>
      </c>
    </row>
    <row r="2256" customFormat="false" ht="127.5" hidden="false" customHeight="false" outlineLevel="0" collapsed="false">
      <c r="A2256" s="37" t="s">
        <v>4361</v>
      </c>
      <c r="B2256" s="34" t="s">
        <v>4362</v>
      </c>
      <c r="C2256" s="34" t="s">
        <v>1732</v>
      </c>
    </row>
    <row r="2257" customFormat="false" ht="102" hidden="false" customHeight="false" outlineLevel="0" collapsed="false">
      <c r="A2257" s="37" t="s">
        <v>4363</v>
      </c>
      <c r="B2257" s="34" t="s">
        <v>4364</v>
      </c>
      <c r="C2257" s="34" t="s">
        <v>1737</v>
      </c>
    </row>
    <row r="2258" customFormat="false" ht="127.5" hidden="false" customHeight="false" outlineLevel="0" collapsed="false">
      <c r="A2258" s="37" t="s">
        <v>4365</v>
      </c>
      <c r="B2258" s="34" t="s">
        <v>4366</v>
      </c>
      <c r="C2258" s="34" t="s">
        <v>1732</v>
      </c>
    </row>
    <row r="2259" customFormat="false" ht="102" hidden="false" customHeight="false" outlineLevel="0" collapsed="false">
      <c r="A2259" s="37" t="s">
        <v>4367</v>
      </c>
      <c r="B2259" s="34" t="s">
        <v>4368</v>
      </c>
      <c r="C2259" s="34" t="s">
        <v>1737</v>
      </c>
    </row>
    <row r="2260" customFormat="false" ht="102" hidden="false" customHeight="false" outlineLevel="0" collapsed="false">
      <c r="A2260" s="37" t="s">
        <v>4369</v>
      </c>
      <c r="B2260" s="34" t="s">
        <v>4370</v>
      </c>
      <c r="C2260" s="34" t="s">
        <v>1737</v>
      </c>
    </row>
    <row r="2261" customFormat="false" ht="102" hidden="false" customHeight="false" outlineLevel="0" collapsed="false">
      <c r="A2261" s="37" t="s">
        <v>4371</v>
      </c>
      <c r="B2261" s="34" t="s">
        <v>4372</v>
      </c>
      <c r="C2261" s="34" t="s">
        <v>1737</v>
      </c>
    </row>
    <row r="2262" customFormat="false" ht="76.5" hidden="false" customHeight="false" outlineLevel="0" collapsed="false">
      <c r="A2262" s="37" t="s">
        <v>4373</v>
      </c>
      <c r="B2262" s="34" t="s">
        <v>4374</v>
      </c>
      <c r="C2262" s="34" t="s">
        <v>1741</v>
      </c>
    </row>
    <row r="2263" customFormat="false" ht="63.75" hidden="false" customHeight="false" outlineLevel="0" collapsed="false">
      <c r="A2263" s="37" t="s">
        <v>4375</v>
      </c>
      <c r="B2263" s="34" t="s">
        <v>4376</v>
      </c>
      <c r="C2263" s="34" t="s">
        <v>1859</v>
      </c>
    </row>
    <row r="2264" customFormat="false" ht="102" hidden="false" customHeight="false" outlineLevel="0" collapsed="false">
      <c r="A2264" s="37" t="s">
        <v>4377</v>
      </c>
      <c r="B2264" s="34" t="s">
        <v>4378</v>
      </c>
      <c r="C2264" s="34" t="s">
        <v>265</v>
      </c>
    </row>
    <row r="2265" customFormat="false" ht="102" hidden="false" customHeight="false" outlineLevel="0" collapsed="false">
      <c r="A2265" s="37" t="s">
        <v>4379</v>
      </c>
      <c r="B2265" s="34" t="s">
        <v>4380</v>
      </c>
      <c r="C2265" s="34" t="s">
        <v>265</v>
      </c>
    </row>
    <row r="2266" customFormat="false" ht="102" hidden="false" customHeight="false" outlineLevel="0" collapsed="false">
      <c r="A2266" s="37" t="s">
        <v>4381</v>
      </c>
      <c r="B2266" s="34" t="s">
        <v>4382</v>
      </c>
      <c r="C2266" s="34" t="s">
        <v>1737</v>
      </c>
    </row>
    <row r="2267" customFormat="false" ht="89.25" hidden="false" customHeight="false" outlineLevel="0" collapsed="false">
      <c r="A2267" s="37" t="s">
        <v>4383</v>
      </c>
      <c r="B2267" s="34" t="s">
        <v>4384</v>
      </c>
      <c r="C2267" s="34" t="s">
        <v>254</v>
      </c>
    </row>
    <row r="2268" customFormat="false" ht="127.5" hidden="false" customHeight="false" outlineLevel="0" collapsed="false">
      <c r="A2268" s="37" t="s">
        <v>4385</v>
      </c>
      <c r="B2268" s="34" t="s">
        <v>4386</v>
      </c>
      <c r="C2268" s="34" t="s">
        <v>274</v>
      </c>
    </row>
    <row r="2269" customFormat="false" ht="114.75" hidden="false" customHeight="false" outlineLevel="0" collapsed="false">
      <c r="A2269" s="37" t="s">
        <v>4387</v>
      </c>
      <c r="B2269" s="34" t="s">
        <v>4388</v>
      </c>
      <c r="C2269" s="34" t="s">
        <v>3483</v>
      </c>
    </row>
    <row r="2270" customFormat="false" ht="38.25" hidden="false" customHeight="false" outlineLevel="0" collapsed="false">
      <c r="A2270" s="37" t="s">
        <v>4389</v>
      </c>
      <c r="B2270" s="34" t="s">
        <v>4390</v>
      </c>
      <c r="C2270" s="34" t="s">
        <v>965</v>
      </c>
    </row>
    <row r="2271" customFormat="false" ht="89.25" hidden="false" customHeight="false" outlineLevel="0" collapsed="false">
      <c r="A2271" s="37" t="s">
        <v>4391</v>
      </c>
      <c r="B2271" s="34" t="s">
        <v>4392</v>
      </c>
      <c r="C2271" s="34" t="s">
        <v>4393</v>
      </c>
    </row>
    <row r="2272" customFormat="false" ht="63.75" hidden="false" customHeight="false" outlineLevel="0" collapsed="false">
      <c r="A2272" s="37" t="s">
        <v>4394</v>
      </c>
      <c r="B2272" s="34" t="s">
        <v>4395</v>
      </c>
      <c r="C2272" s="34" t="s">
        <v>139</v>
      </c>
    </row>
    <row r="2273" customFormat="false" ht="63.75" hidden="false" customHeight="false" outlineLevel="0" collapsed="false">
      <c r="A2273" s="37" t="s">
        <v>4396</v>
      </c>
      <c r="B2273" s="34" t="s">
        <v>4397</v>
      </c>
      <c r="C2273" s="34" t="s">
        <v>139</v>
      </c>
    </row>
    <row r="2274" customFormat="false" ht="63.75" hidden="false" customHeight="false" outlineLevel="0" collapsed="false">
      <c r="A2274" s="37" t="s">
        <v>4398</v>
      </c>
      <c r="B2274" s="34" t="s">
        <v>4399</v>
      </c>
      <c r="C2274" s="34" t="s">
        <v>139</v>
      </c>
    </row>
    <row r="2275" customFormat="false" ht="63.75" hidden="false" customHeight="false" outlineLevel="0" collapsed="false">
      <c r="A2275" s="37" t="s">
        <v>4400</v>
      </c>
      <c r="B2275" s="34" t="s">
        <v>4401</v>
      </c>
      <c r="C2275" s="34" t="s">
        <v>139</v>
      </c>
    </row>
    <row r="2276" customFormat="false" ht="38.25" hidden="false" customHeight="false" outlineLevel="0" collapsed="false">
      <c r="A2276" s="37" t="s">
        <v>4402</v>
      </c>
      <c r="B2276" s="34" t="s">
        <v>4403</v>
      </c>
      <c r="C2276" s="34" t="s">
        <v>965</v>
      </c>
    </row>
    <row r="2277" customFormat="false" ht="25.5" hidden="false" customHeight="false" outlineLevel="0" collapsed="false">
      <c r="A2277" s="37" t="s">
        <v>4404</v>
      </c>
      <c r="B2277" s="34" t="s">
        <v>4405</v>
      </c>
      <c r="C2277" s="34" t="s">
        <v>965</v>
      </c>
    </row>
    <row r="2278" customFormat="false" ht="63.75" hidden="false" customHeight="false" outlineLevel="0" collapsed="false">
      <c r="A2278" s="37" t="s">
        <v>4406</v>
      </c>
      <c r="B2278" s="34" t="s">
        <v>3497</v>
      </c>
      <c r="C2278" s="34" t="s">
        <v>139</v>
      </c>
    </row>
    <row r="2279" customFormat="false" ht="63.75" hidden="false" customHeight="false" outlineLevel="0" collapsed="false">
      <c r="A2279" s="37" t="s">
        <v>4407</v>
      </c>
      <c r="B2279" s="34" t="s">
        <v>4408</v>
      </c>
      <c r="C2279" s="34" t="s">
        <v>4281</v>
      </c>
    </row>
    <row r="2280" customFormat="false" ht="102" hidden="false" customHeight="false" outlineLevel="0" collapsed="false">
      <c r="A2280" s="37" t="n">
        <v>5740500</v>
      </c>
      <c r="B2280" s="34" t="s">
        <v>4409</v>
      </c>
      <c r="C2280" s="34" t="s">
        <v>4410</v>
      </c>
    </row>
    <row r="2281" customFormat="false" ht="127.5" hidden="false" customHeight="false" outlineLevel="0" collapsed="false">
      <c r="A2281" s="37" t="n">
        <v>5741100</v>
      </c>
      <c r="B2281" s="34" t="s">
        <v>4411</v>
      </c>
      <c r="C2281" s="34" t="s">
        <v>1099</v>
      </c>
    </row>
    <row r="2282" customFormat="false" ht="127.5" hidden="false" customHeight="false" outlineLevel="0" collapsed="false">
      <c r="A2282" s="37" t="n">
        <v>5741200</v>
      </c>
      <c r="B2282" s="34" t="s">
        <v>4412</v>
      </c>
      <c r="C2282" s="34" t="s">
        <v>1099</v>
      </c>
    </row>
    <row r="2283" customFormat="false" ht="127.5" hidden="false" customHeight="false" outlineLevel="0" collapsed="false">
      <c r="A2283" s="37" t="n">
        <v>5741500</v>
      </c>
      <c r="B2283" s="34" t="s">
        <v>4413</v>
      </c>
      <c r="C2283" s="34" t="s">
        <v>1099</v>
      </c>
    </row>
    <row r="2284" customFormat="false" ht="127.5" hidden="false" customHeight="false" outlineLevel="0" collapsed="false">
      <c r="A2284" s="37" t="n">
        <v>5742100</v>
      </c>
      <c r="B2284" s="34" t="s">
        <v>4414</v>
      </c>
      <c r="C2284" s="34" t="s">
        <v>1099</v>
      </c>
    </row>
    <row r="2285" customFormat="false" ht="127.5" hidden="false" customHeight="false" outlineLevel="0" collapsed="false">
      <c r="A2285" s="37" t="n">
        <v>5742200</v>
      </c>
      <c r="B2285" s="34" t="s">
        <v>4415</v>
      </c>
      <c r="C2285" s="34" t="s">
        <v>1099</v>
      </c>
    </row>
    <row r="2286" customFormat="false" ht="127.5" hidden="false" customHeight="false" outlineLevel="0" collapsed="false">
      <c r="A2286" s="37" t="n">
        <v>5742500</v>
      </c>
      <c r="B2286" s="34" t="s">
        <v>4416</v>
      </c>
      <c r="C2286" s="34" t="s">
        <v>1099</v>
      </c>
    </row>
    <row r="2287" customFormat="false" ht="127.5" hidden="false" customHeight="false" outlineLevel="0" collapsed="false">
      <c r="A2287" s="37" t="n">
        <v>5745500</v>
      </c>
      <c r="B2287" s="34" t="s">
        <v>4417</v>
      </c>
      <c r="C2287" s="34" t="s">
        <v>1099</v>
      </c>
    </row>
    <row r="2288" customFormat="false" ht="127.5" hidden="false" customHeight="false" outlineLevel="0" collapsed="false">
      <c r="A2288" s="37" t="n">
        <v>5746500</v>
      </c>
      <c r="B2288" s="34" t="s">
        <v>4418</v>
      </c>
      <c r="C2288" s="34" t="s">
        <v>1099</v>
      </c>
    </row>
    <row r="2289" customFormat="false" ht="127.5" hidden="false" customHeight="false" outlineLevel="0" collapsed="false">
      <c r="A2289" s="37" t="n">
        <v>5747500</v>
      </c>
      <c r="B2289" s="34" t="s">
        <v>4419</v>
      </c>
      <c r="C2289" s="34" t="s">
        <v>1099</v>
      </c>
    </row>
    <row r="2290" customFormat="false" ht="114.75" hidden="false" customHeight="false" outlineLevel="0" collapsed="false">
      <c r="A2290" s="37" t="s">
        <v>4420</v>
      </c>
      <c r="B2290" s="34" t="s">
        <v>4421</v>
      </c>
      <c r="C2290" s="34" t="s">
        <v>4422</v>
      </c>
    </row>
    <row r="2291" customFormat="false" ht="127.5" hidden="false" customHeight="false" outlineLevel="0" collapsed="false">
      <c r="A2291" s="37" t="s">
        <v>4423</v>
      </c>
      <c r="B2291" s="34" t="s">
        <v>4424</v>
      </c>
      <c r="C2291" s="34" t="s">
        <v>1069</v>
      </c>
    </row>
    <row r="2292" customFormat="false" ht="127.5" hidden="false" customHeight="false" outlineLevel="0" collapsed="false">
      <c r="A2292" s="37" t="s">
        <v>4425</v>
      </c>
      <c r="B2292" s="34" t="s">
        <v>4426</v>
      </c>
      <c r="C2292" s="34" t="s">
        <v>1732</v>
      </c>
    </row>
    <row r="2293" customFormat="false" ht="102" hidden="false" customHeight="false" outlineLevel="0" collapsed="false">
      <c r="A2293" s="37" t="s">
        <v>4427</v>
      </c>
      <c r="B2293" s="34" t="s">
        <v>4428</v>
      </c>
      <c r="C2293" s="34" t="s">
        <v>1737</v>
      </c>
    </row>
    <row r="2294" customFormat="false" ht="127.5" hidden="false" customHeight="false" outlineLevel="0" collapsed="false">
      <c r="A2294" s="37" t="s">
        <v>4429</v>
      </c>
      <c r="B2294" s="34" t="s">
        <v>4430</v>
      </c>
      <c r="C2294" s="34" t="s">
        <v>1732</v>
      </c>
    </row>
    <row r="2295" customFormat="false" ht="102" hidden="false" customHeight="false" outlineLevel="0" collapsed="false">
      <c r="A2295" s="37" t="s">
        <v>4431</v>
      </c>
      <c r="B2295" s="34" t="s">
        <v>4432</v>
      </c>
      <c r="C2295" s="34" t="s">
        <v>1737</v>
      </c>
    </row>
    <row r="2296" customFormat="false" ht="102" hidden="false" customHeight="false" outlineLevel="0" collapsed="false">
      <c r="A2296" s="37" t="s">
        <v>4433</v>
      </c>
      <c r="B2296" s="34" t="s">
        <v>4434</v>
      </c>
      <c r="C2296" s="34" t="s">
        <v>1737</v>
      </c>
    </row>
    <row r="2297" customFormat="false" ht="102" hidden="false" customHeight="false" outlineLevel="0" collapsed="false">
      <c r="A2297" s="37" t="s">
        <v>4435</v>
      </c>
      <c r="B2297" s="34" t="s">
        <v>4436</v>
      </c>
      <c r="C2297" s="34" t="s">
        <v>1737</v>
      </c>
    </row>
    <row r="2298" customFormat="false" ht="76.5" hidden="false" customHeight="false" outlineLevel="0" collapsed="false">
      <c r="A2298" s="37" t="s">
        <v>4437</v>
      </c>
      <c r="B2298" s="34" t="s">
        <v>4438</v>
      </c>
      <c r="C2298" s="34" t="s">
        <v>1741</v>
      </c>
    </row>
    <row r="2299" customFormat="false" ht="63.75" hidden="false" customHeight="false" outlineLevel="0" collapsed="false">
      <c r="A2299" s="37" t="s">
        <v>4439</v>
      </c>
      <c r="B2299" s="34" t="s">
        <v>4440</v>
      </c>
      <c r="C2299" s="34" t="s">
        <v>1917</v>
      </c>
    </row>
    <row r="2300" customFormat="false" ht="102" hidden="false" customHeight="false" outlineLevel="0" collapsed="false">
      <c r="A2300" s="37" t="s">
        <v>4441</v>
      </c>
      <c r="B2300" s="34" t="s">
        <v>4442</v>
      </c>
      <c r="C2300" s="34" t="s">
        <v>309</v>
      </c>
    </row>
    <row r="2301" customFormat="false" ht="102" hidden="false" customHeight="false" outlineLevel="0" collapsed="false">
      <c r="A2301" s="37" t="s">
        <v>4443</v>
      </c>
      <c r="B2301" s="34" t="s">
        <v>4444</v>
      </c>
      <c r="C2301" s="34" t="s">
        <v>309</v>
      </c>
    </row>
    <row r="2302" customFormat="false" ht="102" hidden="false" customHeight="false" outlineLevel="0" collapsed="false">
      <c r="A2302" s="37" t="s">
        <v>4445</v>
      </c>
      <c r="B2302" s="34" t="s">
        <v>4446</v>
      </c>
      <c r="C2302" s="34" t="s">
        <v>1737</v>
      </c>
    </row>
    <row r="2303" customFormat="false" ht="89.25" hidden="false" customHeight="false" outlineLevel="0" collapsed="false">
      <c r="A2303" s="37" t="s">
        <v>4447</v>
      </c>
      <c r="B2303" s="34" t="s">
        <v>4448</v>
      </c>
      <c r="C2303" s="34" t="s">
        <v>298</v>
      </c>
    </row>
    <row r="2304" customFormat="false" ht="127.5" hidden="false" customHeight="false" outlineLevel="0" collapsed="false">
      <c r="A2304" s="37" t="s">
        <v>4449</v>
      </c>
      <c r="B2304" s="34" t="s">
        <v>4450</v>
      </c>
      <c r="C2304" s="34" t="s">
        <v>318</v>
      </c>
    </row>
    <row r="2305" customFormat="false" ht="114.75" hidden="false" customHeight="false" outlineLevel="0" collapsed="false">
      <c r="A2305" s="37" t="s">
        <v>4451</v>
      </c>
      <c r="B2305" s="34" t="s">
        <v>4452</v>
      </c>
      <c r="C2305" s="34" t="s">
        <v>3540</v>
      </c>
    </row>
    <row r="2306" customFormat="false" ht="38.25" hidden="false" customHeight="false" outlineLevel="0" collapsed="false">
      <c r="A2306" s="37" t="s">
        <v>4453</v>
      </c>
      <c r="B2306" s="34" t="s">
        <v>4454</v>
      </c>
      <c r="C2306" s="34" t="s">
        <v>965</v>
      </c>
    </row>
    <row r="2307" customFormat="false" ht="89.25" hidden="false" customHeight="false" outlineLevel="0" collapsed="false">
      <c r="A2307" s="37" t="s">
        <v>4455</v>
      </c>
      <c r="B2307" s="34" t="s">
        <v>4456</v>
      </c>
      <c r="C2307" s="34" t="s">
        <v>4457</v>
      </c>
    </row>
    <row r="2308" customFormat="false" ht="63.75" hidden="false" customHeight="false" outlineLevel="0" collapsed="false">
      <c r="A2308" s="37" t="s">
        <v>4458</v>
      </c>
      <c r="B2308" s="34" t="s">
        <v>4459</v>
      </c>
      <c r="C2308" s="34" t="s">
        <v>139</v>
      </c>
    </row>
    <row r="2309" customFormat="false" ht="63.75" hidden="false" customHeight="false" outlineLevel="0" collapsed="false">
      <c r="A2309" s="37" t="s">
        <v>4460</v>
      </c>
      <c r="B2309" s="34" t="s">
        <v>4461</v>
      </c>
      <c r="C2309" s="34" t="s">
        <v>139</v>
      </c>
    </row>
    <row r="2310" customFormat="false" ht="63.75" hidden="false" customHeight="false" outlineLevel="0" collapsed="false">
      <c r="A2310" s="37" t="s">
        <v>4462</v>
      </c>
      <c r="B2310" s="34" t="s">
        <v>4463</v>
      </c>
      <c r="C2310" s="34" t="s">
        <v>139</v>
      </c>
    </row>
    <row r="2311" customFormat="false" ht="63.75" hidden="false" customHeight="false" outlineLevel="0" collapsed="false">
      <c r="A2311" s="37" t="s">
        <v>4464</v>
      </c>
      <c r="B2311" s="34" t="s">
        <v>4465</v>
      </c>
      <c r="C2311" s="34" t="s">
        <v>139</v>
      </c>
    </row>
    <row r="2312" customFormat="false" ht="38.25" hidden="false" customHeight="false" outlineLevel="0" collapsed="false">
      <c r="A2312" s="37" t="s">
        <v>4466</v>
      </c>
      <c r="B2312" s="34" t="s">
        <v>4467</v>
      </c>
      <c r="C2312" s="34" t="s">
        <v>965</v>
      </c>
    </row>
    <row r="2313" customFormat="false" ht="25.5" hidden="false" customHeight="false" outlineLevel="0" collapsed="false">
      <c r="A2313" s="37" t="s">
        <v>4468</v>
      </c>
      <c r="B2313" s="34" t="s">
        <v>4469</v>
      </c>
      <c r="C2313" s="34" t="s">
        <v>965</v>
      </c>
    </row>
    <row r="2314" customFormat="false" ht="63.75" hidden="false" customHeight="false" outlineLevel="0" collapsed="false">
      <c r="A2314" s="37" t="s">
        <v>4470</v>
      </c>
      <c r="B2314" s="34" t="s">
        <v>3554</v>
      </c>
      <c r="C2314" s="34" t="s">
        <v>139</v>
      </c>
    </row>
    <row r="2315" customFormat="false" ht="63.75" hidden="false" customHeight="false" outlineLevel="0" collapsed="false">
      <c r="A2315" s="37" t="s">
        <v>4471</v>
      </c>
      <c r="B2315" s="34" t="s">
        <v>4472</v>
      </c>
      <c r="C2315" s="34" t="s">
        <v>4281</v>
      </c>
    </row>
    <row r="2316" customFormat="false" ht="102" hidden="false" customHeight="false" outlineLevel="0" collapsed="false">
      <c r="A2316" s="37" t="n">
        <v>5750500</v>
      </c>
      <c r="B2316" s="34" t="s">
        <v>4473</v>
      </c>
      <c r="C2316" s="34" t="s">
        <v>4474</v>
      </c>
    </row>
    <row r="2317" customFormat="false" ht="127.5" hidden="false" customHeight="false" outlineLevel="0" collapsed="false">
      <c r="A2317" s="37" t="n">
        <v>5751100</v>
      </c>
      <c r="B2317" s="34" t="s">
        <v>4475</v>
      </c>
      <c r="C2317" s="34" t="s">
        <v>1108</v>
      </c>
    </row>
    <row r="2318" customFormat="false" ht="127.5" hidden="false" customHeight="false" outlineLevel="0" collapsed="false">
      <c r="A2318" s="37" t="n">
        <v>5751200</v>
      </c>
      <c r="B2318" s="34" t="s">
        <v>4476</v>
      </c>
      <c r="C2318" s="34" t="s">
        <v>1108</v>
      </c>
    </row>
    <row r="2319" customFormat="false" ht="127.5" hidden="false" customHeight="false" outlineLevel="0" collapsed="false">
      <c r="A2319" s="37" t="n">
        <v>5751500</v>
      </c>
      <c r="B2319" s="34" t="s">
        <v>4477</v>
      </c>
      <c r="C2319" s="34" t="s">
        <v>1108</v>
      </c>
    </row>
    <row r="2320" customFormat="false" ht="127.5" hidden="false" customHeight="false" outlineLevel="0" collapsed="false">
      <c r="A2320" s="37" t="n">
        <v>5752100</v>
      </c>
      <c r="B2320" s="34" t="s">
        <v>4478</v>
      </c>
      <c r="C2320" s="34" t="s">
        <v>1108</v>
      </c>
    </row>
    <row r="2321" customFormat="false" ht="127.5" hidden="false" customHeight="false" outlineLevel="0" collapsed="false">
      <c r="A2321" s="37" t="n">
        <v>5752200</v>
      </c>
      <c r="B2321" s="34" t="s">
        <v>4479</v>
      </c>
      <c r="C2321" s="34" t="s">
        <v>1108</v>
      </c>
    </row>
    <row r="2322" customFormat="false" ht="127.5" hidden="false" customHeight="false" outlineLevel="0" collapsed="false">
      <c r="A2322" s="37" t="n">
        <v>5752500</v>
      </c>
      <c r="B2322" s="34" t="s">
        <v>4480</v>
      </c>
      <c r="C2322" s="34" t="s">
        <v>1108</v>
      </c>
    </row>
    <row r="2323" customFormat="false" ht="127.5" hidden="false" customHeight="false" outlineLevel="0" collapsed="false">
      <c r="A2323" s="37" t="n">
        <v>5755500</v>
      </c>
      <c r="B2323" s="34" t="s">
        <v>4481</v>
      </c>
      <c r="C2323" s="34" t="s">
        <v>1108</v>
      </c>
    </row>
    <row r="2324" customFormat="false" ht="127.5" hidden="false" customHeight="false" outlineLevel="0" collapsed="false">
      <c r="A2324" s="37" t="n">
        <v>5756500</v>
      </c>
      <c r="B2324" s="34" t="s">
        <v>4482</v>
      </c>
      <c r="C2324" s="34" t="s">
        <v>1108</v>
      </c>
    </row>
    <row r="2325" customFormat="false" ht="127.5" hidden="false" customHeight="false" outlineLevel="0" collapsed="false">
      <c r="A2325" s="37" t="n">
        <v>5757500</v>
      </c>
      <c r="B2325" s="34" t="s">
        <v>4483</v>
      </c>
      <c r="C2325" s="34" t="s">
        <v>1108</v>
      </c>
    </row>
    <row r="2326" customFormat="false" ht="114.75" hidden="false" customHeight="false" outlineLevel="0" collapsed="false">
      <c r="A2326" s="37" t="s">
        <v>4484</v>
      </c>
      <c r="B2326" s="34" t="s">
        <v>4485</v>
      </c>
      <c r="C2326" s="34" t="s">
        <v>4486</v>
      </c>
    </row>
    <row r="2327" customFormat="false" ht="127.5" hidden="false" customHeight="false" outlineLevel="0" collapsed="false">
      <c r="A2327" s="37" t="s">
        <v>4487</v>
      </c>
      <c r="B2327" s="34" t="s">
        <v>4488</v>
      </c>
      <c r="C2327" s="34" t="s">
        <v>1069</v>
      </c>
    </row>
    <row r="2328" customFormat="false" ht="127.5" hidden="false" customHeight="false" outlineLevel="0" collapsed="false">
      <c r="A2328" s="37" t="s">
        <v>4489</v>
      </c>
      <c r="B2328" s="34" t="s">
        <v>4490</v>
      </c>
      <c r="C2328" s="34" t="s">
        <v>1732</v>
      </c>
    </row>
    <row r="2329" customFormat="false" ht="102" hidden="false" customHeight="false" outlineLevel="0" collapsed="false">
      <c r="A2329" s="37" t="s">
        <v>4491</v>
      </c>
      <c r="B2329" s="34" t="s">
        <v>4492</v>
      </c>
      <c r="C2329" s="34" t="s">
        <v>1737</v>
      </c>
    </row>
    <row r="2330" customFormat="false" ht="127.5" hidden="false" customHeight="false" outlineLevel="0" collapsed="false">
      <c r="A2330" s="37" t="s">
        <v>4493</v>
      </c>
      <c r="B2330" s="34" t="s">
        <v>4494</v>
      </c>
      <c r="C2330" s="34" t="s">
        <v>1732</v>
      </c>
    </row>
    <row r="2331" customFormat="false" ht="102" hidden="false" customHeight="false" outlineLevel="0" collapsed="false">
      <c r="A2331" s="37" t="s">
        <v>4495</v>
      </c>
      <c r="B2331" s="34" t="s">
        <v>4496</v>
      </c>
      <c r="C2331" s="34" t="s">
        <v>1737</v>
      </c>
    </row>
    <row r="2332" customFormat="false" ht="102" hidden="false" customHeight="false" outlineLevel="0" collapsed="false">
      <c r="A2332" s="37" t="s">
        <v>4497</v>
      </c>
      <c r="B2332" s="34" t="s">
        <v>4498</v>
      </c>
      <c r="C2332" s="34" t="s">
        <v>1737</v>
      </c>
    </row>
    <row r="2333" customFormat="false" ht="102" hidden="false" customHeight="false" outlineLevel="0" collapsed="false">
      <c r="A2333" s="37" t="s">
        <v>4499</v>
      </c>
      <c r="B2333" s="34" t="s">
        <v>4500</v>
      </c>
      <c r="C2333" s="34" t="s">
        <v>1737</v>
      </c>
    </row>
    <row r="2334" customFormat="false" ht="76.5" hidden="false" customHeight="false" outlineLevel="0" collapsed="false">
      <c r="A2334" s="37" t="s">
        <v>4501</v>
      </c>
      <c r="B2334" s="34" t="s">
        <v>4502</v>
      </c>
      <c r="C2334" s="34" t="s">
        <v>1741</v>
      </c>
    </row>
    <row r="2335" customFormat="false" ht="63.75" hidden="false" customHeight="false" outlineLevel="0" collapsed="false">
      <c r="A2335" s="37" t="s">
        <v>4503</v>
      </c>
      <c r="B2335" s="34" t="s">
        <v>4504</v>
      </c>
      <c r="C2335" s="34" t="s">
        <v>1980</v>
      </c>
    </row>
    <row r="2336" customFormat="false" ht="102" hidden="false" customHeight="false" outlineLevel="0" collapsed="false">
      <c r="A2336" s="37" t="s">
        <v>4505</v>
      </c>
      <c r="B2336" s="34" t="s">
        <v>4506</v>
      </c>
      <c r="C2336" s="34" t="s">
        <v>351</v>
      </c>
    </row>
    <row r="2337" customFormat="false" ht="102" hidden="false" customHeight="false" outlineLevel="0" collapsed="false">
      <c r="A2337" s="37" t="s">
        <v>4507</v>
      </c>
      <c r="B2337" s="34" t="s">
        <v>4508</v>
      </c>
      <c r="C2337" s="34" t="s">
        <v>351</v>
      </c>
    </row>
    <row r="2338" customFormat="false" ht="102" hidden="false" customHeight="false" outlineLevel="0" collapsed="false">
      <c r="A2338" s="37" t="s">
        <v>4509</v>
      </c>
      <c r="B2338" s="34" t="s">
        <v>4510</v>
      </c>
      <c r="C2338" s="34" t="s">
        <v>1737</v>
      </c>
    </row>
    <row r="2339" customFormat="false" ht="89.25" hidden="false" customHeight="false" outlineLevel="0" collapsed="false">
      <c r="A2339" s="37" t="s">
        <v>4511</v>
      </c>
      <c r="B2339" s="34" t="s">
        <v>4512</v>
      </c>
      <c r="C2339" s="34" t="s">
        <v>340</v>
      </c>
    </row>
    <row r="2340" customFormat="false" ht="127.5" hidden="false" customHeight="false" outlineLevel="0" collapsed="false">
      <c r="A2340" s="37" t="s">
        <v>4513</v>
      </c>
      <c r="B2340" s="34" t="s">
        <v>4514</v>
      </c>
      <c r="C2340" s="34" t="s">
        <v>360</v>
      </c>
    </row>
    <row r="2341" customFormat="false" ht="114.75" hidden="false" customHeight="false" outlineLevel="0" collapsed="false">
      <c r="A2341" s="37" t="s">
        <v>4515</v>
      </c>
      <c r="B2341" s="34" t="s">
        <v>4516</v>
      </c>
      <c r="C2341" s="34" t="s">
        <v>3597</v>
      </c>
    </row>
    <row r="2342" customFormat="false" ht="38.25" hidden="false" customHeight="false" outlineLevel="0" collapsed="false">
      <c r="A2342" s="37" t="s">
        <v>4517</v>
      </c>
      <c r="B2342" s="34" t="s">
        <v>4518</v>
      </c>
      <c r="C2342" s="34" t="s">
        <v>965</v>
      </c>
    </row>
    <row r="2343" customFormat="false" ht="89.25" hidden="false" customHeight="false" outlineLevel="0" collapsed="false">
      <c r="A2343" s="37" t="s">
        <v>4519</v>
      </c>
      <c r="B2343" s="34" t="s">
        <v>4520</v>
      </c>
      <c r="C2343" s="34" t="s">
        <v>4521</v>
      </c>
    </row>
    <row r="2344" customFormat="false" ht="63.75" hidden="false" customHeight="false" outlineLevel="0" collapsed="false">
      <c r="A2344" s="37" t="s">
        <v>4522</v>
      </c>
      <c r="B2344" s="34" t="s">
        <v>4523</v>
      </c>
      <c r="C2344" s="34" t="s">
        <v>139</v>
      </c>
    </row>
    <row r="2345" customFormat="false" ht="63.75" hidden="false" customHeight="false" outlineLevel="0" collapsed="false">
      <c r="A2345" s="37" t="s">
        <v>4524</v>
      </c>
      <c r="B2345" s="34" t="s">
        <v>4525</v>
      </c>
      <c r="C2345" s="34" t="s">
        <v>139</v>
      </c>
    </row>
    <row r="2346" customFormat="false" ht="63.75" hidden="false" customHeight="false" outlineLevel="0" collapsed="false">
      <c r="A2346" s="37" t="s">
        <v>4526</v>
      </c>
      <c r="B2346" s="34" t="s">
        <v>4527</v>
      </c>
      <c r="C2346" s="34" t="s">
        <v>139</v>
      </c>
    </row>
    <row r="2347" customFormat="false" ht="63.75" hidden="false" customHeight="false" outlineLevel="0" collapsed="false">
      <c r="A2347" s="37" t="s">
        <v>4528</v>
      </c>
      <c r="B2347" s="34" t="s">
        <v>4529</v>
      </c>
      <c r="C2347" s="34" t="s">
        <v>139</v>
      </c>
    </row>
    <row r="2348" customFormat="false" ht="38.25" hidden="false" customHeight="false" outlineLevel="0" collapsed="false">
      <c r="A2348" s="37" t="s">
        <v>4530</v>
      </c>
      <c r="B2348" s="34" t="s">
        <v>4531</v>
      </c>
      <c r="C2348" s="34" t="s">
        <v>965</v>
      </c>
    </row>
    <row r="2349" customFormat="false" ht="25.5" hidden="false" customHeight="false" outlineLevel="0" collapsed="false">
      <c r="A2349" s="37" t="s">
        <v>4532</v>
      </c>
      <c r="B2349" s="34" t="s">
        <v>4469</v>
      </c>
      <c r="C2349" s="34" t="s">
        <v>965</v>
      </c>
    </row>
    <row r="2350" customFormat="false" ht="63.75" hidden="false" customHeight="false" outlineLevel="0" collapsed="false">
      <c r="A2350" s="37" t="s">
        <v>4533</v>
      </c>
      <c r="B2350" s="34" t="s">
        <v>3611</v>
      </c>
      <c r="C2350" s="34" t="s">
        <v>139</v>
      </c>
    </row>
    <row r="2351" customFormat="false" ht="63.75" hidden="false" customHeight="false" outlineLevel="0" collapsed="false">
      <c r="A2351" s="37" t="s">
        <v>4534</v>
      </c>
      <c r="B2351" s="34" t="s">
        <v>4535</v>
      </c>
      <c r="C2351" s="34" t="s">
        <v>4281</v>
      </c>
    </row>
    <row r="2352" customFormat="false" ht="89.25" hidden="false" customHeight="false" outlineLevel="0" collapsed="false">
      <c r="A2352" s="37" t="n">
        <v>5762100</v>
      </c>
      <c r="B2352" s="34" t="s">
        <v>4536</v>
      </c>
      <c r="C2352" s="34" t="s">
        <v>1115</v>
      </c>
    </row>
    <row r="2353" customFormat="false" ht="38.25" hidden="false" customHeight="false" outlineLevel="0" collapsed="false">
      <c r="A2353" s="37" t="n">
        <v>5762400</v>
      </c>
      <c r="B2353" s="34" t="s">
        <v>4537</v>
      </c>
      <c r="C2353" s="34" t="s">
        <v>965</v>
      </c>
    </row>
    <row r="2354" customFormat="false" ht="76.5" hidden="false" customHeight="false" outlineLevel="0" collapsed="false">
      <c r="A2354" s="37" t="n">
        <v>5762500</v>
      </c>
      <c r="B2354" s="34" t="s">
        <v>4538</v>
      </c>
      <c r="C2354" s="34" t="s">
        <v>1121</v>
      </c>
    </row>
    <row r="2355" customFormat="false" ht="76.5" hidden="false" customHeight="false" outlineLevel="0" collapsed="false">
      <c r="A2355" s="37" t="n">
        <v>5762600</v>
      </c>
      <c r="B2355" s="34" t="s">
        <v>4539</v>
      </c>
      <c r="C2355" s="34" t="s">
        <v>1121</v>
      </c>
    </row>
    <row r="2356" customFormat="false" ht="63.75" hidden="false" customHeight="false" outlineLevel="0" collapsed="false">
      <c r="A2356" s="37" t="s">
        <v>4540</v>
      </c>
      <c r="B2356" s="34" t="s">
        <v>4541</v>
      </c>
      <c r="C2356" s="34" t="s">
        <v>1142</v>
      </c>
    </row>
    <row r="2357" customFormat="false" ht="63.75" hidden="false" customHeight="false" outlineLevel="0" collapsed="false">
      <c r="A2357" s="37" t="s">
        <v>4542</v>
      </c>
      <c r="B2357" s="34" t="s">
        <v>4543</v>
      </c>
      <c r="C2357" s="34" t="s">
        <v>1142</v>
      </c>
    </row>
    <row r="2358" customFormat="false" ht="63.75" hidden="false" customHeight="false" outlineLevel="0" collapsed="false">
      <c r="A2358" s="37" t="s">
        <v>4544</v>
      </c>
      <c r="B2358" s="34" t="s">
        <v>4545</v>
      </c>
      <c r="C2358" s="34" t="s">
        <v>1142</v>
      </c>
    </row>
    <row r="2359" customFormat="false" ht="63.75" hidden="false" customHeight="false" outlineLevel="0" collapsed="false">
      <c r="A2359" s="37" t="s">
        <v>4546</v>
      </c>
      <c r="B2359" s="34" t="s">
        <v>4547</v>
      </c>
      <c r="C2359" s="34" t="s">
        <v>1142</v>
      </c>
    </row>
    <row r="2360" customFormat="false" ht="63.75" hidden="false" customHeight="false" outlineLevel="0" collapsed="false">
      <c r="A2360" s="37" t="s">
        <v>4548</v>
      </c>
      <c r="B2360" s="34" t="s">
        <v>4549</v>
      </c>
      <c r="C2360" s="34" t="s">
        <v>1142</v>
      </c>
    </row>
    <row r="2361" customFormat="false" ht="89.25" hidden="false" customHeight="false" outlineLevel="0" collapsed="false">
      <c r="A2361" s="37" t="s">
        <v>4550</v>
      </c>
      <c r="B2361" s="34" t="s">
        <v>4551</v>
      </c>
      <c r="C2361" s="34" t="s">
        <v>387</v>
      </c>
    </row>
    <row r="2362" customFormat="false" ht="51" hidden="false" customHeight="false" outlineLevel="0" collapsed="false">
      <c r="A2362" s="37" t="s">
        <v>4552</v>
      </c>
      <c r="B2362" s="34" t="s">
        <v>4553</v>
      </c>
      <c r="C2362" s="34" t="s">
        <v>1170</v>
      </c>
    </row>
    <row r="2363" customFormat="false" ht="51" hidden="false" customHeight="false" outlineLevel="0" collapsed="false">
      <c r="A2363" s="37" t="s">
        <v>4554</v>
      </c>
      <c r="B2363" s="34" t="s">
        <v>4555</v>
      </c>
      <c r="C2363" s="34" t="s">
        <v>1170</v>
      </c>
    </row>
    <row r="2364" customFormat="false" ht="51" hidden="false" customHeight="false" outlineLevel="0" collapsed="false">
      <c r="A2364" s="37" t="s">
        <v>4556</v>
      </c>
      <c r="B2364" s="34" t="s">
        <v>4557</v>
      </c>
      <c r="C2364" s="34" t="s">
        <v>1170</v>
      </c>
    </row>
    <row r="2365" customFormat="false" ht="63.75" hidden="false" customHeight="false" outlineLevel="0" collapsed="false">
      <c r="A2365" s="37" t="s">
        <v>4558</v>
      </c>
      <c r="B2365" s="34" t="s">
        <v>4559</v>
      </c>
      <c r="C2365" s="34" t="s">
        <v>373</v>
      </c>
    </row>
    <row r="2366" customFormat="false" ht="63.75" hidden="false" customHeight="false" outlineLevel="0" collapsed="false">
      <c r="A2366" s="37" t="s">
        <v>4560</v>
      </c>
      <c r="B2366" s="34" t="s">
        <v>4561</v>
      </c>
      <c r="C2366" s="34" t="s">
        <v>373</v>
      </c>
    </row>
    <row r="2367" customFormat="false" ht="51" hidden="false" customHeight="false" outlineLevel="0" collapsed="false">
      <c r="A2367" s="37" t="s">
        <v>4562</v>
      </c>
      <c r="B2367" s="34" t="s">
        <v>4563</v>
      </c>
      <c r="C2367" s="34" t="s">
        <v>384</v>
      </c>
    </row>
    <row r="2368" customFormat="false" ht="76.5" hidden="false" customHeight="false" outlineLevel="0" collapsed="false">
      <c r="A2368" s="37" t="s">
        <v>4564</v>
      </c>
      <c r="B2368" s="34" t="s">
        <v>4565</v>
      </c>
      <c r="C2368" s="34" t="s">
        <v>1188</v>
      </c>
    </row>
    <row r="2369" customFormat="false" ht="76.5" hidden="false" customHeight="false" outlineLevel="0" collapsed="false">
      <c r="A2369" s="37" t="s">
        <v>4566</v>
      </c>
      <c r="B2369" s="34" t="s">
        <v>4567</v>
      </c>
      <c r="C2369" s="34" t="s">
        <v>1188</v>
      </c>
    </row>
    <row r="2370" customFormat="false" ht="76.5" hidden="false" customHeight="false" outlineLevel="0" collapsed="false">
      <c r="A2370" s="37" t="s">
        <v>4568</v>
      </c>
      <c r="B2370" s="34" t="s">
        <v>4565</v>
      </c>
      <c r="C2370" s="34" t="s">
        <v>1188</v>
      </c>
    </row>
    <row r="2371" customFormat="false" ht="76.5" hidden="false" customHeight="false" outlineLevel="0" collapsed="false">
      <c r="A2371" s="37" t="s">
        <v>4569</v>
      </c>
      <c r="B2371" s="34" t="s">
        <v>4570</v>
      </c>
      <c r="C2371" s="34" t="s">
        <v>1188</v>
      </c>
    </row>
    <row r="2372" customFormat="false" ht="76.5" hidden="false" customHeight="false" outlineLevel="0" collapsed="false">
      <c r="A2372" s="37" t="s">
        <v>4571</v>
      </c>
      <c r="B2372" s="34" t="s">
        <v>4572</v>
      </c>
      <c r="C2372" s="34" t="s">
        <v>1193</v>
      </c>
    </row>
    <row r="2373" customFormat="false" ht="76.5" hidden="false" customHeight="false" outlineLevel="0" collapsed="false">
      <c r="A2373" s="37" t="s">
        <v>4573</v>
      </c>
      <c r="B2373" s="34" t="s">
        <v>4574</v>
      </c>
      <c r="C2373" s="34" t="s">
        <v>1193</v>
      </c>
    </row>
    <row r="2374" customFormat="false" ht="89.25" hidden="false" customHeight="false" outlineLevel="0" collapsed="false">
      <c r="A2374" s="37" t="s">
        <v>4575</v>
      </c>
      <c r="B2374" s="34" t="s">
        <v>4576</v>
      </c>
      <c r="C2374" s="34" t="s">
        <v>1198</v>
      </c>
    </row>
    <row r="2375" customFormat="false" ht="89.25" hidden="false" customHeight="false" outlineLevel="0" collapsed="false">
      <c r="A2375" s="37" t="s">
        <v>4577</v>
      </c>
      <c r="B2375" s="34" t="s">
        <v>4578</v>
      </c>
      <c r="C2375" s="34" t="s">
        <v>1198</v>
      </c>
    </row>
    <row r="2376" customFormat="false" ht="89.25" hidden="false" customHeight="false" outlineLevel="0" collapsed="false">
      <c r="A2376" s="37" t="s">
        <v>4579</v>
      </c>
      <c r="B2376" s="34" t="s">
        <v>4580</v>
      </c>
      <c r="C2376" s="34" t="s">
        <v>1198</v>
      </c>
    </row>
    <row r="2377" customFormat="false" ht="89.25" hidden="false" customHeight="false" outlineLevel="0" collapsed="false">
      <c r="A2377" s="37" t="s">
        <v>4581</v>
      </c>
      <c r="B2377" s="34" t="s">
        <v>4582</v>
      </c>
      <c r="C2377" s="34" t="s">
        <v>1198</v>
      </c>
    </row>
    <row r="2378" customFormat="false" ht="89.25" hidden="false" customHeight="false" outlineLevel="0" collapsed="false">
      <c r="A2378" s="37" t="s">
        <v>4583</v>
      </c>
      <c r="B2378" s="34" t="s">
        <v>4584</v>
      </c>
      <c r="C2378" s="34" t="s">
        <v>1198</v>
      </c>
    </row>
    <row r="2379" customFormat="false" ht="89.25" hidden="false" customHeight="false" outlineLevel="0" collapsed="false">
      <c r="A2379" s="37" t="s">
        <v>4585</v>
      </c>
      <c r="B2379" s="34" t="s">
        <v>4586</v>
      </c>
      <c r="C2379" s="34" t="s">
        <v>1198</v>
      </c>
    </row>
    <row r="2380" customFormat="false" ht="89.25" hidden="false" customHeight="false" outlineLevel="0" collapsed="false">
      <c r="A2380" s="37" t="s">
        <v>4587</v>
      </c>
      <c r="B2380" s="34" t="s">
        <v>4588</v>
      </c>
      <c r="C2380" s="34" t="s">
        <v>1198</v>
      </c>
    </row>
    <row r="2381" customFormat="false" ht="89.25" hidden="false" customHeight="false" outlineLevel="0" collapsed="false">
      <c r="A2381" s="37" t="s">
        <v>4589</v>
      </c>
      <c r="B2381" s="34" t="s">
        <v>4590</v>
      </c>
      <c r="C2381" s="34" t="s">
        <v>1198</v>
      </c>
    </row>
    <row r="2382" customFormat="false" ht="102" hidden="false" customHeight="false" outlineLevel="0" collapsed="false">
      <c r="A2382" s="37" t="s">
        <v>4591</v>
      </c>
      <c r="B2382" s="34" t="s">
        <v>4592</v>
      </c>
      <c r="C2382" s="34" t="s">
        <v>1215</v>
      </c>
    </row>
    <row r="2383" customFormat="false" ht="25.5" hidden="false" customHeight="false" outlineLevel="0" collapsed="false">
      <c r="A2383" s="37" t="s">
        <v>4593</v>
      </c>
      <c r="B2383" s="34" t="s">
        <v>4594</v>
      </c>
      <c r="C2383" s="34" t="s">
        <v>965</v>
      </c>
    </row>
    <row r="2384" customFormat="false" ht="63.75" hidden="false" customHeight="false" outlineLevel="0" collapsed="false">
      <c r="A2384" s="37" t="s">
        <v>4595</v>
      </c>
      <c r="B2384" s="34" t="s">
        <v>4596</v>
      </c>
      <c r="C2384" s="34" t="s">
        <v>139</v>
      </c>
    </row>
    <row r="2385" customFormat="false" ht="63.75" hidden="false" customHeight="false" outlineLevel="0" collapsed="false">
      <c r="A2385" s="37" t="s">
        <v>4597</v>
      </c>
      <c r="B2385" s="34" t="s">
        <v>4598</v>
      </c>
      <c r="C2385" s="34" t="s">
        <v>139</v>
      </c>
    </row>
    <row r="2386" customFormat="false" ht="63.75" hidden="false" customHeight="false" outlineLevel="0" collapsed="false">
      <c r="A2386" s="37" t="s">
        <v>4599</v>
      </c>
      <c r="B2386" s="34" t="s">
        <v>4600</v>
      </c>
      <c r="C2386" s="34" t="s">
        <v>139</v>
      </c>
    </row>
    <row r="2387" customFormat="false" ht="63.75" hidden="false" customHeight="false" outlineLevel="0" collapsed="false">
      <c r="A2387" s="37" t="s">
        <v>4601</v>
      </c>
      <c r="B2387" s="34" t="s">
        <v>4602</v>
      </c>
      <c r="C2387" s="34" t="s">
        <v>139</v>
      </c>
    </row>
    <row r="2388" customFormat="false" ht="89.25" hidden="false" customHeight="false" outlineLevel="0" collapsed="false">
      <c r="A2388" s="37" t="n">
        <v>5771300</v>
      </c>
      <c r="B2388" s="34" t="s">
        <v>4603</v>
      </c>
      <c r="C2388" s="34" t="s">
        <v>122</v>
      </c>
    </row>
    <row r="2389" customFormat="false" ht="89.25" hidden="false" customHeight="false" outlineLevel="0" collapsed="false">
      <c r="A2389" s="37" t="n">
        <v>5772100</v>
      </c>
      <c r="B2389" s="34" t="s">
        <v>4604</v>
      </c>
      <c r="C2389" s="34" t="s">
        <v>122</v>
      </c>
    </row>
    <row r="2390" customFormat="false" ht="89.25" hidden="false" customHeight="false" outlineLevel="0" collapsed="false">
      <c r="A2390" s="37" t="n">
        <v>5772200</v>
      </c>
      <c r="B2390" s="34" t="s">
        <v>4605</v>
      </c>
      <c r="C2390" s="34" t="s">
        <v>122</v>
      </c>
    </row>
    <row r="2391" customFormat="false" ht="89.25" hidden="false" customHeight="false" outlineLevel="0" collapsed="false">
      <c r="A2391" s="37" t="n">
        <v>5772300</v>
      </c>
      <c r="B2391" s="34" t="s">
        <v>4606</v>
      </c>
      <c r="C2391" s="34" t="s">
        <v>122</v>
      </c>
    </row>
    <row r="2392" customFormat="false" ht="89.25" hidden="false" customHeight="false" outlineLevel="0" collapsed="false">
      <c r="A2392" s="37" t="n">
        <v>5772800</v>
      </c>
      <c r="B2392" s="34" t="s">
        <v>4607</v>
      </c>
      <c r="C2392" s="34" t="s">
        <v>122</v>
      </c>
    </row>
    <row r="2393" customFormat="false" ht="51" hidden="false" customHeight="false" outlineLevel="0" collapsed="false">
      <c r="A2393" s="37" t="s">
        <v>4608</v>
      </c>
      <c r="B2393" s="34" t="s">
        <v>4609</v>
      </c>
      <c r="C2393" s="34" t="s">
        <v>437</v>
      </c>
    </row>
    <row r="2394" customFormat="false" ht="51" hidden="false" customHeight="false" outlineLevel="0" collapsed="false">
      <c r="A2394" s="37" t="s">
        <v>4610</v>
      </c>
      <c r="B2394" s="34" t="s">
        <v>4611</v>
      </c>
      <c r="C2394" s="34" t="s">
        <v>437</v>
      </c>
    </row>
    <row r="2395" customFormat="false" ht="51" hidden="false" customHeight="false" outlineLevel="0" collapsed="false">
      <c r="A2395" s="37" t="s">
        <v>4612</v>
      </c>
      <c r="B2395" s="34" t="s">
        <v>4613</v>
      </c>
      <c r="C2395" s="34" t="s">
        <v>437</v>
      </c>
    </row>
    <row r="2396" customFormat="false" ht="89.25" hidden="false" customHeight="false" outlineLevel="0" collapsed="false">
      <c r="A2396" s="37" t="s">
        <v>4614</v>
      </c>
      <c r="B2396" s="34" t="s">
        <v>4615</v>
      </c>
      <c r="C2396" s="34" t="s">
        <v>444</v>
      </c>
    </row>
    <row r="2397" customFormat="false" ht="89.25" hidden="false" customHeight="false" outlineLevel="0" collapsed="false">
      <c r="A2397" s="37" t="s">
        <v>4616</v>
      </c>
      <c r="B2397" s="34" t="s">
        <v>4617</v>
      </c>
      <c r="C2397" s="34" t="s">
        <v>444</v>
      </c>
    </row>
    <row r="2398" customFormat="false" ht="89.25" hidden="false" customHeight="false" outlineLevel="0" collapsed="false">
      <c r="A2398" s="37" t="s">
        <v>4618</v>
      </c>
      <c r="B2398" s="34" t="s">
        <v>4615</v>
      </c>
      <c r="C2398" s="34" t="s">
        <v>449</v>
      </c>
    </row>
    <row r="2399" customFormat="false" ht="89.25" hidden="false" customHeight="false" outlineLevel="0" collapsed="false">
      <c r="A2399" s="37" t="s">
        <v>4619</v>
      </c>
      <c r="B2399" s="34" t="s">
        <v>4620</v>
      </c>
      <c r="C2399" s="34" t="s">
        <v>449</v>
      </c>
    </row>
    <row r="2400" customFormat="false" ht="63.75" hidden="false" customHeight="false" outlineLevel="0" collapsed="false">
      <c r="A2400" s="37" t="s">
        <v>4621</v>
      </c>
      <c r="B2400" s="34" t="s">
        <v>4622</v>
      </c>
      <c r="C2400" s="34" t="s">
        <v>452</v>
      </c>
    </row>
    <row r="2401" customFormat="false" ht="25.5" hidden="false" customHeight="false" outlineLevel="0" collapsed="false">
      <c r="A2401" s="37" t="s">
        <v>4623</v>
      </c>
      <c r="B2401" s="34" t="s">
        <v>4624</v>
      </c>
      <c r="C2401" s="34" t="s">
        <v>965</v>
      </c>
    </row>
    <row r="2402" customFormat="false" ht="63.75" hidden="false" customHeight="false" outlineLevel="0" collapsed="false">
      <c r="A2402" s="37" t="s">
        <v>4625</v>
      </c>
      <c r="B2402" s="34" t="s">
        <v>4626</v>
      </c>
      <c r="C2402" s="34" t="s">
        <v>139</v>
      </c>
    </row>
    <row r="2403" customFormat="false" ht="63.75" hidden="false" customHeight="false" outlineLevel="0" collapsed="false">
      <c r="A2403" s="37" t="s">
        <v>4627</v>
      </c>
      <c r="B2403" s="34" t="s">
        <v>4628</v>
      </c>
      <c r="C2403" s="34" t="s">
        <v>139</v>
      </c>
    </row>
    <row r="2404" customFormat="false" ht="63.75" hidden="false" customHeight="false" outlineLevel="0" collapsed="false">
      <c r="A2404" s="37" t="s">
        <v>4629</v>
      </c>
      <c r="B2404" s="34" t="s">
        <v>4630</v>
      </c>
      <c r="C2404" s="34" t="s">
        <v>139</v>
      </c>
    </row>
    <row r="2405" customFormat="false" ht="63.75" hidden="false" customHeight="false" outlineLevel="0" collapsed="false">
      <c r="A2405" s="37" t="s">
        <v>4631</v>
      </c>
      <c r="B2405" s="34" t="s">
        <v>4632</v>
      </c>
      <c r="C2405" s="34" t="s">
        <v>139</v>
      </c>
    </row>
    <row r="2406" customFormat="false" ht="38.25" hidden="false" customHeight="false" outlineLevel="0" collapsed="false">
      <c r="A2406" s="37" t="s">
        <v>4633</v>
      </c>
      <c r="B2406" s="34" t="s">
        <v>4634</v>
      </c>
      <c r="C2406" s="34" t="s">
        <v>463</v>
      </c>
    </row>
    <row r="2407" customFormat="false" ht="38.25" hidden="false" customHeight="false" outlineLevel="0" collapsed="false">
      <c r="A2407" s="37" t="s">
        <v>4635</v>
      </c>
      <c r="B2407" s="34" t="s">
        <v>4636</v>
      </c>
      <c r="C2407" s="34" t="s">
        <v>466</v>
      </c>
    </row>
    <row r="2408" customFormat="false" ht="38.25" hidden="false" customHeight="false" outlineLevel="0" collapsed="false">
      <c r="A2408" s="37" t="s">
        <v>4637</v>
      </c>
      <c r="B2408" s="34" t="s">
        <v>4638</v>
      </c>
      <c r="C2408" s="34" t="s">
        <v>469</v>
      </c>
    </row>
    <row r="2409" customFormat="false" ht="38.25" hidden="false" customHeight="false" outlineLevel="0" collapsed="false">
      <c r="A2409" s="37" t="s">
        <v>4639</v>
      </c>
      <c r="B2409" s="34" t="s">
        <v>4640</v>
      </c>
      <c r="C2409" s="34" t="s">
        <v>472</v>
      </c>
    </row>
    <row r="2410" customFormat="false" ht="38.25" hidden="false" customHeight="false" outlineLevel="0" collapsed="false">
      <c r="A2410" s="37" t="s">
        <v>4641</v>
      </c>
      <c r="B2410" s="34" t="s">
        <v>4642</v>
      </c>
      <c r="C2410" s="34" t="s">
        <v>475</v>
      </c>
    </row>
    <row r="2411" customFormat="false" ht="38.25" hidden="false" customHeight="false" outlineLevel="0" collapsed="false">
      <c r="A2411" s="37" t="s">
        <v>4643</v>
      </c>
      <c r="B2411" s="34" t="s">
        <v>4644</v>
      </c>
      <c r="C2411" s="34" t="s">
        <v>478</v>
      </c>
    </row>
    <row r="2412" customFormat="false" ht="38.25" hidden="false" customHeight="false" outlineLevel="0" collapsed="false">
      <c r="A2412" s="37" t="s">
        <v>4645</v>
      </c>
      <c r="B2412" s="34" t="s">
        <v>4646</v>
      </c>
      <c r="C2412" s="34" t="s">
        <v>481</v>
      </c>
    </row>
    <row r="2413" customFormat="false" ht="38.25" hidden="false" customHeight="false" outlineLevel="0" collapsed="false">
      <c r="A2413" s="37" t="s">
        <v>4647</v>
      </c>
      <c r="B2413" s="34" t="s">
        <v>4648</v>
      </c>
      <c r="C2413" s="34" t="s">
        <v>484</v>
      </c>
    </row>
    <row r="2414" customFormat="false" ht="38.25" hidden="false" customHeight="false" outlineLevel="0" collapsed="false">
      <c r="A2414" s="37" t="s">
        <v>4649</v>
      </c>
      <c r="B2414" s="34" t="s">
        <v>4650</v>
      </c>
      <c r="C2414" s="34" t="s">
        <v>487</v>
      </c>
    </row>
    <row r="2415" customFormat="false" ht="38.25" hidden="false" customHeight="false" outlineLevel="0" collapsed="false">
      <c r="A2415" s="37" t="s">
        <v>4651</v>
      </c>
      <c r="B2415" s="34" t="s">
        <v>4652</v>
      </c>
      <c r="C2415" s="34" t="s">
        <v>490</v>
      </c>
    </row>
    <row r="2416" customFormat="false" ht="38.25" hidden="false" customHeight="false" outlineLevel="0" collapsed="false">
      <c r="A2416" s="37" t="s">
        <v>4653</v>
      </c>
      <c r="B2416" s="34" t="s">
        <v>4654</v>
      </c>
      <c r="C2416" s="34" t="s">
        <v>493</v>
      </c>
    </row>
    <row r="2417" customFormat="false" ht="38.25" hidden="false" customHeight="false" outlineLevel="0" collapsed="false">
      <c r="A2417" s="37" t="s">
        <v>4655</v>
      </c>
      <c r="B2417" s="34" t="s">
        <v>4656</v>
      </c>
      <c r="C2417" s="34" t="s">
        <v>496</v>
      </c>
    </row>
    <row r="2418" customFormat="false" ht="38.25" hidden="false" customHeight="false" outlineLevel="0" collapsed="false">
      <c r="A2418" s="37" t="s">
        <v>4657</v>
      </c>
      <c r="B2418" s="34" t="s">
        <v>4658</v>
      </c>
      <c r="C2418" s="34" t="s">
        <v>499</v>
      </c>
    </row>
    <row r="2419" customFormat="false" ht="38.25" hidden="false" customHeight="false" outlineLevel="0" collapsed="false">
      <c r="A2419" s="37" t="s">
        <v>4659</v>
      </c>
      <c r="B2419" s="34" t="s">
        <v>4660</v>
      </c>
      <c r="C2419" s="34" t="s">
        <v>502</v>
      </c>
    </row>
    <row r="2420" customFormat="false" ht="38.25" hidden="false" customHeight="false" outlineLevel="0" collapsed="false">
      <c r="A2420" s="37" t="s">
        <v>4661</v>
      </c>
      <c r="B2420" s="34" t="s">
        <v>4662</v>
      </c>
      <c r="C2420" s="34" t="s">
        <v>505</v>
      </c>
    </row>
    <row r="2421" customFormat="false" ht="51" hidden="false" customHeight="false" outlineLevel="0" collapsed="false">
      <c r="A2421" s="37" t="s">
        <v>4663</v>
      </c>
      <c r="B2421" s="34" t="s">
        <v>4664</v>
      </c>
      <c r="C2421" s="34" t="s">
        <v>508</v>
      </c>
    </row>
    <row r="2422" customFormat="false" ht="51" hidden="false" customHeight="false" outlineLevel="0" collapsed="false">
      <c r="A2422" s="37" t="s">
        <v>4665</v>
      </c>
      <c r="B2422" s="34" t="s">
        <v>4666</v>
      </c>
      <c r="C2422" s="34" t="s">
        <v>511</v>
      </c>
    </row>
    <row r="2423" customFormat="false" ht="51" hidden="false" customHeight="false" outlineLevel="0" collapsed="false">
      <c r="A2423" s="37" t="s">
        <v>4667</v>
      </c>
      <c r="B2423" s="34" t="s">
        <v>4668</v>
      </c>
      <c r="C2423" s="34" t="s">
        <v>514</v>
      </c>
    </row>
    <row r="2424" customFormat="false" ht="51" hidden="false" customHeight="false" outlineLevel="0" collapsed="false">
      <c r="A2424" s="37" t="s">
        <v>4669</v>
      </c>
      <c r="B2424" s="34" t="s">
        <v>4670</v>
      </c>
      <c r="C2424" s="34" t="s">
        <v>517</v>
      </c>
    </row>
    <row r="2425" customFormat="false" ht="51" hidden="false" customHeight="false" outlineLevel="0" collapsed="false">
      <c r="A2425" s="37" t="s">
        <v>4671</v>
      </c>
      <c r="B2425" s="34" t="s">
        <v>4672</v>
      </c>
      <c r="C2425" s="34" t="s">
        <v>517</v>
      </c>
    </row>
    <row r="2426" customFormat="false" ht="51" hidden="false" customHeight="false" outlineLevel="0" collapsed="false">
      <c r="A2426" s="37" t="s">
        <v>4673</v>
      </c>
      <c r="B2426" s="34" t="s">
        <v>4674</v>
      </c>
      <c r="C2426" s="34" t="s">
        <v>517</v>
      </c>
    </row>
    <row r="2427" customFormat="false" ht="51" hidden="false" customHeight="false" outlineLevel="0" collapsed="false">
      <c r="A2427" s="37" t="s">
        <v>4675</v>
      </c>
      <c r="B2427" s="34" t="s">
        <v>4676</v>
      </c>
      <c r="C2427" s="34" t="s">
        <v>517</v>
      </c>
    </row>
    <row r="2428" customFormat="false" ht="51" hidden="false" customHeight="false" outlineLevel="0" collapsed="false">
      <c r="A2428" s="37" t="s">
        <v>4677</v>
      </c>
      <c r="B2428" s="34" t="s">
        <v>4678</v>
      </c>
      <c r="C2428" s="34" t="s">
        <v>511</v>
      </c>
    </row>
    <row r="2429" customFormat="false" ht="51" hidden="false" customHeight="false" outlineLevel="0" collapsed="false">
      <c r="A2429" s="37" t="s">
        <v>4679</v>
      </c>
      <c r="B2429" s="34" t="s">
        <v>4680</v>
      </c>
      <c r="C2429" s="34" t="s">
        <v>511</v>
      </c>
    </row>
    <row r="2430" customFormat="false" ht="51" hidden="false" customHeight="false" outlineLevel="0" collapsed="false">
      <c r="A2430" s="37" t="s">
        <v>4681</v>
      </c>
      <c r="B2430" s="34" t="s">
        <v>4682</v>
      </c>
      <c r="C2430" s="34" t="s">
        <v>511</v>
      </c>
    </row>
    <row r="2431" customFormat="false" ht="51" hidden="false" customHeight="false" outlineLevel="0" collapsed="false">
      <c r="A2431" s="37" t="s">
        <v>4683</v>
      </c>
      <c r="B2431" s="34" t="s">
        <v>4684</v>
      </c>
      <c r="C2431" s="34" t="s">
        <v>511</v>
      </c>
    </row>
    <row r="2432" customFormat="false" ht="51" hidden="false" customHeight="false" outlineLevel="0" collapsed="false">
      <c r="A2432" s="37" t="s">
        <v>4685</v>
      </c>
      <c r="B2432" s="34" t="s">
        <v>4686</v>
      </c>
      <c r="C2432" s="34" t="s">
        <v>511</v>
      </c>
    </row>
    <row r="2433" customFormat="false" ht="51" hidden="false" customHeight="false" outlineLevel="0" collapsed="false">
      <c r="A2433" s="37" t="s">
        <v>4687</v>
      </c>
      <c r="B2433" s="34" t="s">
        <v>4688</v>
      </c>
      <c r="C2433" s="34" t="s">
        <v>511</v>
      </c>
    </row>
    <row r="2434" customFormat="false" ht="51" hidden="false" customHeight="false" outlineLevel="0" collapsed="false">
      <c r="A2434" s="37" t="s">
        <v>4689</v>
      </c>
      <c r="B2434" s="34" t="s">
        <v>4690</v>
      </c>
      <c r="C2434" s="34" t="s">
        <v>511</v>
      </c>
    </row>
    <row r="2435" customFormat="false" ht="51" hidden="false" customHeight="false" outlineLevel="0" collapsed="false">
      <c r="A2435" s="37" t="s">
        <v>4691</v>
      </c>
      <c r="B2435" s="34" t="s">
        <v>4692</v>
      </c>
      <c r="C2435" s="34" t="s">
        <v>511</v>
      </c>
    </row>
    <row r="2436" customFormat="false" ht="51" hidden="false" customHeight="false" outlineLevel="0" collapsed="false">
      <c r="A2436" s="37" t="s">
        <v>4693</v>
      </c>
      <c r="B2436" s="34" t="s">
        <v>4694</v>
      </c>
      <c r="C2436" s="34" t="s">
        <v>511</v>
      </c>
    </row>
    <row r="2437" customFormat="false" ht="51" hidden="false" customHeight="false" outlineLevel="0" collapsed="false">
      <c r="A2437" s="37" t="s">
        <v>4695</v>
      </c>
      <c r="B2437" s="34" t="s">
        <v>4696</v>
      </c>
      <c r="C2437" s="34" t="s">
        <v>511</v>
      </c>
    </row>
    <row r="2438" customFormat="false" ht="51" hidden="false" customHeight="false" outlineLevel="0" collapsed="false">
      <c r="A2438" s="37" t="s">
        <v>4697</v>
      </c>
      <c r="B2438" s="34" t="s">
        <v>4698</v>
      </c>
      <c r="C2438" s="34" t="s">
        <v>546</v>
      </c>
    </row>
    <row r="2439" customFormat="false" ht="51" hidden="false" customHeight="false" outlineLevel="0" collapsed="false">
      <c r="A2439" s="37" t="s">
        <v>4699</v>
      </c>
      <c r="B2439" s="34" t="s">
        <v>4700</v>
      </c>
      <c r="C2439" s="34" t="s">
        <v>546</v>
      </c>
    </row>
    <row r="2440" customFormat="false" ht="51" hidden="false" customHeight="false" outlineLevel="0" collapsed="false">
      <c r="A2440" s="37" t="s">
        <v>4701</v>
      </c>
      <c r="B2440" s="34" t="s">
        <v>4702</v>
      </c>
      <c r="C2440" s="34" t="s">
        <v>546</v>
      </c>
    </row>
    <row r="2441" customFormat="false" ht="51" hidden="false" customHeight="false" outlineLevel="0" collapsed="false">
      <c r="A2441" s="37" t="s">
        <v>4703</v>
      </c>
      <c r="B2441" s="34" t="s">
        <v>4704</v>
      </c>
      <c r="C2441" s="34" t="s">
        <v>546</v>
      </c>
    </row>
    <row r="2442" customFormat="false" ht="51" hidden="false" customHeight="false" outlineLevel="0" collapsed="false">
      <c r="A2442" s="37" t="s">
        <v>4705</v>
      </c>
      <c r="B2442" s="34" t="s">
        <v>4706</v>
      </c>
      <c r="C2442" s="34" t="s">
        <v>546</v>
      </c>
    </row>
    <row r="2443" customFormat="false" ht="51" hidden="false" customHeight="false" outlineLevel="0" collapsed="false">
      <c r="A2443" s="37" t="s">
        <v>4707</v>
      </c>
      <c r="B2443" s="34" t="s">
        <v>4708</v>
      </c>
      <c r="C2443" s="34" t="s">
        <v>546</v>
      </c>
    </row>
    <row r="2444" customFormat="false" ht="51" hidden="false" customHeight="false" outlineLevel="0" collapsed="false">
      <c r="A2444" s="37" t="s">
        <v>4709</v>
      </c>
      <c r="B2444" s="34" t="s">
        <v>4710</v>
      </c>
      <c r="C2444" s="34" t="s">
        <v>546</v>
      </c>
    </row>
    <row r="2445" customFormat="false" ht="63.75" hidden="false" customHeight="false" outlineLevel="0" collapsed="false">
      <c r="A2445" s="37" t="s">
        <v>4711</v>
      </c>
      <c r="B2445" s="34" t="s">
        <v>4712</v>
      </c>
      <c r="C2445" s="34" t="s">
        <v>561</v>
      </c>
    </row>
    <row r="2446" customFormat="false" ht="63.75" hidden="false" customHeight="false" outlineLevel="0" collapsed="false">
      <c r="A2446" s="37" t="s">
        <v>4713</v>
      </c>
      <c r="B2446" s="34" t="s">
        <v>4714</v>
      </c>
      <c r="C2446" s="34" t="s">
        <v>561</v>
      </c>
    </row>
    <row r="2447" customFormat="false" ht="89.25" hidden="false" customHeight="false" outlineLevel="0" collapsed="false">
      <c r="A2447" s="37" t="s">
        <v>4715</v>
      </c>
      <c r="B2447" s="34" t="s">
        <v>4716</v>
      </c>
      <c r="C2447" s="34" t="s">
        <v>566</v>
      </c>
    </row>
    <row r="2448" customFormat="false" ht="63.75" hidden="false" customHeight="false" outlineLevel="0" collapsed="false">
      <c r="A2448" s="37" t="s">
        <v>4717</v>
      </c>
      <c r="B2448" s="34" t="s">
        <v>4718</v>
      </c>
      <c r="C2448" s="34" t="s">
        <v>561</v>
      </c>
    </row>
    <row r="2449" customFormat="false" ht="63.75" hidden="false" customHeight="false" outlineLevel="0" collapsed="false">
      <c r="A2449" s="37" t="s">
        <v>4719</v>
      </c>
      <c r="B2449" s="34" t="s">
        <v>4720</v>
      </c>
      <c r="C2449" s="34" t="s">
        <v>571</v>
      </c>
    </row>
    <row r="2450" customFormat="false" ht="89.25" hidden="false" customHeight="false" outlineLevel="0" collapsed="false">
      <c r="A2450" s="37" t="s">
        <v>4721</v>
      </c>
      <c r="B2450" s="34" t="s">
        <v>4722</v>
      </c>
      <c r="C2450" s="34" t="s">
        <v>574</v>
      </c>
    </row>
    <row r="2451" customFormat="false" ht="89.25" hidden="false" customHeight="false" outlineLevel="0" collapsed="false">
      <c r="A2451" s="37" t="s">
        <v>4723</v>
      </c>
      <c r="B2451" s="34" t="s">
        <v>4724</v>
      </c>
      <c r="C2451" s="34" t="s">
        <v>574</v>
      </c>
    </row>
    <row r="2452" customFormat="false" ht="89.25" hidden="false" customHeight="false" outlineLevel="0" collapsed="false">
      <c r="A2452" s="37" t="s">
        <v>4725</v>
      </c>
      <c r="B2452" s="34" t="s">
        <v>4726</v>
      </c>
      <c r="C2452" s="34" t="s">
        <v>574</v>
      </c>
    </row>
    <row r="2453" customFormat="false" ht="89.25" hidden="false" customHeight="false" outlineLevel="0" collapsed="false">
      <c r="A2453" s="37" t="s">
        <v>4727</v>
      </c>
      <c r="B2453" s="34" t="s">
        <v>4728</v>
      </c>
      <c r="C2453" s="34" t="s">
        <v>574</v>
      </c>
    </row>
    <row r="2454" customFormat="false" ht="89.25" hidden="false" customHeight="false" outlineLevel="0" collapsed="false">
      <c r="A2454" s="37" t="s">
        <v>4729</v>
      </c>
      <c r="B2454" s="34" t="s">
        <v>4730</v>
      </c>
      <c r="C2454" s="34" t="s">
        <v>574</v>
      </c>
    </row>
    <row r="2455" customFormat="false" ht="63.75" hidden="false" customHeight="false" outlineLevel="0" collapsed="false">
      <c r="A2455" s="37" t="s">
        <v>4731</v>
      </c>
      <c r="B2455" s="34" t="s">
        <v>4732</v>
      </c>
      <c r="C2455" s="34" t="s">
        <v>585</v>
      </c>
    </row>
    <row r="2456" customFormat="false" ht="63.75" hidden="false" customHeight="false" outlineLevel="0" collapsed="false">
      <c r="A2456" s="37" t="s">
        <v>4733</v>
      </c>
      <c r="B2456" s="34" t="s">
        <v>4734</v>
      </c>
      <c r="C2456" s="34" t="s">
        <v>588</v>
      </c>
    </row>
    <row r="2457" customFormat="false" ht="51" hidden="false" customHeight="false" outlineLevel="0" collapsed="false">
      <c r="A2457" s="37" t="s">
        <v>4735</v>
      </c>
      <c r="B2457" s="34" t="s">
        <v>4736</v>
      </c>
      <c r="C2457" s="34" t="s">
        <v>546</v>
      </c>
    </row>
    <row r="2458" customFormat="false" ht="51" hidden="false" customHeight="false" outlineLevel="0" collapsed="false">
      <c r="A2458" s="37" t="s">
        <v>4737</v>
      </c>
      <c r="B2458" s="34" t="s">
        <v>4738</v>
      </c>
      <c r="C2458" s="34" t="s">
        <v>546</v>
      </c>
    </row>
    <row r="2459" customFormat="false" ht="51" hidden="false" customHeight="false" outlineLevel="0" collapsed="false">
      <c r="A2459" s="37" t="s">
        <v>4739</v>
      </c>
      <c r="B2459" s="34" t="s">
        <v>4740</v>
      </c>
      <c r="C2459" s="34" t="s">
        <v>546</v>
      </c>
    </row>
    <row r="2460" customFormat="false" ht="51" hidden="false" customHeight="false" outlineLevel="0" collapsed="false">
      <c r="A2460" s="37" t="s">
        <v>4741</v>
      </c>
      <c r="B2460" s="34" t="s">
        <v>4742</v>
      </c>
      <c r="C2460" s="34" t="s">
        <v>546</v>
      </c>
    </row>
    <row r="2461" customFormat="false" ht="51" hidden="false" customHeight="false" outlineLevel="0" collapsed="false">
      <c r="A2461" s="37" t="s">
        <v>4743</v>
      </c>
      <c r="B2461" s="34" t="s">
        <v>4744</v>
      </c>
      <c r="C2461" s="34" t="s">
        <v>546</v>
      </c>
    </row>
    <row r="2462" customFormat="false" ht="51" hidden="false" customHeight="false" outlineLevel="0" collapsed="false">
      <c r="A2462" s="37" t="s">
        <v>4745</v>
      </c>
      <c r="B2462" s="34" t="s">
        <v>4746</v>
      </c>
      <c r="C2462" s="34" t="s">
        <v>546</v>
      </c>
    </row>
    <row r="2463" customFormat="false" ht="51" hidden="false" customHeight="false" outlineLevel="0" collapsed="false">
      <c r="A2463" s="37" t="s">
        <v>4747</v>
      </c>
      <c r="B2463" s="34" t="s">
        <v>4748</v>
      </c>
      <c r="C2463" s="34" t="s">
        <v>546</v>
      </c>
    </row>
    <row r="2464" customFormat="false" ht="51" hidden="false" customHeight="false" outlineLevel="0" collapsed="false">
      <c r="A2464" s="37" t="s">
        <v>4749</v>
      </c>
      <c r="B2464" s="34" t="s">
        <v>4750</v>
      </c>
      <c r="C2464" s="34" t="s">
        <v>546</v>
      </c>
    </row>
    <row r="2465" customFormat="false" ht="51" hidden="false" customHeight="false" outlineLevel="0" collapsed="false">
      <c r="A2465" s="37" t="s">
        <v>4751</v>
      </c>
      <c r="B2465" s="34" t="s">
        <v>4752</v>
      </c>
      <c r="C2465" s="34" t="s">
        <v>546</v>
      </c>
    </row>
    <row r="2466" customFormat="false" ht="51" hidden="false" customHeight="false" outlineLevel="0" collapsed="false">
      <c r="A2466" s="37" t="s">
        <v>4753</v>
      </c>
      <c r="B2466" s="34" t="s">
        <v>4754</v>
      </c>
      <c r="C2466" s="34" t="s">
        <v>546</v>
      </c>
    </row>
    <row r="2467" customFormat="false" ht="51" hidden="false" customHeight="false" outlineLevel="0" collapsed="false">
      <c r="A2467" s="37" t="s">
        <v>4755</v>
      </c>
      <c r="B2467" s="34" t="s">
        <v>4756</v>
      </c>
      <c r="C2467" s="34" t="s">
        <v>546</v>
      </c>
    </row>
    <row r="2468" customFormat="false" ht="38.25" hidden="false" customHeight="false" outlineLevel="0" collapsed="false">
      <c r="A2468" s="37" t="s">
        <v>4757</v>
      </c>
      <c r="B2468" s="34" t="s">
        <v>4758</v>
      </c>
      <c r="C2468" s="34" t="s">
        <v>613</v>
      </c>
    </row>
    <row r="2469" customFormat="false" ht="51" hidden="false" customHeight="false" outlineLevel="0" collapsed="false">
      <c r="A2469" s="37" t="s">
        <v>4759</v>
      </c>
      <c r="B2469" s="34" t="s">
        <v>4760</v>
      </c>
      <c r="C2469" s="34" t="s">
        <v>546</v>
      </c>
    </row>
    <row r="2470" customFormat="false" ht="51" hidden="false" customHeight="false" outlineLevel="0" collapsed="false">
      <c r="A2470" s="37" t="s">
        <v>4761</v>
      </c>
      <c r="B2470" s="34" t="s">
        <v>4762</v>
      </c>
      <c r="C2470" s="34" t="s">
        <v>546</v>
      </c>
    </row>
    <row r="2471" customFormat="false" ht="51" hidden="false" customHeight="false" outlineLevel="0" collapsed="false">
      <c r="A2471" s="37" t="s">
        <v>4763</v>
      </c>
      <c r="B2471" s="34" t="s">
        <v>4764</v>
      </c>
      <c r="C2471" s="34" t="s">
        <v>546</v>
      </c>
    </row>
    <row r="2472" customFormat="false" ht="51" hidden="false" customHeight="false" outlineLevel="0" collapsed="false">
      <c r="A2472" s="37" t="s">
        <v>4765</v>
      </c>
      <c r="B2472" s="34" t="s">
        <v>4766</v>
      </c>
      <c r="C2472" s="34" t="s">
        <v>546</v>
      </c>
    </row>
    <row r="2473" customFormat="false" ht="51" hidden="false" customHeight="false" outlineLevel="0" collapsed="false">
      <c r="A2473" s="37" t="s">
        <v>4767</v>
      </c>
      <c r="B2473" s="34" t="s">
        <v>4768</v>
      </c>
      <c r="C2473" s="34" t="s">
        <v>546</v>
      </c>
    </row>
    <row r="2474" customFormat="false" ht="38.25" hidden="false" customHeight="false" outlineLevel="0" collapsed="false">
      <c r="A2474" s="37" t="s">
        <v>4769</v>
      </c>
      <c r="B2474" s="34" t="s">
        <v>4770</v>
      </c>
      <c r="C2474" s="34" t="s">
        <v>613</v>
      </c>
    </row>
    <row r="2475" customFormat="false" ht="51" hidden="false" customHeight="false" outlineLevel="0" collapsed="false">
      <c r="A2475" s="37" t="s">
        <v>4771</v>
      </c>
      <c r="B2475" s="34" t="s">
        <v>4772</v>
      </c>
      <c r="C2475" s="34" t="s">
        <v>546</v>
      </c>
    </row>
    <row r="2476" customFormat="false" ht="51" hidden="false" customHeight="false" outlineLevel="0" collapsed="false">
      <c r="A2476" s="37" t="s">
        <v>4773</v>
      </c>
      <c r="B2476" s="34" t="s">
        <v>4774</v>
      </c>
      <c r="C2476" s="34" t="s">
        <v>546</v>
      </c>
    </row>
    <row r="2477" customFormat="false" ht="51" hidden="false" customHeight="false" outlineLevel="0" collapsed="false">
      <c r="A2477" s="37" t="s">
        <v>4775</v>
      </c>
      <c r="B2477" s="34" t="s">
        <v>4776</v>
      </c>
      <c r="C2477" s="34" t="s">
        <v>546</v>
      </c>
    </row>
    <row r="2478" customFormat="false" ht="25.5" hidden="false" customHeight="false" outlineLevel="0" collapsed="false">
      <c r="A2478" s="37" t="s">
        <v>4777</v>
      </c>
      <c r="B2478" s="34" t="s">
        <v>4778</v>
      </c>
      <c r="C2478" s="34" t="s">
        <v>634</v>
      </c>
    </row>
    <row r="2479" customFormat="false" ht="25.5" hidden="false" customHeight="false" outlineLevel="0" collapsed="false">
      <c r="A2479" s="37" t="s">
        <v>4779</v>
      </c>
      <c r="B2479" s="34" t="s">
        <v>4780</v>
      </c>
      <c r="C2479" s="34" t="s">
        <v>637</v>
      </c>
    </row>
    <row r="2480" customFormat="false" ht="51" hidden="false" customHeight="false" outlineLevel="0" collapsed="false">
      <c r="A2480" s="37" t="s">
        <v>4781</v>
      </c>
      <c r="B2480" s="34" t="s">
        <v>4782</v>
      </c>
      <c r="C2480" s="34" t="s">
        <v>546</v>
      </c>
    </row>
    <row r="2481" customFormat="false" ht="51" hidden="false" customHeight="false" outlineLevel="0" collapsed="false">
      <c r="A2481" s="37" t="s">
        <v>4783</v>
      </c>
      <c r="B2481" s="34" t="s">
        <v>4784</v>
      </c>
      <c r="C2481" s="34" t="s">
        <v>546</v>
      </c>
    </row>
    <row r="2482" customFormat="false" ht="51" hidden="false" customHeight="false" outlineLevel="0" collapsed="false">
      <c r="A2482" s="37" t="s">
        <v>4785</v>
      </c>
      <c r="B2482" s="34" t="s">
        <v>4786</v>
      </c>
      <c r="C2482" s="34" t="s">
        <v>546</v>
      </c>
    </row>
    <row r="2483" customFormat="false" ht="63.75" hidden="false" customHeight="false" outlineLevel="0" collapsed="false">
      <c r="A2483" s="37" t="s">
        <v>4787</v>
      </c>
      <c r="B2483" s="34" t="s">
        <v>4788</v>
      </c>
      <c r="C2483" s="34" t="s">
        <v>139</v>
      </c>
    </row>
    <row r="2484" customFormat="false" ht="63.75" hidden="false" customHeight="false" outlineLevel="0" collapsed="false">
      <c r="A2484" s="37" t="s">
        <v>4789</v>
      </c>
      <c r="B2484" s="34" t="s">
        <v>4790</v>
      </c>
      <c r="C2484" s="34" t="s">
        <v>139</v>
      </c>
    </row>
    <row r="2485" customFormat="false" ht="63.75" hidden="false" customHeight="false" outlineLevel="0" collapsed="false">
      <c r="A2485" s="37" t="s">
        <v>4791</v>
      </c>
      <c r="B2485" s="34" t="s">
        <v>4792</v>
      </c>
      <c r="C2485" s="34" t="s">
        <v>139</v>
      </c>
    </row>
    <row r="2486" customFormat="false" ht="63.75" hidden="false" customHeight="false" outlineLevel="0" collapsed="false">
      <c r="A2486" s="37" t="s">
        <v>4793</v>
      </c>
      <c r="B2486" s="34" t="s">
        <v>4794</v>
      </c>
      <c r="C2486" s="34" t="s">
        <v>139</v>
      </c>
    </row>
    <row r="2487" customFormat="false" ht="63.75" hidden="false" customHeight="false" outlineLevel="0" collapsed="false">
      <c r="A2487" s="37" t="s">
        <v>4795</v>
      </c>
      <c r="B2487" s="34" t="s">
        <v>4796</v>
      </c>
      <c r="C2487" s="34" t="s">
        <v>139</v>
      </c>
    </row>
    <row r="2488" customFormat="false" ht="63.75" hidden="false" customHeight="false" outlineLevel="0" collapsed="false">
      <c r="A2488" s="37" t="s">
        <v>4797</v>
      </c>
      <c r="B2488" s="34" t="s">
        <v>4798</v>
      </c>
      <c r="C2488" s="34" t="s">
        <v>139</v>
      </c>
    </row>
    <row r="2489" customFormat="false" ht="63.75" hidden="false" customHeight="false" outlineLevel="0" collapsed="false">
      <c r="A2489" s="37" t="s">
        <v>4799</v>
      </c>
      <c r="B2489" s="34" t="s">
        <v>4800</v>
      </c>
      <c r="C2489" s="34" t="s">
        <v>139</v>
      </c>
    </row>
    <row r="2490" customFormat="false" ht="63.75" hidden="false" customHeight="false" outlineLevel="0" collapsed="false">
      <c r="A2490" s="37" t="s">
        <v>4801</v>
      </c>
      <c r="B2490" s="34" t="s">
        <v>4802</v>
      </c>
      <c r="C2490" s="34" t="s">
        <v>139</v>
      </c>
    </row>
    <row r="2491" customFormat="false" ht="63.75" hidden="false" customHeight="false" outlineLevel="0" collapsed="false">
      <c r="A2491" s="37" t="s">
        <v>4803</v>
      </c>
      <c r="B2491" s="34" t="s">
        <v>4804</v>
      </c>
      <c r="C2491" s="34" t="s">
        <v>139</v>
      </c>
    </row>
    <row r="2492" customFormat="false" ht="102" hidden="false" customHeight="false" outlineLevel="0" collapsed="false">
      <c r="A2492" s="37" t="n">
        <v>5791300</v>
      </c>
      <c r="B2492" s="34" t="s">
        <v>4805</v>
      </c>
      <c r="C2492" s="34" t="s">
        <v>2216</v>
      </c>
    </row>
    <row r="2493" customFormat="false" ht="102" hidden="false" customHeight="false" outlineLevel="0" collapsed="false">
      <c r="A2493" s="37" t="n">
        <v>5791500</v>
      </c>
      <c r="B2493" s="34" t="s">
        <v>4806</v>
      </c>
      <c r="C2493" s="34" t="s">
        <v>2216</v>
      </c>
    </row>
    <row r="2494" customFormat="false" ht="89.25" hidden="false" customHeight="false" outlineLevel="0" collapsed="false">
      <c r="A2494" s="37" t="s">
        <v>4807</v>
      </c>
      <c r="B2494" s="34" t="s">
        <v>4808</v>
      </c>
      <c r="C2494" s="34" t="s">
        <v>1450</v>
      </c>
    </row>
    <row r="2495" customFormat="false" ht="76.5" hidden="false" customHeight="false" outlineLevel="0" collapsed="false">
      <c r="A2495" s="37" t="s">
        <v>4809</v>
      </c>
      <c r="B2495" s="34" t="s">
        <v>4810</v>
      </c>
      <c r="C2495" s="34" t="s">
        <v>2222</v>
      </c>
    </row>
    <row r="2496" customFormat="false" ht="102" hidden="false" customHeight="false" outlineLevel="0" collapsed="false">
      <c r="A2496" s="37" t="s">
        <v>4811</v>
      </c>
      <c r="B2496" s="34" t="s">
        <v>4812</v>
      </c>
      <c r="C2496" s="34" t="s">
        <v>97</v>
      </c>
    </row>
    <row r="2497" customFormat="false" ht="102" hidden="false" customHeight="false" outlineLevel="0" collapsed="false">
      <c r="A2497" s="37" t="s">
        <v>4813</v>
      </c>
      <c r="B2497" s="34" t="s">
        <v>4814</v>
      </c>
      <c r="C2497" s="34" t="s">
        <v>97</v>
      </c>
    </row>
    <row r="2498" customFormat="false" ht="102" hidden="false" customHeight="false" outlineLevel="0" collapsed="false">
      <c r="A2498" s="37" t="s">
        <v>4815</v>
      </c>
      <c r="B2498" s="34" t="s">
        <v>4816</v>
      </c>
      <c r="C2498" s="34" t="s">
        <v>887</v>
      </c>
    </row>
    <row r="2499" customFormat="false" ht="114.75" hidden="false" customHeight="false" outlineLevel="0" collapsed="false">
      <c r="A2499" s="37" t="s">
        <v>4817</v>
      </c>
      <c r="B2499" s="34" t="s">
        <v>4818</v>
      </c>
      <c r="C2499" s="34" t="s">
        <v>849</v>
      </c>
    </row>
    <row r="2500" customFormat="false" ht="89.25" hidden="false" customHeight="false" outlineLevel="0" collapsed="false">
      <c r="A2500" s="37" t="s">
        <v>4819</v>
      </c>
      <c r="B2500" s="34" t="s">
        <v>4820</v>
      </c>
      <c r="C2500" s="34" t="s">
        <v>891</v>
      </c>
    </row>
    <row r="2501" customFormat="false" ht="114.75" hidden="false" customHeight="false" outlineLevel="0" collapsed="false">
      <c r="A2501" s="37" t="s">
        <v>4821</v>
      </c>
      <c r="B2501" s="34" t="s">
        <v>4822</v>
      </c>
      <c r="C2501" s="34" t="s">
        <v>849</v>
      </c>
    </row>
    <row r="2502" customFormat="false" ht="114.75" hidden="false" customHeight="false" outlineLevel="0" collapsed="false">
      <c r="A2502" s="37" t="s">
        <v>4821</v>
      </c>
      <c r="B2502" s="34" t="s">
        <v>4822</v>
      </c>
      <c r="C2502" s="34" t="s">
        <v>2241</v>
      </c>
    </row>
    <row r="2503" customFormat="false" ht="76.5" hidden="false" customHeight="false" outlineLevel="0" collapsed="false">
      <c r="A2503" s="37" t="s">
        <v>4823</v>
      </c>
      <c r="B2503" s="34" t="s">
        <v>4824</v>
      </c>
      <c r="C2503" s="34" t="s">
        <v>108</v>
      </c>
    </row>
    <row r="2504" customFormat="false" ht="89.25" hidden="false" customHeight="false" outlineLevel="0" collapsed="false">
      <c r="A2504" s="37" t="s">
        <v>4825</v>
      </c>
      <c r="B2504" s="34" t="s">
        <v>4826</v>
      </c>
      <c r="C2504" s="34" t="s">
        <v>871</v>
      </c>
    </row>
    <row r="2505" customFormat="false" ht="102" hidden="false" customHeight="false" outlineLevel="0" collapsed="false">
      <c r="A2505" s="37" t="s">
        <v>4827</v>
      </c>
      <c r="B2505" s="34" t="s">
        <v>4828</v>
      </c>
      <c r="C2505" s="34" t="s">
        <v>783</v>
      </c>
    </row>
    <row r="2506" customFormat="false" ht="89.25" hidden="false" customHeight="false" outlineLevel="0" collapsed="false">
      <c r="A2506" s="37" t="s">
        <v>4829</v>
      </c>
      <c r="B2506" s="34" t="s">
        <v>4830</v>
      </c>
      <c r="C2506" s="34" t="s">
        <v>858</v>
      </c>
    </row>
    <row r="2507" customFormat="false" ht="89.25" hidden="false" customHeight="false" outlineLevel="0" collapsed="false">
      <c r="A2507" s="37" t="s">
        <v>4831</v>
      </c>
      <c r="B2507" s="34" t="s">
        <v>4832</v>
      </c>
      <c r="C2507" s="34" t="s">
        <v>902</v>
      </c>
    </row>
    <row r="2508" customFormat="false" ht="89.25" hidden="false" customHeight="false" outlineLevel="0" collapsed="false">
      <c r="A2508" s="37" t="s">
        <v>4833</v>
      </c>
      <c r="B2508" s="34" t="s">
        <v>4834</v>
      </c>
      <c r="C2508" s="34" t="s">
        <v>902</v>
      </c>
    </row>
    <row r="2509" customFormat="false" ht="89.25" hidden="false" customHeight="false" outlineLevel="0" collapsed="false">
      <c r="A2509" s="37" t="s">
        <v>4835</v>
      </c>
      <c r="B2509" s="34" t="s">
        <v>4836</v>
      </c>
      <c r="C2509" s="34" t="s">
        <v>122</v>
      </c>
    </row>
    <row r="2510" customFormat="false" ht="89.25" hidden="false" customHeight="false" outlineLevel="0" collapsed="false">
      <c r="A2510" s="37" t="s">
        <v>4837</v>
      </c>
      <c r="B2510" s="34" t="s">
        <v>4838</v>
      </c>
      <c r="C2510" s="34" t="s">
        <v>874</v>
      </c>
    </row>
    <row r="2511" customFormat="false" ht="89.25" hidden="false" customHeight="false" outlineLevel="0" collapsed="false">
      <c r="A2511" s="37" t="s">
        <v>4839</v>
      </c>
      <c r="B2511" s="34" t="s">
        <v>4840</v>
      </c>
      <c r="C2511" s="34" t="s">
        <v>874</v>
      </c>
    </row>
    <row r="2512" customFormat="false" ht="89.25" hidden="false" customHeight="false" outlineLevel="0" collapsed="false">
      <c r="A2512" s="37" t="s">
        <v>4841</v>
      </c>
      <c r="B2512" s="34" t="s">
        <v>4842</v>
      </c>
      <c r="C2512" s="34" t="s">
        <v>874</v>
      </c>
    </row>
    <row r="2513" customFormat="false" ht="89.25" hidden="false" customHeight="false" outlineLevel="0" collapsed="false">
      <c r="A2513" s="37" t="s">
        <v>4843</v>
      </c>
      <c r="B2513" s="34" t="s">
        <v>4844</v>
      </c>
      <c r="C2513" s="34" t="s">
        <v>874</v>
      </c>
    </row>
    <row r="2514" customFormat="false" ht="102" hidden="false" customHeight="false" outlineLevel="0" collapsed="false">
      <c r="A2514" s="37" t="s">
        <v>4845</v>
      </c>
      <c r="B2514" s="34" t="s">
        <v>4846</v>
      </c>
      <c r="C2514" s="34" t="s">
        <v>883</v>
      </c>
    </row>
    <row r="2515" customFormat="false" ht="63.75" hidden="false" customHeight="false" outlineLevel="0" collapsed="false">
      <c r="A2515" s="37" t="s">
        <v>4847</v>
      </c>
      <c r="B2515" s="34" t="s">
        <v>4848</v>
      </c>
      <c r="C2515" s="34" t="s">
        <v>1033</v>
      </c>
    </row>
    <row r="2516" customFormat="false" ht="38.25" hidden="false" customHeight="false" outlineLevel="0" collapsed="false">
      <c r="A2516" s="37" t="s">
        <v>4849</v>
      </c>
      <c r="B2516" s="34" t="s">
        <v>4850</v>
      </c>
      <c r="C2516" s="34" t="s">
        <v>687</v>
      </c>
    </row>
    <row r="2517" customFormat="false" ht="51" hidden="false" customHeight="false" outlineLevel="0" collapsed="false">
      <c r="A2517" s="37" t="s">
        <v>4851</v>
      </c>
      <c r="B2517" s="34" t="s">
        <v>4852</v>
      </c>
      <c r="C2517" s="34" t="s">
        <v>1038</v>
      </c>
    </row>
    <row r="2518" customFormat="false" ht="38.25" hidden="false" customHeight="false" outlineLevel="0" collapsed="false">
      <c r="A2518" s="37" t="s">
        <v>4853</v>
      </c>
      <c r="B2518" s="34" t="s">
        <v>4854</v>
      </c>
      <c r="C2518" s="34" t="s">
        <v>1041</v>
      </c>
    </row>
    <row r="2519" customFormat="false" ht="51" hidden="false" customHeight="false" outlineLevel="0" collapsed="false">
      <c r="A2519" s="37" t="s">
        <v>4855</v>
      </c>
      <c r="B2519" s="34" t="s">
        <v>4856</v>
      </c>
      <c r="C2519" s="34" t="s">
        <v>696</v>
      </c>
    </row>
    <row r="2520" customFormat="false" ht="51" hidden="false" customHeight="false" outlineLevel="0" collapsed="false">
      <c r="A2520" s="37" t="s">
        <v>4857</v>
      </c>
      <c r="B2520" s="34" t="s">
        <v>4858</v>
      </c>
      <c r="C2520" s="34" t="s">
        <v>1050</v>
      </c>
    </row>
    <row r="2521" customFormat="false" ht="89.25" hidden="false" customHeight="false" outlineLevel="0" collapsed="false">
      <c r="A2521" s="37" t="s">
        <v>4859</v>
      </c>
      <c r="B2521" s="34" t="s">
        <v>4860</v>
      </c>
      <c r="C2521" s="34" t="s">
        <v>702</v>
      </c>
    </row>
    <row r="2522" customFormat="false" ht="89.25" hidden="false" customHeight="false" outlineLevel="0" collapsed="false">
      <c r="A2522" s="37" t="s">
        <v>4861</v>
      </c>
      <c r="B2522" s="34" t="s">
        <v>4862</v>
      </c>
      <c r="C2522" s="34" t="s">
        <v>702</v>
      </c>
    </row>
    <row r="2523" customFormat="false" ht="38.25" hidden="false" customHeight="false" outlineLevel="0" collapsed="false">
      <c r="A2523" s="37" t="s">
        <v>4863</v>
      </c>
      <c r="B2523" s="34" t="s">
        <v>4864</v>
      </c>
      <c r="C2523" s="34" t="s">
        <v>707</v>
      </c>
    </row>
    <row r="2524" customFormat="false" ht="89.25" hidden="false" customHeight="false" outlineLevel="0" collapsed="false">
      <c r="A2524" s="37" t="s">
        <v>4865</v>
      </c>
      <c r="B2524" s="34" t="s">
        <v>4866</v>
      </c>
      <c r="C2524" s="34" t="s">
        <v>1450</v>
      </c>
    </row>
    <row r="2525" customFormat="false" ht="102" hidden="false" customHeight="false" outlineLevel="0" collapsed="false">
      <c r="A2525" s="37" t="s">
        <v>4867</v>
      </c>
      <c r="B2525" s="34" t="s">
        <v>4868</v>
      </c>
      <c r="C2525" s="34" t="s">
        <v>1453</v>
      </c>
    </row>
    <row r="2526" customFormat="false" ht="76.5" hidden="false" customHeight="false" outlineLevel="0" collapsed="false">
      <c r="A2526" s="37" t="s">
        <v>4869</v>
      </c>
      <c r="B2526" s="34" t="s">
        <v>4870</v>
      </c>
      <c r="C2526" s="34" t="s">
        <v>719</v>
      </c>
    </row>
    <row r="2527" customFormat="false" ht="63.75" hidden="false" customHeight="false" outlineLevel="0" collapsed="false">
      <c r="A2527" s="37" t="s">
        <v>4871</v>
      </c>
      <c r="B2527" s="34" t="s">
        <v>4872</v>
      </c>
      <c r="C2527" s="34" t="s">
        <v>1458</v>
      </c>
    </row>
    <row r="2528" customFormat="false" ht="76.5" hidden="false" customHeight="false" outlineLevel="0" collapsed="false">
      <c r="A2528" s="37" t="s">
        <v>4873</v>
      </c>
      <c r="B2528" s="34" t="s">
        <v>4874</v>
      </c>
      <c r="C2528" s="34" t="s">
        <v>2297</v>
      </c>
    </row>
    <row r="2529" customFormat="false" ht="76.5" hidden="false" customHeight="false" outlineLevel="0" collapsed="false">
      <c r="A2529" s="37" t="s">
        <v>4875</v>
      </c>
      <c r="B2529" s="34" t="s">
        <v>4876</v>
      </c>
      <c r="C2529" s="34" t="s">
        <v>2297</v>
      </c>
    </row>
    <row r="2530" customFormat="false" ht="76.5" hidden="false" customHeight="false" outlineLevel="0" collapsed="false">
      <c r="A2530" s="37" t="s">
        <v>4877</v>
      </c>
      <c r="B2530" s="34" t="s">
        <v>4878</v>
      </c>
      <c r="C2530" s="34" t="s">
        <v>2297</v>
      </c>
    </row>
    <row r="2531" customFormat="false" ht="76.5" hidden="false" customHeight="false" outlineLevel="0" collapsed="false">
      <c r="A2531" s="37" t="s">
        <v>4879</v>
      </c>
      <c r="B2531" s="34" t="s">
        <v>4880</v>
      </c>
      <c r="C2531" s="34" t="s">
        <v>2297</v>
      </c>
    </row>
    <row r="2532" customFormat="false" ht="63.75" hidden="false" customHeight="false" outlineLevel="0" collapsed="false">
      <c r="A2532" s="37" t="s">
        <v>4881</v>
      </c>
      <c r="B2532" s="34" t="s">
        <v>4882</v>
      </c>
      <c r="C2532" s="34" t="s">
        <v>139</v>
      </c>
    </row>
    <row r="2533" customFormat="false" ht="63.75" hidden="false" customHeight="false" outlineLevel="0" collapsed="false">
      <c r="A2533" s="37" t="s">
        <v>4883</v>
      </c>
      <c r="B2533" s="34" t="s">
        <v>4884</v>
      </c>
      <c r="C2533" s="34" t="s">
        <v>139</v>
      </c>
    </row>
    <row r="2534" customFormat="false" ht="63.75" hidden="false" customHeight="false" outlineLevel="0" collapsed="false">
      <c r="A2534" s="37" t="s">
        <v>4885</v>
      </c>
      <c r="B2534" s="34" t="s">
        <v>4886</v>
      </c>
      <c r="C2534" s="34" t="s">
        <v>139</v>
      </c>
    </row>
    <row r="2535" customFormat="false" ht="63.75" hidden="false" customHeight="false" outlineLevel="0" collapsed="false">
      <c r="A2535" s="37" t="s">
        <v>4887</v>
      </c>
      <c r="B2535" s="34" t="s">
        <v>4888</v>
      </c>
      <c r="C2535" s="34" t="s">
        <v>139</v>
      </c>
    </row>
    <row r="2536" customFormat="false" ht="63.75" hidden="false" customHeight="false" outlineLevel="0" collapsed="false">
      <c r="A2536" s="37" t="s">
        <v>4887</v>
      </c>
      <c r="B2536" s="34" t="s">
        <v>4888</v>
      </c>
      <c r="C2536" s="34" t="s">
        <v>142</v>
      </c>
    </row>
    <row r="2537" customFormat="false" ht="63.75" hidden="false" customHeight="false" outlineLevel="0" collapsed="false">
      <c r="A2537" s="37" t="s">
        <v>4889</v>
      </c>
      <c r="B2537" s="34" t="s">
        <v>4890</v>
      </c>
      <c r="C2537" s="34" t="s">
        <v>965</v>
      </c>
    </row>
    <row r="2538" customFormat="false" ht="76.5" hidden="false" customHeight="false" outlineLevel="0" collapsed="false">
      <c r="A2538" s="37" t="s">
        <v>4891</v>
      </c>
      <c r="B2538" s="34" t="s">
        <v>4892</v>
      </c>
      <c r="C2538" s="34" t="s">
        <v>4893</v>
      </c>
    </row>
    <row r="2539" customFormat="false" ht="38.25" hidden="false" customHeight="false" outlineLevel="0" collapsed="false">
      <c r="A2539" s="37" t="s">
        <v>4894</v>
      </c>
      <c r="B2539" s="34" t="s">
        <v>4895</v>
      </c>
      <c r="C2539" s="34" t="s">
        <v>965</v>
      </c>
    </row>
    <row r="2540" customFormat="false" ht="63.75" hidden="false" customHeight="false" outlineLevel="0" collapsed="false">
      <c r="A2540" s="37" t="s">
        <v>4896</v>
      </c>
      <c r="B2540" s="34" t="s">
        <v>4897</v>
      </c>
      <c r="C2540" s="34" t="s">
        <v>965</v>
      </c>
    </row>
    <row r="2541" customFormat="false" ht="63.75" hidden="false" customHeight="false" outlineLevel="0" collapsed="false">
      <c r="A2541" s="37" t="s">
        <v>4898</v>
      </c>
      <c r="B2541" s="34" t="s">
        <v>4899</v>
      </c>
      <c r="C2541" s="34" t="s">
        <v>139</v>
      </c>
    </row>
    <row r="2542" customFormat="false" ht="63.75" hidden="false" customHeight="false" outlineLevel="0" collapsed="false">
      <c r="A2542" s="37" t="s">
        <v>4900</v>
      </c>
      <c r="B2542" s="34" t="s">
        <v>4901</v>
      </c>
      <c r="C2542" s="34" t="s">
        <v>139</v>
      </c>
    </row>
    <row r="2543" customFormat="false" ht="63.75" hidden="false" customHeight="false" outlineLevel="0" collapsed="false">
      <c r="A2543" s="37" t="s">
        <v>4902</v>
      </c>
      <c r="B2543" s="34" t="s">
        <v>4903</v>
      </c>
      <c r="C2543" s="34" t="s">
        <v>139</v>
      </c>
    </row>
    <row r="2544" customFormat="false" ht="63.75" hidden="false" customHeight="false" outlineLevel="0" collapsed="false">
      <c r="A2544" s="37" t="s">
        <v>4904</v>
      </c>
      <c r="B2544" s="34" t="s">
        <v>4905</v>
      </c>
      <c r="C2544" s="34" t="s">
        <v>139</v>
      </c>
    </row>
    <row r="2545" customFormat="false" ht="63.75" hidden="false" customHeight="false" outlineLevel="0" collapsed="false">
      <c r="A2545" s="37" t="s">
        <v>4906</v>
      </c>
      <c r="B2545" s="34" t="s">
        <v>4907</v>
      </c>
      <c r="C2545" s="34" t="s">
        <v>139</v>
      </c>
    </row>
    <row r="2546" customFormat="false" ht="63.75" hidden="false" customHeight="false" outlineLevel="0" collapsed="false">
      <c r="A2546" s="37" t="s">
        <v>4908</v>
      </c>
      <c r="B2546" s="34" t="s">
        <v>4909</v>
      </c>
      <c r="C2546" s="34" t="s">
        <v>139</v>
      </c>
    </row>
    <row r="2547" customFormat="false" ht="63.75" hidden="false" customHeight="false" outlineLevel="0" collapsed="false">
      <c r="A2547" s="37" t="s">
        <v>4910</v>
      </c>
      <c r="B2547" s="34" t="s">
        <v>4911</v>
      </c>
      <c r="C2547" s="34" t="s">
        <v>139</v>
      </c>
    </row>
    <row r="2548" customFormat="false" ht="63.75" hidden="false" customHeight="false" outlineLevel="0" collapsed="false">
      <c r="A2548" s="37" t="s">
        <v>4912</v>
      </c>
      <c r="B2548" s="34" t="s">
        <v>4794</v>
      </c>
      <c r="C2548" s="34" t="s">
        <v>139</v>
      </c>
    </row>
    <row r="2549" customFormat="false" ht="63.75" hidden="false" customHeight="false" outlineLevel="0" collapsed="false">
      <c r="A2549" s="37" t="s">
        <v>4913</v>
      </c>
      <c r="B2549" s="34" t="s">
        <v>4914</v>
      </c>
      <c r="C2549" s="34" t="s">
        <v>139</v>
      </c>
    </row>
    <row r="2550" customFormat="false" ht="38.25" hidden="false" customHeight="false" outlineLevel="0" collapsed="false">
      <c r="A2550" s="37" t="s">
        <v>4915</v>
      </c>
      <c r="B2550" s="34" t="s">
        <v>4916</v>
      </c>
      <c r="C2550" s="34" t="s">
        <v>965</v>
      </c>
    </row>
    <row r="2551" customFormat="false" ht="51" hidden="false" customHeight="false" outlineLevel="0" collapsed="false">
      <c r="A2551" s="37" t="s">
        <v>4917</v>
      </c>
      <c r="B2551" s="34" t="s">
        <v>4918</v>
      </c>
      <c r="C2551" s="34" t="s">
        <v>965</v>
      </c>
    </row>
    <row r="2552" customFormat="false" ht="38.25" hidden="false" customHeight="false" outlineLevel="0" collapsed="false">
      <c r="A2552" s="37" t="s">
        <v>4919</v>
      </c>
      <c r="B2552" s="34" t="s">
        <v>4920</v>
      </c>
      <c r="C2552" s="34" t="s">
        <v>965</v>
      </c>
    </row>
    <row r="2553" customFormat="false" ht="25.5" hidden="false" customHeight="false" outlineLevel="0" collapsed="false">
      <c r="A2553" s="37" t="s">
        <v>4921</v>
      </c>
      <c r="B2553" s="34" t="s">
        <v>4922</v>
      </c>
      <c r="C2553" s="34" t="s">
        <v>965</v>
      </c>
    </row>
    <row r="2554" customFormat="false" ht="25.5" hidden="false" customHeight="false" outlineLevel="0" collapsed="false">
      <c r="A2554" s="37" t="s">
        <v>4923</v>
      </c>
      <c r="B2554" s="34" t="s">
        <v>4924</v>
      </c>
      <c r="C2554" s="34" t="s">
        <v>965</v>
      </c>
    </row>
    <row r="2555" customFormat="false" ht="25.5" hidden="false" customHeight="false" outlineLevel="0" collapsed="false">
      <c r="A2555" s="37" t="s">
        <v>4925</v>
      </c>
      <c r="B2555" s="34" t="s">
        <v>4926</v>
      </c>
      <c r="C2555" s="34" t="s">
        <v>965</v>
      </c>
    </row>
    <row r="2556" customFormat="false" ht="25.5" hidden="false" customHeight="false" outlineLevel="0" collapsed="false">
      <c r="A2556" s="37" t="s">
        <v>4927</v>
      </c>
      <c r="B2556" s="34" t="s">
        <v>4928</v>
      </c>
      <c r="C2556" s="34" t="s">
        <v>965</v>
      </c>
    </row>
    <row r="2557" customFormat="false" ht="25.5" hidden="false" customHeight="false" outlineLevel="0" collapsed="false">
      <c r="A2557" s="37" t="s">
        <v>4929</v>
      </c>
      <c r="B2557" s="34" t="s">
        <v>4930</v>
      </c>
      <c r="C2557" s="34" t="s">
        <v>965</v>
      </c>
    </row>
    <row r="2558" customFormat="false" ht="51" hidden="false" customHeight="false" outlineLevel="0" collapsed="false">
      <c r="A2558" s="37" t="s">
        <v>4931</v>
      </c>
      <c r="B2558" s="34" t="s">
        <v>4932</v>
      </c>
      <c r="C2558" s="34" t="s">
        <v>965</v>
      </c>
    </row>
    <row r="2559" customFormat="false" ht="38.25" hidden="false" customHeight="false" outlineLevel="0" collapsed="false">
      <c r="A2559" s="37" t="s">
        <v>4933</v>
      </c>
      <c r="B2559" s="34" t="s">
        <v>4934</v>
      </c>
      <c r="C2559" s="34" t="s">
        <v>965</v>
      </c>
    </row>
    <row r="2560" customFormat="false" ht="63.75" hidden="false" customHeight="false" outlineLevel="0" collapsed="false">
      <c r="A2560" s="37" t="s">
        <v>4935</v>
      </c>
      <c r="B2560" s="34" t="s">
        <v>4936</v>
      </c>
      <c r="C2560" s="34" t="s">
        <v>2365</v>
      </c>
    </row>
    <row r="2561" customFormat="false" ht="63.75" hidden="false" customHeight="false" outlineLevel="0" collapsed="false">
      <c r="A2561" s="37" t="s">
        <v>4937</v>
      </c>
      <c r="B2561" s="34" t="s">
        <v>4938</v>
      </c>
      <c r="C2561" s="34" t="s">
        <v>2365</v>
      </c>
    </row>
    <row r="2562" customFormat="false" ht="63.75" hidden="false" customHeight="false" outlineLevel="0" collapsed="false">
      <c r="A2562" s="37" t="s">
        <v>4939</v>
      </c>
      <c r="B2562" s="34" t="s">
        <v>4940</v>
      </c>
      <c r="C2562" s="34" t="s">
        <v>2365</v>
      </c>
    </row>
    <row r="2563" customFormat="false" ht="63.75" hidden="false" customHeight="false" outlineLevel="0" collapsed="false">
      <c r="A2563" s="37" t="s">
        <v>4941</v>
      </c>
      <c r="B2563" s="34" t="s">
        <v>4942</v>
      </c>
      <c r="C2563" s="34" t="s">
        <v>2365</v>
      </c>
    </row>
    <row r="2564" customFormat="false" ht="63.75" hidden="false" customHeight="false" outlineLevel="0" collapsed="false">
      <c r="A2564" s="37" t="s">
        <v>4943</v>
      </c>
      <c r="B2564" s="34" t="s">
        <v>4944</v>
      </c>
      <c r="C2564" s="34" t="s">
        <v>2365</v>
      </c>
    </row>
    <row r="2565" customFormat="false" ht="63.75" hidden="false" customHeight="false" outlineLevel="0" collapsed="false">
      <c r="A2565" s="37" t="s">
        <v>4945</v>
      </c>
      <c r="B2565" s="34" t="s">
        <v>4946</v>
      </c>
      <c r="C2565" s="34" t="s">
        <v>2365</v>
      </c>
    </row>
    <row r="2566" customFormat="false" ht="63.75" hidden="false" customHeight="false" outlineLevel="0" collapsed="false">
      <c r="A2566" s="37" t="s">
        <v>4947</v>
      </c>
      <c r="B2566" s="34" t="s">
        <v>4948</v>
      </c>
      <c r="C2566" s="34" t="s">
        <v>2365</v>
      </c>
    </row>
    <row r="2567" customFormat="false" ht="63.75" hidden="false" customHeight="false" outlineLevel="0" collapsed="false">
      <c r="A2567" s="37" t="s">
        <v>4949</v>
      </c>
      <c r="B2567" s="34" t="s">
        <v>4950</v>
      </c>
      <c r="C2567" s="34" t="s">
        <v>2365</v>
      </c>
    </row>
    <row r="2568" customFormat="false" ht="63.75" hidden="false" customHeight="false" outlineLevel="0" collapsed="false">
      <c r="A2568" s="37" t="s">
        <v>4951</v>
      </c>
      <c r="B2568" s="34" t="s">
        <v>4952</v>
      </c>
      <c r="C2568" s="34" t="s">
        <v>2365</v>
      </c>
    </row>
    <row r="2569" customFormat="false" ht="63.75" hidden="false" customHeight="false" outlineLevel="0" collapsed="false">
      <c r="A2569" s="37" t="s">
        <v>4953</v>
      </c>
      <c r="B2569" s="34" t="s">
        <v>4954</v>
      </c>
      <c r="C2569" s="34" t="s">
        <v>2365</v>
      </c>
    </row>
    <row r="2570" customFormat="false" ht="51" hidden="false" customHeight="false" outlineLevel="0" collapsed="false">
      <c r="A2570" s="37" t="s">
        <v>4955</v>
      </c>
      <c r="B2570" s="34" t="s">
        <v>4956</v>
      </c>
      <c r="C2570" s="34" t="s">
        <v>2386</v>
      </c>
    </row>
    <row r="2571" customFormat="false" ht="51" hidden="false" customHeight="false" outlineLevel="0" collapsed="false">
      <c r="A2571" s="37" t="s">
        <v>4957</v>
      </c>
      <c r="B2571" s="34" t="s">
        <v>4958</v>
      </c>
      <c r="C2571" s="34" t="s">
        <v>2386</v>
      </c>
    </row>
    <row r="2572" customFormat="false" ht="51" hidden="false" customHeight="false" outlineLevel="0" collapsed="false">
      <c r="A2572" s="37" t="s">
        <v>4959</v>
      </c>
      <c r="B2572" s="34" t="s">
        <v>4960</v>
      </c>
      <c r="C2572" s="34" t="s">
        <v>2386</v>
      </c>
    </row>
    <row r="2573" customFormat="false" ht="51" hidden="false" customHeight="false" outlineLevel="0" collapsed="false">
      <c r="A2573" s="37" t="s">
        <v>4961</v>
      </c>
      <c r="B2573" s="34" t="s">
        <v>4962</v>
      </c>
      <c r="C2573" s="34" t="s">
        <v>2386</v>
      </c>
    </row>
    <row r="2574" customFormat="false" ht="51" hidden="false" customHeight="false" outlineLevel="0" collapsed="false">
      <c r="A2574" s="37" t="s">
        <v>4963</v>
      </c>
      <c r="B2574" s="34" t="s">
        <v>4964</v>
      </c>
      <c r="C2574" s="34" t="s">
        <v>2386</v>
      </c>
    </row>
    <row r="2575" customFormat="false" ht="63.75" hidden="false" customHeight="false" outlineLevel="0" collapsed="false">
      <c r="A2575" s="37" t="s">
        <v>4965</v>
      </c>
      <c r="B2575" s="34" t="s">
        <v>4966</v>
      </c>
      <c r="C2575" s="34" t="s">
        <v>2397</v>
      </c>
    </row>
    <row r="2576" customFormat="false" ht="63.75" hidden="false" customHeight="false" outlineLevel="0" collapsed="false">
      <c r="A2576" s="37" t="s">
        <v>4967</v>
      </c>
      <c r="B2576" s="34" t="s">
        <v>4968</v>
      </c>
      <c r="C2576" s="34" t="s">
        <v>139</v>
      </c>
    </row>
    <row r="2577" customFormat="false" ht="63.75" hidden="false" customHeight="false" outlineLevel="0" collapsed="false">
      <c r="A2577" s="37" t="s">
        <v>4969</v>
      </c>
      <c r="B2577" s="34" t="s">
        <v>4970</v>
      </c>
      <c r="C2577" s="34" t="s">
        <v>139</v>
      </c>
    </row>
    <row r="2578" customFormat="false" ht="63.75" hidden="false" customHeight="false" outlineLevel="0" collapsed="false">
      <c r="A2578" s="37" t="s">
        <v>4971</v>
      </c>
      <c r="B2578" s="34" t="s">
        <v>4972</v>
      </c>
      <c r="C2578" s="34" t="s">
        <v>139</v>
      </c>
    </row>
    <row r="2579" customFormat="false" ht="38.25" hidden="false" customHeight="false" outlineLevel="0" collapsed="false">
      <c r="A2579" s="37" t="s">
        <v>4973</v>
      </c>
      <c r="B2579" s="34" t="s">
        <v>4974</v>
      </c>
      <c r="C2579" s="34" t="s">
        <v>73</v>
      </c>
    </row>
    <row r="2580" customFormat="false" ht="38.25" hidden="false" customHeight="false" outlineLevel="0" collapsed="false">
      <c r="A2580" s="37" t="s">
        <v>4975</v>
      </c>
      <c r="B2580" s="34" t="s">
        <v>4976</v>
      </c>
      <c r="C2580" s="34" t="s">
        <v>2412</v>
      </c>
    </row>
    <row r="2581" customFormat="false" ht="127.5" hidden="false" customHeight="false" outlineLevel="0" collapsed="false">
      <c r="A2581" s="37" t="n">
        <v>5812500</v>
      </c>
      <c r="B2581" s="34" t="s">
        <v>4977</v>
      </c>
      <c r="C2581" s="34" t="s">
        <v>1069</v>
      </c>
    </row>
    <row r="2582" customFormat="false" ht="127.5" hidden="false" customHeight="false" outlineLevel="0" collapsed="false">
      <c r="A2582" s="37" t="n">
        <v>5822500</v>
      </c>
      <c r="B2582" s="34" t="s">
        <v>4978</v>
      </c>
      <c r="C2582" s="34" t="s">
        <v>1079</v>
      </c>
    </row>
    <row r="2583" customFormat="false" ht="127.5" hidden="false" customHeight="false" outlineLevel="0" collapsed="false">
      <c r="A2583" s="37" t="n">
        <v>5832500</v>
      </c>
      <c r="B2583" s="34" t="s">
        <v>4979</v>
      </c>
      <c r="C2583" s="34" t="s">
        <v>1089</v>
      </c>
    </row>
    <row r="2584" customFormat="false" ht="127.5" hidden="false" customHeight="false" outlineLevel="0" collapsed="false">
      <c r="A2584" s="37" t="n">
        <v>5842500</v>
      </c>
      <c r="B2584" s="34" t="s">
        <v>4980</v>
      </c>
      <c r="C2584" s="34" t="s">
        <v>1099</v>
      </c>
    </row>
    <row r="2585" customFormat="false" ht="127.5" hidden="false" customHeight="false" outlineLevel="0" collapsed="false">
      <c r="A2585" s="37" t="n">
        <v>5852500</v>
      </c>
      <c r="B2585" s="34" t="s">
        <v>4980</v>
      </c>
      <c r="C2585" s="34" t="s">
        <v>1108</v>
      </c>
    </row>
    <row r="2586" customFormat="false" ht="76.5" hidden="false" customHeight="false" outlineLevel="0" collapsed="false">
      <c r="A2586" s="37" t="n">
        <v>5862500</v>
      </c>
      <c r="B2586" s="34" t="s">
        <v>4538</v>
      </c>
      <c r="C2586" s="34" t="s">
        <v>1121</v>
      </c>
    </row>
    <row r="2587" customFormat="false" ht="76.5" hidden="false" customHeight="false" outlineLevel="0" collapsed="false">
      <c r="A2587" s="37" t="n">
        <v>5862600</v>
      </c>
      <c r="B2587" s="34" t="s">
        <v>4539</v>
      </c>
      <c r="C2587" s="34" t="s">
        <v>1121</v>
      </c>
    </row>
    <row r="2588" customFormat="false" ht="63.75" hidden="false" customHeight="false" outlineLevel="0" collapsed="false">
      <c r="A2588" s="37" t="s">
        <v>4981</v>
      </c>
      <c r="B2588" s="34" t="s">
        <v>4982</v>
      </c>
      <c r="C2588" s="34" t="s">
        <v>1142</v>
      </c>
    </row>
    <row r="2589" customFormat="false" ht="63.75" hidden="false" customHeight="false" outlineLevel="0" collapsed="false">
      <c r="A2589" s="37" t="s">
        <v>4983</v>
      </c>
      <c r="B2589" s="34" t="s">
        <v>4984</v>
      </c>
      <c r="C2589" s="34" t="s">
        <v>1142</v>
      </c>
    </row>
    <row r="2590" customFormat="false" ht="63.75" hidden="false" customHeight="false" outlineLevel="0" collapsed="false">
      <c r="A2590" s="37" t="s">
        <v>4985</v>
      </c>
      <c r="B2590" s="34" t="s">
        <v>4986</v>
      </c>
      <c r="C2590" s="34" t="s">
        <v>1142</v>
      </c>
    </row>
    <row r="2591" customFormat="false" ht="63.75" hidden="false" customHeight="false" outlineLevel="0" collapsed="false">
      <c r="A2591" s="37" t="s">
        <v>4987</v>
      </c>
      <c r="B2591" s="34" t="s">
        <v>4988</v>
      </c>
      <c r="C2591" s="34" t="s">
        <v>1142</v>
      </c>
    </row>
    <row r="2592" customFormat="false" ht="63.75" hidden="false" customHeight="false" outlineLevel="0" collapsed="false">
      <c r="A2592" s="37" t="s">
        <v>4989</v>
      </c>
      <c r="B2592" s="34" t="s">
        <v>4990</v>
      </c>
      <c r="C2592" s="34" t="s">
        <v>1142</v>
      </c>
    </row>
    <row r="2593" customFormat="false" ht="76.5" hidden="false" customHeight="false" outlineLevel="0" collapsed="false">
      <c r="A2593" s="37" t="s">
        <v>4991</v>
      </c>
      <c r="B2593" s="34" t="s">
        <v>4992</v>
      </c>
      <c r="C2593" s="34" t="s">
        <v>1188</v>
      </c>
    </row>
    <row r="2594" customFormat="false" ht="76.5" hidden="false" customHeight="false" outlineLevel="0" collapsed="false">
      <c r="A2594" s="37" t="s">
        <v>4993</v>
      </c>
      <c r="B2594" s="34" t="s">
        <v>4994</v>
      </c>
      <c r="C2594" s="34" t="s">
        <v>1188</v>
      </c>
    </row>
    <row r="2595" customFormat="false" ht="76.5" hidden="false" customHeight="false" outlineLevel="0" collapsed="false">
      <c r="A2595" s="37" t="s">
        <v>4995</v>
      </c>
      <c r="B2595" s="34" t="s">
        <v>4996</v>
      </c>
      <c r="C2595" s="34" t="s">
        <v>1193</v>
      </c>
    </row>
    <row r="2596" customFormat="false" ht="89.25" hidden="false" customHeight="false" outlineLevel="0" collapsed="false">
      <c r="A2596" s="37" t="s">
        <v>4997</v>
      </c>
      <c r="B2596" s="34" t="s">
        <v>4998</v>
      </c>
      <c r="C2596" s="34" t="s">
        <v>1198</v>
      </c>
    </row>
    <row r="2597" customFormat="false" ht="89.25" hidden="false" customHeight="false" outlineLevel="0" collapsed="false">
      <c r="A2597" s="37" t="s">
        <v>4999</v>
      </c>
      <c r="B2597" s="34" t="s">
        <v>5000</v>
      </c>
      <c r="C2597" s="34" t="s">
        <v>1198</v>
      </c>
    </row>
    <row r="2598" customFormat="false" ht="89.25" hidden="false" customHeight="false" outlineLevel="0" collapsed="false">
      <c r="A2598" s="37" t="s">
        <v>5001</v>
      </c>
      <c r="B2598" s="34" t="s">
        <v>5002</v>
      </c>
      <c r="C2598" s="34" t="s">
        <v>1198</v>
      </c>
    </row>
    <row r="2599" customFormat="false" ht="89.25" hidden="false" customHeight="false" outlineLevel="0" collapsed="false">
      <c r="A2599" s="37" t="s">
        <v>5003</v>
      </c>
      <c r="B2599" s="34" t="s">
        <v>5004</v>
      </c>
      <c r="C2599" s="34" t="s">
        <v>1198</v>
      </c>
    </row>
    <row r="2600" customFormat="false" ht="89.25" hidden="false" customHeight="false" outlineLevel="0" collapsed="false">
      <c r="A2600" s="37" t="s">
        <v>5005</v>
      </c>
      <c r="B2600" s="34" t="s">
        <v>5006</v>
      </c>
      <c r="C2600" s="34" t="s">
        <v>1198</v>
      </c>
    </row>
    <row r="2601" customFormat="false" ht="89.25" hidden="false" customHeight="false" outlineLevel="0" collapsed="false">
      <c r="A2601" s="37" t="s">
        <v>5007</v>
      </c>
      <c r="B2601" s="34" t="s">
        <v>5008</v>
      </c>
      <c r="C2601" s="34" t="s">
        <v>1198</v>
      </c>
    </row>
    <row r="2602" customFormat="false" ht="89.25" hidden="false" customHeight="false" outlineLevel="0" collapsed="false">
      <c r="A2602" s="37" t="s">
        <v>5009</v>
      </c>
      <c r="B2602" s="34" t="s">
        <v>5010</v>
      </c>
      <c r="C2602" s="34" t="s">
        <v>1198</v>
      </c>
    </row>
    <row r="2603" customFormat="false" ht="89.25" hidden="false" customHeight="false" outlineLevel="0" collapsed="false">
      <c r="A2603" s="37" t="s">
        <v>5011</v>
      </c>
      <c r="B2603" s="34" t="s">
        <v>5012</v>
      </c>
      <c r="C2603" s="34" t="s">
        <v>1198</v>
      </c>
    </row>
    <row r="2604" customFormat="false" ht="102" hidden="false" customHeight="false" outlineLevel="0" collapsed="false">
      <c r="A2604" s="37" t="s">
        <v>5013</v>
      </c>
      <c r="B2604" s="34" t="s">
        <v>5014</v>
      </c>
      <c r="C2604" s="34" t="s">
        <v>1215</v>
      </c>
    </row>
    <row r="2605" customFormat="false" ht="25.5" hidden="false" customHeight="false" outlineLevel="0" collapsed="false">
      <c r="A2605" s="37" t="s">
        <v>5015</v>
      </c>
      <c r="B2605" s="34" t="s">
        <v>5016</v>
      </c>
      <c r="C2605" s="34" t="s">
        <v>965</v>
      </c>
    </row>
    <row r="2606" customFormat="false" ht="63.75" hidden="false" customHeight="false" outlineLevel="0" collapsed="false">
      <c r="A2606" s="37" t="s">
        <v>5017</v>
      </c>
      <c r="B2606" s="34" t="s">
        <v>5018</v>
      </c>
      <c r="C2606" s="34" t="s">
        <v>139</v>
      </c>
    </row>
    <row r="2607" customFormat="false" ht="63.75" hidden="false" customHeight="false" outlineLevel="0" collapsed="false">
      <c r="A2607" s="37" t="s">
        <v>5019</v>
      </c>
      <c r="B2607" s="34" t="s">
        <v>5020</v>
      </c>
      <c r="C2607" s="34" t="s">
        <v>139</v>
      </c>
    </row>
    <row r="2608" customFormat="false" ht="63.75" hidden="false" customHeight="false" outlineLevel="0" collapsed="false">
      <c r="A2608" s="37" t="s">
        <v>5021</v>
      </c>
      <c r="B2608" s="34" t="s">
        <v>5022</v>
      </c>
      <c r="C2608" s="34" t="s">
        <v>139</v>
      </c>
    </row>
    <row r="2609" customFormat="false" ht="63.75" hidden="false" customHeight="false" outlineLevel="0" collapsed="false">
      <c r="A2609" s="37" t="s">
        <v>5023</v>
      </c>
      <c r="B2609" s="34" t="s">
        <v>5024</v>
      </c>
      <c r="C2609" s="34" t="s">
        <v>1033</v>
      </c>
    </row>
    <row r="2610" customFormat="false" ht="38.25" hidden="false" customHeight="false" outlineLevel="0" collapsed="false">
      <c r="A2610" s="37" t="s">
        <v>5025</v>
      </c>
      <c r="B2610" s="34" t="s">
        <v>5026</v>
      </c>
      <c r="C2610" s="34" t="s">
        <v>687</v>
      </c>
    </row>
    <row r="2611" customFormat="false" ht="51" hidden="false" customHeight="false" outlineLevel="0" collapsed="false">
      <c r="A2611" s="37" t="s">
        <v>5027</v>
      </c>
      <c r="B2611" s="34" t="s">
        <v>5028</v>
      </c>
      <c r="C2611" s="34" t="s">
        <v>1038</v>
      </c>
    </row>
    <row r="2612" customFormat="false" ht="38.25" hidden="false" customHeight="false" outlineLevel="0" collapsed="false">
      <c r="A2612" s="37" t="s">
        <v>5029</v>
      </c>
      <c r="B2612" s="34" t="s">
        <v>5030</v>
      </c>
      <c r="C2612" s="34" t="s">
        <v>1041</v>
      </c>
    </row>
    <row r="2613" customFormat="false" ht="51" hidden="false" customHeight="false" outlineLevel="0" collapsed="false">
      <c r="A2613" s="37" t="s">
        <v>5031</v>
      </c>
      <c r="B2613" s="34" t="s">
        <v>5032</v>
      </c>
      <c r="C2613" s="34" t="s">
        <v>696</v>
      </c>
    </row>
    <row r="2614" customFormat="false" ht="51" hidden="false" customHeight="false" outlineLevel="0" collapsed="false">
      <c r="A2614" s="37" t="s">
        <v>5033</v>
      </c>
      <c r="B2614" s="34" t="s">
        <v>5034</v>
      </c>
      <c r="C2614" s="34" t="s">
        <v>1050</v>
      </c>
    </row>
    <row r="2615" customFormat="false" ht="89.25" hidden="false" customHeight="false" outlineLevel="0" collapsed="false">
      <c r="A2615" s="37" t="s">
        <v>5035</v>
      </c>
      <c r="B2615" s="34" t="s">
        <v>5036</v>
      </c>
      <c r="C2615" s="34" t="s">
        <v>702</v>
      </c>
    </row>
    <row r="2616" customFormat="false" ht="89.25" hidden="false" customHeight="false" outlineLevel="0" collapsed="false">
      <c r="A2616" s="37" t="s">
        <v>5037</v>
      </c>
      <c r="B2616" s="34" t="s">
        <v>5038</v>
      </c>
      <c r="C2616" s="34" t="s">
        <v>702</v>
      </c>
    </row>
    <row r="2617" customFormat="false" ht="38.25" hidden="false" customHeight="false" outlineLevel="0" collapsed="false">
      <c r="A2617" s="37" t="s">
        <v>5039</v>
      </c>
      <c r="B2617" s="34" t="s">
        <v>5040</v>
      </c>
      <c r="C2617" s="34" t="s">
        <v>707</v>
      </c>
    </row>
    <row r="2618" customFormat="false" ht="76.5" hidden="false" customHeight="false" outlineLevel="0" collapsed="false">
      <c r="A2618" s="37" t="s">
        <v>5041</v>
      </c>
      <c r="B2618" s="34" t="s">
        <v>5042</v>
      </c>
      <c r="C2618" s="34" t="s">
        <v>2297</v>
      </c>
    </row>
    <row r="2619" customFormat="false" ht="76.5" hidden="false" customHeight="false" outlineLevel="0" collapsed="false">
      <c r="A2619" s="37" t="s">
        <v>5043</v>
      </c>
      <c r="B2619" s="34" t="s">
        <v>5044</v>
      </c>
      <c r="C2619" s="34" t="s">
        <v>2297</v>
      </c>
    </row>
    <row r="2620" customFormat="false" ht="76.5" hidden="false" customHeight="false" outlineLevel="0" collapsed="false">
      <c r="A2620" s="37" t="s">
        <v>5045</v>
      </c>
      <c r="B2620" s="34" t="s">
        <v>5046</v>
      </c>
      <c r="C2620" s="34" t="s">
        <v>2297</v>
      </c>
    </row>
    <row r="2621" customFormat="false" ht="76.5" hidden="false" customHeight="false" outlineLevel="0" collapsed="false">
      <c r="A2621" s="37" t="s">
        <v>5047</v>
      </c>
      <c r="B2621" s="34" t="s">
        <v>5048</v>
      </c>
      <c r="C2621" s="34" t="s">
        <v>2297</v>
      </c>
    </row>
    <row r="2622" customFormat="false" ht="63.75" hidden="false" customHeight="false" outlineLevel="0" collapsed="false">
      <c r="A2622" s="37" t="s">
        <v>5049</v>
      </c>
      <c r="B2622" s="34" t="s">
        <v>5050</v>
      </c>
      <c r="C2622" s="34" t="s">
        <v>139</v>
      </c>
    </row>
    <row r="2623" customFormat="false" ht="63.75" hidden="false" customHeight="false" outlineLevel="0" collapsed="false">
      <c r="A2623" s="37" t="s">
        <v>5051</v>
      </c>
      <c r="B2623" s="34" t="s">
        <v>5052</v>
      </c>
      <c r="C2623" s="34" t="s">
        <v>139</v>
      </c>
    </row>
    <row r="2624" customFormat="false" ht="63.75" hidden="false" customHeight="false" outlineLevel="0" collapsed="false">
      <c r="A2624" s="37" t="s">
        <v>5053</v>
      </c>
      <c r="B2624" s="34" t="s">
        <v>5054</v>
      </c>
      <c r="C2624" s="34" t="s">
        <v>139</v>
      </c>
    </row>
    <row r="2625" customFormat="false" ht="63.75" hidden="false" customHeight="false" outlineLevel="0" collapsed="false">
      <c r="A2625" s="37" t="s">
        <v>5055</v>
      </c>
      <c r="B2625" s="34" t="s">
        <v>5056</v>
      </c>
      <c r="C2625" s="34" t="s">
        <v>139</v>
      </c>
    </row>
    <row r="2626" customFormat="false" ht="63.75" hidden="false" customHeight="false" outlineLevel="0" collapsed="false">
      <c r="A2626" s="37" t="s">
        <v>5055</v>
      </c>
      <c r="B2626" s="34" t="s">
        <v>5056</v>
      </c>
      <c r="C2626" s="34" t="s">
        <v>142</v>
      </c>
    </row>
    <row r="2627" customFormat="false" ht="63.75" hidden="false" customHeight="false" outlineLevel="0" collapsed="false">
      <c r="A2627" s="37" t="s">
        <v>5057</v>
      </c>
      <c r="B2627" s="34" t="s">
        <v>5058</v>
      </c>
      <c r="C2627" s="34" t="s">
        <v>139</v>
      </c>
    </row>
    <row r="2628" customFormat="false" ht="63.75" hidden="false" customHeight="false" outlineLevel="0" collapsed="false">
      <c r="A2628" s="37" t="s">
        <v>5059</v>
      </c>
      <c r="B2628" s="34" t="s">
        <v>5060</v>
      </c>
      <c r="C2628" s="34" t="s">
        <v>139</v>
      </c>
    </row>
    <row r="2629" customFormat="false" ht="63.75" hidden="false" customHeight="false" outlineLevel="0" collapsed="false">
      <c r="A2629" s="37" t="s">
        <v>5061</v>
      </c>
      <c r="B2629" s="34" t="s">
        <v>5062</v>
      </c>
      <c r="C2629" s="34" t="s">
        <v>139</v>
      </c>
    </row>
    <row r="2630" customFormat="false" ht="63.75" hidden="false" customHeight="false" outlineLevel="0" collapsed="false">
      <c r="A2630" s="37" t="s">
        <v>5063</v>
      </c>
      <c r="B2630" s="34" t="s">
        <v>5064</v>
      </c>
      <c r="C2630" s="34" t="s">
        <v>139</v>
      </c>
    </row>
    <row r="2631" customFormat="false" ht="63.75" hidden="false" customHeight="false" outlineLevel="0" collapsed="false">
      <c r="A2631" s="37" t="s">
        <v>5065</v>
      </c>
      <c r="B2631" s="34" t="s">
        <v>5066</v>
      </c>
      <c r="C2631" s="34" t="s">
        <v>139</v>
      </c>
    </row>
    <row r="2632" customFormat="false" ht="63.75" hidden="false" customHeight="false" outlineLevel="0" collapsed="false">
      <c r="A2632" s="37" t="s">
        <v>5067</v>
      </c>
      <c r="B2632" s="34" t="s">
        <v>5068</v>
      </c>
      <c r="C2632" s="34" t="s">
        <v>139</v>
      </c>
    </row>
    <row r="2633" customFormat="false" ht="63.75" hidden="false" customHeight="false" outlineLevel="0" collapsed="false">
      <c r="A2633" s="37" t="s">
        <v>5069</v>
      </c>
      <c r="B2633" s="34" t="s">
        <v>5070</v>
      </c>
      <c r="C2633" s="34" t="s">
        <v>139</v>
      </c>
    </row>
    <row r="2634" customFormat="false" ht="38.25" hidden="false" customHeight="false" outlineLevel="0" collapsed="false">
      <c r="A2634" s="37" t="s">
        <v>5071</v>
      </c>
      <c r="B2634" s="34" t="s">
        <v>5072</v>
      </c>
      <c r="C2634" s="34" t="s">
        <v>73</v>
      </c>
    </row>
    <row r="2635" customFormat="false" ht="38.25" hidden="false" customHeight="false" outlineLevel="0" collapsed="false">
      <c r="A2635" s="37" t="s">
        <v>5073</v>
      </c>
      <c r="B2635" s="34" t="s">
        <v>5074</v>
      </c>
      <c r="C2635" s="34" t="s">
        <v>2412</v>
      </c>
    </row>
    <row r="2636" customFormat="false" ht="102" hidden="false" customHeight="false" outlineLevel="0" collapsed="false">
      <c r="A2636" s="37" t="n">
        <v>5902100</v>
      </c>
      <c r="B2636" s="34" t="s">
        <v>5075</v>
      </c>
      <c r="C2636" s="34" t="s">
        <v>97</v>
      </c>
    </row>
    <row r="2637" customFormat="false" ht="102" hidden="false" customHeight="false" outlineLevel="0" collapsed="false">
      <c r="A2637" s="37" t="n">
        <v>5902200</v>
      </c>
      <c r="B2637" s="34" t="s">
        <v>5076</v>
      </c>
      <c r="C2637" s="34" t="s">
        <v>97</v>
      </c>
    </row>
    <row r="2638" customFormat="false" ht="102" hidden="false" customHeight="false" outlineLevel="0" collapsed="false">
      <c r="A2638" s="37" t="n">
        <v>5902300</v>
      </c>
      <c r="B2638" s="34" t="s">
        <v>5077</v>
      </c>
      <c r="C2638" s="34" t="s">
        <v>887</v>
      </c>
    </row>
    <row r="2639" customFormat="false" ht="114.75" hidden="false" customHeight="false" outlineLevel="0" collapsed="false">
      <c r="A2639" s="37" t="n">
        <v>5902400</v>
      </c>
      <c r="B2639" s="34" t="s">
        <v>5078</v>
      </c>
      <c r="C2639" s="34" t="s">
        <v>849</v>
      </c>
    </row>
    <row r="2640" customFormat="false" ht="89.25" hidden="false" customHeight="false" outlineLevel="0" collapsed="false">
      <c r="A2640" s="37" t="n">
        <v>5902500</v>
      </c>
      <c r="B2640" s="34" t="s">
        <v>5079</v>
      </c>
      <c r="C2640" s="34" t="s">
        <v>891</v>
      </c>
    </row>
    <row r="2641" customFormat="false" ht="114.75" hidden="false" customHeight="false" outlineLevel="0" collapsed="false">
      <c r="A2641" s="37" t="n">
        <v>5902600</v>
      </c>
      <c r="B2641" s="34" t="s">
        <v>5080</v>
      </c>
      <c r="C2641" s="34" t="s">
        <v>853</v>
      </c>
    </row>
    <row r="2642" customFormat="false" ht="76.5" hidden="false" customHeight="false" outlineLevel="0" collapsed="false">
      <c r="A2642" s="37" t="s">
        <v>5081</v>
      </c>
      <c r="B2642" s="34" t="s">
        <v>5082</v>
      </c>
      <c r="C2642" s="34" t="s">
        <v>108</v>
      </c>
    </row>
    <row r="2643" customFormat="false" ht="89.25" hidden="false" customHeight="false" outlineLevel="0" collapsed="false">
      <c r="A2643" s="37" t="s">
        <v>5083</v>
      </c>
      <c r="B2643" s="34" t="s">
        <v>5084</v>
      </c>
      <c r="C2643" s="34" t="s">
        <v>871</v>
      </c>
    </row>
    <row r="2644" customFormat="false" ht="89.25" hidden="false" customHeight="false" outlineLevel="0" collapsed="false">
      <c r="A2644" s="37" t="s">
        <v>5085</v>
      </c>
      <c r="B2644" s="34" t="s">
        <v>5086</v>
      </c>
      <c r="C2644" s="34" t="s">
        <v>858</v>
      </c>
    </row>
    <row r="2645" customFormat="false" ht="89.25" hidden="false" customHeight="false" outlineLevel="0" collapsed="false">
      <c r="A2645" s="37" t="s">
        <v>5087</v>
      </c>
      <c r="B2645" s="34" t="s">
        <v>5088</v>
      </c>
      <c r="C2645" s="34" t="s">
        <v>902</v>
      </c>
    </row>
    <row r="2646" customFormat="false" ht="89.25" hidden="false" customHeight="false" outlineLevel="0" collapsed="false">
      <c r="A2646" s="37" t="s">
        <v>5089</v>
      </c>
      <c r="B2646" s="34" t="s">
        <v>5090</v>
      </c>
      <c r="C2646" s="34" t="s">
        <v>902</v>
      </c>
    </row>
    <row r="2647" customFormat="false" ht="89.25" hidden="false" customHeight="false" outlineLevel="0" collapsed="false">
      <c r="A2647" s="37" t="s">
        <v>5091</v>
      </c>
      <c r="B2647" s="34" t="s">
        <v>5092</v>
      </c>
      <c r="C2647" s="34" t="s">
        <v>122</v>
      </c>
    </row>
    <row r="2648" customFormat="false" ht="89.25" hidden="false" customHeight="false" outlineLevel="0" collapsed="false">
      <c r="A2648" s="37" t="s">
        <v>5093</v>
      </c>
      <c r="B2648" s="34" t="s">
        <v>5094</v>
      </c>
      <c r="C2648" s="34" t="s">
        <v>874</v>
      </c>
    </row>
    <row r="2649" customFormat="false" ht="89.25" hidden="false" customHeight="false" outlineLevel="0" collapsed="false">
      <c r="A2649" s="37" t="s">
        <v>5095</v>
      </c>
      <c r="B2649" s="34" t="s">
        <v>5096</v>
      </c>
      <c r="C2649" s="34" t="s">
        <v>874</v>
      </c>
    </row>
    <row r="2650" customFormat="false" ht="89.25" hidden="false" customHeight="false" outlineLevel="0" collapsed="false">
      <c r="A2650" s="37" t="s">
        <v>5097</v>
      </c>
      <c r="B2650" s="34" t="s">
        <v>5098</v>
      </c>
      <c r="C2650" s="34" t="s">
        <v>874</v>
      </c>
    </row>
    <row r="2651" customFormat="false" ht="89.25" hidden="false" customHeight="false" outlineLevel="0" collapsed="false">
      <c r="A2651" s="37" t="s">
        <v>5099</v>
      </c>
      <c r="B2651" s="34" t="s">
        <v>5100</v>
      </c>
      <c r="C2651" s="34" t="s">
        <v>874</v>
      </c>
    </row>
    <row r="2652" customFormat="false" ht="89.25" hidden="false" customHeight="false" outlineLevel="0" collapsed="false">
      <c r="A2652" s="37" t="s">
        <v>5101</v>
      </c>
      <c r="B2652" s="34" t="s">
        <v>5102</v>
      </c>
      <c r="C2652" s="34" t="s">
        <v>997</v>
      </c>
    </row>
    <row r="2653" customFormat="false" ht="89.25" hidden="false" customHeight="false" outlineLevel="0" collapsed="false">
      <c r="A2653" s="37" t="s">
        <v>5103</v>
      </c>
      <c r="B2653" s="34" t="s">
        <v>5104</v>
      </c>
      <c r="C2653" s="34" t="s">
        <v>997</v>
      </c>
    </row>
    <row r="2654" customFormat="false" ht="63.75" hidden="false" customHeight="false" outlineLevel="0" collapsed="false">
      <c r="A2654" s="37" t="s">
        <v>5105</v>
      </c>
      <c r="B2654" s="34" t="s">
        <v>5106</v>
      </c>
      <c r="C2654" s="34" t="s">
        <v>139</v>
      </c>
    </row>
    <row r="2655" customFormat="false" ht="63.75" hidden="false" customHeight="false" outlineLevel="0" collapsed="false">
      <c r="A2655" s="37" t="s">
        <v>5107</v>
      </c>
      <c r="B2655" s="34" t="s">
        <v>5108</v>
      </c>
      <c r="C2655" s="34" t="s">
        <v>142</v>
      </c>
    </row>
    <row r="2656" customFormat="false" ht="63.75" hidden="false" customHeight="false" outlineLevel="0" collapsed="false">
      <c r="A2656" s="37" t="s">
        <v>5109</v>
      </c>
      <c r="B2656" s="34" t="s">
        <v>5110</v>
      </c>
      <c r="C2656" s="34" t="s">
        <v>139</v>
      </c>
    </row>
    <row r="2657" customFormat="false" ht="63.75" hidden="false" customHeight="false" outlineLevel="0" collapsed="false">
      <c r="A2657" s="37" t="s">
        <v>5111</v>
      </c>
      <c r="B2657" s="34" t="s">
        <v>5112</v>
      </c>
      <c r="C2657" s="34" t="s">
        <v>139</v>
      </c>
    </row>
    <row r="2658" customFormat="false" ht="63.75" hidden="false" customHeight="false" outlineLevel="0" collapsed="false">
      <c r="A2658" s="37" t="s">
        <v>5113</v>
      </c>
      <c r="B2658" s="34" t="s">
        <v>5114</v>
      </c>
      <c r="C2658" s="34" t="s">
        <v>139</v>
      </c>
    </row>
    <row r="2659" customFormat="false" ht="127.5" hidden="false" customHeight="false" outlineLevel="0" collapsed="false">
      <c r="A2659" s="37" t="n">
        <v>5911100</v>
      </c>
      <c r="B2659" s="34" t="s">
        <v>5115</v>
      </c>
      <c r="C2659" s="34" t="s">
        <v>1069</v>
      </c>
    </row>
    <row r="2660" customFormat="false" ht="127.5" hidden="false" customHeight="false" outlineLevel="0" collapsed="false">
      <c r="A2660" s="37" t="n">
        <v>5911200</v>
      </c>
      <c r="B2660" s="34" t="s">
        <v>5116</v>
      </c>
      <c r="C2660" s="34" t="s">
        <v>1069</v>
      </c>
    </row>
    <row r="2661" customFormat="false" ht="127.5" hidden="false" customHeight="false" outlineLevel="0" collapsed="false">
      <c r="A2661" s="37" t="n">
        <v>5911500</v>
      </c>
      <c r="B2661" s="34" t="s">
        <v>5117</v>
      </c>
      <c r="C2661" s="34" t="s">
        <v>1069</v>
      </c>
    </row>
    <row r="2662" customFormat="false" ht="127.5" hidden="false" customHeight="false" outlineLevel="0" collapsed="false">
      <c r="A2662" s="37" t="n">
        <v>5912100</v>
      </c>
      <c r="B2662" s="34" t="s">
        <v>5118</v>
      </c>
      <c r="C2662" s="34" t="s">
        <v>1069</v>
      </c>
    </row>
    <row r="2663" customFormat="false" ht="127.5" hidden="false" customHeight="false" outlineLevel="0" collapsed="false">
      <c r="A2663" s="37" t="n">
        <v>5912200</v>
      </c>
      <c r="B2663" s="34" t="s">
        <v>5119</v>
      </c>
      <c r="C2663" s="34" t="s">
        <v>1069</v>
      </c>
    </row>
    <row r="2664" customFormat="false" ht="127.5" hidden="false" customHeight="false" outlineLevel="0" collapsed="false">
      <c r="A2664" s="37" t="n">
        <v>5912500</v>
      </c>
      <c r="B2664" s="34" t="s">
        <v>5120</v>
      </c>
      <c r="C2664" s="34" t="s">
        <v>1069</v>
      </c>
    </row>
    <row r="2665" customFormat="false" ht="127.5" hidden="false" customHeight="false" outlineLevel="0" collapsed="false">
      <c r="A2665" s="37" t="n">
        <v>5915500</v>
      </c>
      <c r="B2665" s="34" t="s">
        <v>5121</v>
      </c>
      <c r="C2665" s="34" t="s">
        <v>1069</v>
      </c>
    </row>
    <row r="2666" customFormat="false" ht="127.5" hidden="false" customHeight="false" outlineLevel="0" collapsed="false">
      <c r="A2666" s="37" t="n">
        <v>5916500</v>
      </c>
      <c r="B2666" s="34" t="s">
        <v>5122</v>
      </c>
      <c r="C2666" s="34" t="s">
        <v>1069</v>
      </c>
    </row>
    <row r="2667" customFormat="false" ht="127.5" hidden="false" customHeight="false" outlineLevel="0" collapsed="false">
      <c r="A2667" s="37" t="n">
        <v>5917500</v>
      </c>
      <c r="B2667" s="34" t="s">
        <v>5123</v>
      </c>
      <c r="C2667" s="34" t="s">
        <v>1069</v>
      </c>
    </row>
    <row r="2668" customFormat="false" ht="127.5" hidden="false" customHeight="false" outlineLevel="0" collapsed="false">
      <c r="A2668" s="37" t="s">
        <v>5124</v>
      </c>
      <c r="B2668" s="34" t="s">
        <v>5125</v>
      </c>
      <c r="C2668" s="34" t="s">
        <v>1069</v>
      </c>
    </row>
    <row r="2669" customFormat="false" ht="127.5" hidden="false" customHeight="false" outlineLevel="0" collapsed="false">
      <c r="A2669" s="37" t="s">
        <v>5126</v>
      </c>
      <c r="B2669" s="34" t="s">
        <v>5127</v>
      </c>
      <c r="C2669" s="34" t="s">
        <v>1732</v>
      </c>
    </row>
    <row r="2670" customFormat="false" ht="127.5" hidden="false" customHeight="false" outlineLevel="0" collapsed="false">
      <c r="A2670" s="37" t="s">
        <v>5128</v>
      </c>
      <c r="B2670" s="34" t="s">
        <v>5129</v>
      </c>
      <c r="C2670" s="34" t="s">
        <v>1732</v>
      </c>
    </row>
    <row r="2671" customFormat="false" ht="102" hidden="false" customHeight="false" outlineLevel="0" collapsed="false">
      <c r="A2671" s="37" t="s">
        <v>5130</v>
      </c>
      <c r="B2671" s="34" t="s">
        <v>5131</v>
      </c>
      <c r="C2671" s="34" t="s">
        <v>1737</v>
      </c>
    </row>
    <row r="2672" customFormat="false" ht="102" hidden="false" customHeight="false" outlineLevel="0" collapsed="false">
      <c r="A2672" s="37" t="s">
        <v>5132</v>
      </c>
      <c r="B2672" s="34" t="s">
        <v>5133</v>
      </c>
      <c r="C2672" s="34" t="s">
        <v>1737</v>
      </c>
    </row>
    <row r="2673" customFormat="false" ht="102" hidden="false" customHeight="false" outlineLevel="0" collapsed="false">
      <c r="A2673" s="37" t="s">
        <v>5134</v>
      </c>
      <c r="B2673" s="34" t="s">
        <v>5135</v>
      </c>
      <c r="C2673" s="34" t="s">
        <v>1737</v>
      </c>
    </row>
    <row r="2674" customFormat="false" ht="76.5" hidden="false" customHeight="false" outlineLevel="0" collapsed="false">
      <c r="A2674" s="37" t="s">
        <v>5136</v>
      </c>
      <c r="B2674" s="34" t="s">
        <v>5137</v>
      </c>
      <c r="C2674" s="34" t="s">
        <v>1741</v>
      </c>
    </row>
    <row r="2675" customFormat="false" ht="63.75" hidden="false" customHeight="false" outlineLevel="0" collapsed="false">
      <c r="A2675" s="37" t="s">
        <v>5138</v>
      </c>
      <c r="B2675" s="34" t="s">
        <v>5139</v>
      </c>
      <c r="C2675" s="34" t="s">
        <v>1744</v>
      </c>
    </row>
    <row r="2676" customFormat="false" ht="102" hidden="false" customHeight="false" outlineLevel="0" collapsed="false">
      <c r="A2676" s="37" t="s">
        <v>5140</v>
      </c>
      <c r="B2676" s="34" t="s">
        <v>5141</v>
      </c>
      <c r="C2676" s="34" t="s">
        <v>177</v>
      </c>
    </row>
    <row r="2677" customFormat="false" ht="102" hidden="false" customHeight="false" outlineLevel="0" collapsed="false">
      <c r="A2677" s="37" t="s">
        <v>5142</v>
      </c>
      <c r="B2677" s="34" t="s">
        <v>5143</v>
      </c>
      <c r="C2677" s="34" t="s">
        <v>177</v>
      </c>
    </row>
    <row r="2678" customFormat="false" ht="76.5" hidden="false" customHeight="false" outlineLevel="0" collapsed="false">
      <c r="A2678" s="37" t="s">
        <v>5144</v>
      </c>
      <c r="B2678" s="34" t="s">
        <v>5145</v>
      </c>
      <c r="C2678" s="34" t="s">
        <v>3361</v>
      </c>
    </row>
    <row r="2679" customFormat="false" ht="76.5" hidden="false" customHeight="false" outlineLevel="0" collapsed="false">
      <c r="A2679" s="37" t="s">
        <v>5146</v>
      </c>
      <c r="B2679" s="34" t="s">
        <v>5147</v>
      </c>
      <c r="C2679" s="34" t="s">
        <v>3361</v>
      </c>
    </row>
    <row r="2680" customFormat="false" ht="102" hidden="false" customHeight="false" outlineLevel="0" collapsed="false">
      <c r="A2680" s="37" t="s">
        <v>5148</v>
      </c>
      <c r="B2680" s="34" t="s">
        <v>5149</v>
      </c>
      <c r="C2680" s="34" t="s">
        <v>1751</v>
      </c>
    </row>
    <row r="2681" customFormat="false" ht="102" hidden="false" customHeight="false" outlineLevel="0" collapsed="false">
      <c r="A2681" s="37" t="s">
        <v>5150</v>
      </c>
      <c r="B2681" s="34" t="s">
        <v>5151</v>
      </c>
      <c r="C2681" s="34" t="s">
        <v>1751</v>
      </c>
    </row>
    <row r="2682" customFormat="false" ht="102" hidden="false" customHeight="false" outlineLevel="0" collapsed="false">
      <c r="A2682" s="37" t="s">
        <v>5152</v>
      </c>
      <c r="B2682" s="34" t="s">
        <v>5153</v>
      </c>
      <c r="C2682" s="34" t="s">
        <v>1737</v>
      </c>
    </row>
    <row r="2683" customFormat="false" ht="102" hidden="false" customHeight="false" outlineLevel="0" collapsed="false">
      <c r="A2683" s="37" t="s">
        <v>5154</v>
      </c>
      <c r="B2683" s="34" t="s">
        <v>5155</v>
      </c>
      <c r="C2683" s="34" t="s">
        <v>1737</v>
      </c>
    </row>
    <row r="2684" customFormat="false" ht="127.5" hidden="false" customHeight="false" outlineLevel="0" collapsed="false">
      <c r="A2684" s="37" t="s">
        <v>5156</v>
      </c>
      <c r="B2684" s="34" t="s">
        <v>5157</v>
      </c>
      <c r="C2684" s="34" t="s">
        <v>186</v>
      </c>
    </row>
    <row r="2685" customFormat="false" ht="89.25" hidden="false" customHeight="false" outlineLevel="0" collapsed="false">
      <c r="A2685" s="37" t="s">
        <v>5158</v>
      </c>
      <c r="B2685" s="34" t="s">
        <v>5159</v>
      </c>
      <c r="C2685" s="34" t="s">
        <v>1762</v>
      </c>
    </row>
    <row r="2686" customFormat="false" ht="63.75" hidden="false" customHeight="false" outlineLevel="0" collapsed="false">
      <c r="A2686" s="37" t="s">
        <v>5160</v>
      </c>
      <c r="B2686" s="34" t="s">
        <v>5161</v>
      </c>
      <c r="C2686" s="34" t="s">
        <v>139</v>
      </c>
    </row>
    <row r="2687" customFormat="false" ht="63.75" hidden="false" customHeight="false" outlineLevel="0" collapsed="false">
      <c r="A2687" s="37" t="s">
        <v>5162</v>
      </c>
      <c r="B2687" s="34" t="s">
        <v>5163</v>
      </c>
      <c r="C2687" s="34" t="s">
        <v>139</v>
      </c>
    </row>
    <row r="2688" customFormat="false" ht="63.75" hidden="false" customHeight="false" outlineLevel="0" collapsed="false">
      <c r="A2688" s="37" t="s">
        <v>5164</v>
      </c>
      <c r="B2688" s="34" t="s">
        <v>5165</v>
      </c>
      <c r="C2688" s="34" t="s">
        <v>139</v>
      </c>
    </row>
    <row r="2689" customFormat="false" ht="127.5" hidden="false" customHeight="false" outlineLevel="0" collapsed="false">
      <c r="A2689" s="37" t="n">
        <v>5921100</v>
      </c>
      <c r="B2689" s="34" t="s">
        <v>5166</v>
      </c>
      <c r="C2689" s="34" t="s">
        <v>1079</v>
      </c>
    </row>
    <row r="2690" customFormat="false" ht="127.5" hidden="false" customHeight="false" outlineLevel="0" collapsed="false">
      <c r="A2690" s="37" t="n">
        <v>5921200</v>
      </c>
      <c r="B2690" s="34" t="s">
        <v>5167</v>
      </c>
      <c r="C2690" s="34" t="s">
        <v>1079</v>
      </c>
    </row>
    <row r="2691" customFormat="false" ht="127.5" hidden="false" customHeight="false" outlineLevel="0" collapsed="false">
      <c r="A2691" s="37" t="n">
        <v>5921500</v>
      </c>
      <c r="B2691" s="34" t="s">
        <v>5168</v>
      </c>
      <c r="C2691" s="34" t="s">
        <v>1089</v>
      </c>
    </row>
    <row r="2692" customFormat="false" ht="127.5" hidden="false" customHeight="false" outlineLevel="0" collapsed="false">
      <c r="A2692" s="37" t="n">
        <v>5922100</v>
      </c>
      <c r="B2692" s="34" t="s">
        <v>5169</v>
      </c>
      <c r="C2692" s="34" t="s">
        <v>1099</v>
      </c>
    </row>
    <row r="2693" customFormat="false" ht="127.5" hidden="false" customHeight="false" outlineLevel="0" collapsed="false">
      <c r="A2693" s="37" t="n">
        <v>5922500</v>
      </c>
      <c r="B2693" s="34" t="s">
        <v>5170</v>
      </c>
      <c r="C2693" s="34" t="s">
        <v>1108</v>
      </c>
    </row>
    <row r="2694" customFormat="false" ht="127.5" hidden="false" customHeight="false" outlineLevel="0" collapsed="false">
      <c r="A2694" s="37" t="n">
        <v>5925500</v>
      </c>
      <c r="B2694" s="34" t="s">
        <v>5171</v>
      </c>
      <c r="C2694" s="34" t="s">
        <v>1108</v>
      </c>
    </row>
    <row r="2695" customFormat="false" ht="127.5" hidden="false" customHeight="false" outlineLevel="0" collapsed="false">
      <c r="A2695" s="37" t="n">
        <v>5926500</v>
      </c>
      <c r="B2695" s="34" t="s">
        <v>5172</v>
      </c>
      <c r="C2695" s="34" t="s">
        <v>1108</v>
      </c>
    </row>
    <row r="2696" customFormat="false" ht="127.5" hidden="false" customHeight="false" outlineLevel="0" collapsed="false">
      <c r="A2696" s="37" t="n">
        <v>5927500</v>
      </c>
      <c r="B2696" s="34" t="s">
        <v>5173</v>
      </c>
      <c r="C2696" s="34" t="s">
        <v>1108</v>
      </c>
    </row>
    <row r="2697" customFormat="false" ht="127.5" hidden="false" customHeight="false" outlineLevel="0" collapsed="false">
      <c r="A2697" s="37" t="s">
        <v>5174</v>
      </c>
      <c r="B2697" s="34" t="s">
        <v>5175</v>
      </c>
      <c r="C2697" s="34" t="s">
        <v>1079</v>
      </c>
    </row>
    <row r="2698" customFormat="false" ht="127.5" hidden="false" customHeight="false" outlineLevel="0" collapsed="false">
      <c r="A2698" s="37" t="s">
        <v>5176</v>
      </c>
      <c r="B2698" s="34" t="s">
        <v>5177</v>
      </c>
      <c r="C2698" s="34" t="s">
        <v>1788</v>
      </c>
    </row>
    <row r="2699" customFormat="false" ht="127.5" hidden="false" customHeight="false" outlineLevel="0" collapsed="false">
      <c r="A2699" s="37" t="s">
        <v>5178</v>
      </c>
      <c r="B2699" s="34" t="s">
        <v>5179</v>
      </c>
      <c r="C2699" s="34" t="s">
        <v>1788</v>
      </c>
    </row>
    <row r="2700" customFormat="false" ht="102" hidden="false" customHeight="false" outlineLevel="0" collapsed="false">
      <c r="A2700" s="37" t="s">
        <v>5180</v>
      </c>
      <c r="B2700" s="34" t="s">
        <v>5181</v>
      </c>
      <c r="C2700" s="34" t="s">
        <v>1793</v>
      </c>
    </row>
    <row r="2701" customFormat="false" ht="102" hidden="false" customHeight="false" outlineLevel="0" collapsed="false">
      <c r="A2701" s="37" t="s">
        <v>5182</v>
      </c>
      <c r="B2701" s="34" t="s">
        <v>5183</v>
      </c>
      <c r="C2701" s="34" t="s">
        <v>1793</v>
      </c>
    </row>
    <row r="2702" customFormat="false" ht="102" hidden="false" customHeight="false" outlineLevel="0" collapsed="false">
      <c r="A2702" s="37" t="s">
        <v>5184</v>
      </c>
      <c r="B2702" s="34" t="s">
        <v>5185</v>
      </c>
      <c r="C2702" s="34" t="s">
        <v>1737</v>
      </c>
    </row>
    <row r="2703" customFormat="false" ht="76.5" hidden="false" customHeight="false" outlineLevel="0" collapsed="false">
      <c r="A2703" s="37" t="s">
        <v>5186</v>
      </c>
      <c r="B2703" s="34" t="s">
        <v>5187</v>
      </c>
      <c r="C2703" s="34" t="s">
        <v>1798</v>
      </c>
    </row>
    <row r="2704" customFormat="false" ht="63.75" hidden="false" customHeight="false" outlineLevel="0" collapsed="false">
      <c r="A2704" s="37" t="s">
        <v>5188</v>
      </c>
      <c r="B2704" s="34" t="s">
        <v>5189</v>
      </c>
      <c r="C2704" s="34" t="s">
        <v>1801</v>
      </c>
    </row>
    <row r="2705" customFormat="false" ht="102" hidden="false" customHeight="false" outlineLevel="0" collapsed="false">
      <c r="A2705" s="37" t="s">
        <v>5190</v>
      </c>
      <c r="B2705" s="34" t="s">
        <v>5191</v>
      </c>
      <c r="C2705" s="34" t="s">
        <v>221</v>
      </c>
    </row>
    <row r="2706" customFormat="false" ht="102" hidden="false" customHeight="false" outlineLevel="0" collapsed="false">
      <c r="A2706" s="37" t="s">
        <v>5192</v>
      </c>
      <c r="B2706" s="34" t="s">
        <v>5193</v>
      </c>
      <c r="C2706" s="34" t="s">
        <v>221</v>
      </c>
    </row>
    <row r="2707" customFormat="false" ht="76.5" hidden="false" customHeight="false" outlineLevel="0" collapsed="false">
      <c r="A2707" s="37" t="s">
        <v>5194</v>
      </c>
      <c r="B2707" s="34" t="s">
        <v>5195</v>
      </c>
      <c r="C2707" s="34" t="s">
        <v>3417</v>
      </c>
    </row>
    <row r="2708" customFormat="false" ht="76.5" hidden="false" customHeight="false" outlineLevel="0" collapsed="false">
      <c r="A2708" s="37" t="s">
        <v>5196</v>
      </c>
      <c r="B2708" s="34" t="s">
        <v>5197</v>
      </c>
      <c r="C2708" s="34" t="s">
        <v>3417</v>
      </c>
    </row>
    <row r="2709" customFormat="false" ht="102" hidden="false" customHeight="false" outlineLevel="0" collapsed="false">
      <c r="A2709" s="37" t="s">
        <v>5198</v>
      </c>
      <c r="B2709" s="34" t="s">
        <v>5199</v>
      </c>
      <c r="C2709" s="34" t="s">
        <v>1808</v>
      </c>
    </row>
    <row r="2710" customFormat="false" ht="102" hidden="false" customHeight="false" outlineLevel="0" collapsed="false">
      <c r="A2710" s="37" t="s">
        <v>5200</v>
      </c>
      <c r="B2710" s="34" t="s">
        <v>5201</v>
      </c>
      <c r="C2710" s="34" t="s">
        <v>1808</v>
      </c>
    </row>
    <row r="2711" customFormat="false" ht="102" hidden="false" customHeight="false" outlineLevel="0" collapsed="false">
      <c r="A2711" s="37" t="s">
        <v>5202</v>
      </c>
      <c r="B2711" s="34" t="s">
        <v>5203</v>
      </c>
      <c r="C2711" s="34" t="s">
        <v>1793</v>
      </c>
    </row>
    <row r="2712" customFormat="false" ht="89.25" hidden="false" customHeight="false" outlineLevel="0" collapsed="false">
      <c r="A2712" s="37" t="s">
        <v>5204</v>
      </c>
      <c r="B2712" s="34" t="s">
        <v>5205</v>
      </c>
      <c r="C2712" s="34" t="s">
        <v>210</v>
      </c>
    </row>
    <row r="2713" customFormat="false" ht="127.5" hidden="false" customHeight="false" outlineLevel="0" collapsed="false">
      <c r="A2713" s="37" t="s">
        <v>5206</v>
      </c>
      <c r="B2713" s="34" t="s">
        <v>5207</v>
      </c>
      <c r="C2713" s="34" t="s">
        <v>230</v>
      </c>
    </row>
    <row r="2714" customFormat="false" ht="89.25" hidden="false" customHeight="false" outlineLevel="0" collapsed="false">
      <c r="A2714" s="37" t="s">
        <v>5208</v>
      </c>
      <c r="B2714" s="34" t="s">
        <v>5209</v>
      </c>
      <c r="C2714" s="34" t="s">
        <v>1819</v>
      </c>
    </row>
    <row r="2715" customFormat="false" ht="63.75" hidden="false" customHeight="false" outlineLevel="0" collapsed="false">
      <c r="A2715" s="37" t="s">
        <v>5210</v>
      </c>
      <c r="B2715" s="34" t="s">
        <v>5211</v>
      </c>
      <c r="C2715" s="34" t="s">
        <v>139</v>
      </c>
    </row>
    <row r="2716" customFormat="false" ht="63.75" hidden="false" customHeight="false" outlineLevel="0" collapsed="false">
      <c r="A2716" s="37" t="s">
        <v>5212</v>
      </c>
      <c r="B2716" s="34" t="s">
        <v>5213</v>
      </c>
      <c r="C2716" s="34" t="s">
        <v>139</v>
      </c>
    </row>
    <row r="2717" customFormat="false" ht="63.75" hidden="false" customHeight="false" outlineLevel="0" collapsed="false">
      <c r="A2717" s="37" t="s">
        <v>5214</v>
      </c>
      <c r="B2717" s="34" t="s">
        <v>5215</v>
      </c>
      <c r="C2717" s="34" t="s">
        <v>139</v>
      </c>
    </row>
    <row r="2718" customFormat="false" ht="38.25" hidden="false" customHeight="false" outlineLevel="0" collapsed="false">
      <c r="A2718" s="37" t="s">
        <v>5216</v>
      </c>
      <c r="B2718" s="34" t="s">
        <v>5217</v>
      </c>
      <c r="C2718" s="34" t="s">
        <v>965</v>
      </c>
    </row>
    <row r="2719" customFormat="false" ht="38.25" hidden="false" customHeight="false" outlineLevel="0" collapsed="false">
      <c r="A2719" s="37" t="s">
        <v>5218</v>
      </c>
      <c r="B2719" s="34" t="s">
        <v>5219</v>
      </c>
      <c r="C2719" s="34" t="s">
        <v>965</v>
      </c>
    </row>
    <row r="2720" customFormat="false" ht="127.5" hidden="false" customHeight="false" outlineLevel="0" collapsed="false">
      <c r="A2720" s="37" t="n">
        <v>5931100</v>
      </c>
      <c r="B2720" s="34" t="s">
        <v>5220</v>
      </c>
      <c r="C2720" s="34" t="s">
        <v>1089</v>
      </c>
    </row>
    <row r="2721" customFormat="false" ht="127.5" hidden="false" customHeight="false" outlineLevel="0" collapsed="false">
      <c r="A2721" s="37" t="n">
        <v>5931200</v>
      </c>
      <c r="B2721" s="34" t="s">
        <v>5221</v>
      </c>
      <c r="C2721" s="34" t="s">
        <v>1089</v>
      </c>
    </row>
    <row r="2722" customFormat="false" ht="127.5" hidden="false" customHeight="false" outlineLevel="0" collapsed="false">
      <c r="A2722" s="37" t="n">
        <v>5931500</v>
      </c>
      <c r="B2722" s="34" t="s">
        <v>5222</v>
      </c>
      <c r="C2722" s="34" t="s">
        <v>1089</v>
      </c>
    </row>
    <row r="2723" customFormat="false" ht="127.5" hidden="false" customHeight="false" outlineLevel="0" collapsed="false">
      <c r="A2723" s="37" t="n">
        <v>5932100</v>
      </c>
      <c r="B2723" s="34" t="s">
        <v>5223</v>
      </c>
      <c r="C2723" s="34" t="s">
        <v>1089</v>
      </c>
    </row>
    <row r="2724" customFormat="false" ht="127.5" hidden="false" customHeight="false" outlineLevel="0" collapsed="false">
      <c r="A2724" s="37" t="n">
        <v>5932500</v>
      </c>
      <c r="B2724" s="34" t="s">
        <v>5224</v>
      </c>
      <c r="C2724" s="34" t="s">
        <v>1089</v>
      </c>
    </row>
    <row r="2725" customFormat="false" ht="127.5" hidden="false" customHeight="false" outlineLevel="0" collapsed="false">
      <c r="A2725" s="37" t="n">
        <v>5935500</v>
      </c>
      <c r="B2725" s="34" t="s">
        <v>5225</v>
      </c>
      <c r="C2725" s="34" t="s">
        <v>1089</v>
      </c>
    </row>
    <row r="2726" customFormat="false" ht="127.5" hidden="false" customHeight="false" outlineLevel="0" collapsed="false">
      <c r="A2726" s="37" t="n">
        <v>5936500</v>
      </c>
      <c r="B2726" s="34" t="s">
        <v>5226</v>
      </c>
      <c r="C2726" s="34" t="s">
        <v>1089</v>
      </c>
    </row>
    <row r="2727" customFormat="false" ht="127.5" hidden="false" customHeight="false" outlineLevel="0" collapsed="false">
      <c r="A2727" s="37" t="n">
        <v>5937500</v>
      </c>
      <c r="B2727" s="34" t="s">
        <v>5227</v>
      </c>
      <c r="C2727" s="34" t="s">
        <v>1089</v>
      </c>
    </row>
    <row r="2728" customFormat="false" ht="127.5" hidden="false" customHeight="false" outlineLevel="0" collapsed="false">
      <c r="A2728" s="37" t="s">
        <v>5228</v>
      </c>
      <c r="B2728" s="34" t="s">
        <v>5229</v>
      </c>
      <c r="C2728" s="34" t="s">
        <v>1089</v>
      </c>
    </row>
    <row r="2729" customFormat="false" ht="127.5" hidden="false" customHeight="false" outlineLevel="0" collapsed="false">
      <c r="A2729" s="37" t="s">
        <v>5230</v>
      </c>
      <c r="B2729" s="34" t="s">
        <v>5231</v>
      </c>
      <c r="C2729" s="34" t="s">
        <v>1846</v>
      </c>
    </row>
    <row r="2730" customFormat="false" ht="127.5" hidden="false" customHeight="false" outlineLevel="0" collapsed="false">
      <c r="A2730" s="37" t="s">
        <v>5232</v>
      </c>
      <c r="B2730" s="34" t="s">
        <v>5233</v>
      </c>
      <c r="C2730" s="34" t="s">
        <v>1846</v>
      </c>
    </row>
    <row r="2731" customFormat="false" ht="102" hidden="false" customHeight="false" outlineLevel="0" collapsed="false">
      <c r="A2731" s="37" t="s">
        <v>5234</v>
      </c>
      <c r="B2731" s="34" t="s">
        <v>5235</v>
      </c>
      <c r="C2731" s="34" t="s">
        <v>1851</v>
      </c>
    </row>
    <row r="2732" customFormat="false" ht="102" hidden="false" customHeight="false" outlineLevel="0" collapsed="false">
      <c r="A2732" s="37" t="s">
        <v>5236</v>
      </c>
      <c r="B2732" s="34" t="s">
        <v>5237</v>
      </c>
      <c r="C2732" s="34" t="s">
        <v>1851</v>
      </c>
    </row>
    <row r="2733" customFormat="false" ht="102" hidden="false" customHeight="false" outlineLevel="0" collapsed="false">
      <c r="A2733" s="37" t="s">
        <v>5238</v>
      </c>
      <c r="B2733" s="34" t="s">
        <v>5239</v>
      </c>
      <c r="C2733" s="34" t="s">
        <v>1737</v>
      </c>
    </row>
    <row r="2734" customFormat="false" ht="76.5" hidden="false" customHeight="false" outlineLevel="0" collapsed="false">
      <c r="A2734" s="37" t="s">
        <v>5240</v>
      </c>
      <c r="B2734" s="34" t="s">
        <v>5241</v>
      </c>
      <c r="C2734" s="34" t="s">
        <v>1856</v>
      </c>
    </row>
    <row r="2735" customFormat="false" ht="63.75" hidden="false" customHeight="false" outlineLevel="0" collapsed="false">
      <c r="A2735" s="37" t="s">
        <v>5242</v>
      </c>
      <c r="B2735" s="34" t="s">
        <v>5243</v>
      </c>
      <c r="C2735" s="34" t="s">
        <v>1859</v>
      </c>
    </row>
    <row r="2736" customFormat="false" ht="102" hidden="false" customHeight="false" outlineLevel="0" collapsed="false">
      <c r="A2736" s="37" t="s">
        <v>5244</v>
      </c>
      <c r="B2736" s="34" t="s">
        <v>5245</v>
      </c>
      <c r="C2736" s="34" t="s">
        <v>265</v>
      </c>
    </row>
    <row r="2737" customFormat="false" ht="102" hidden="false" customHeight="false" outlineLevel="0" collapsed="false">
      <c r="A2737" s="37" t="s">
        <v>5246</v>
      </c>
      <c r="B2737" s="34" t="s">
        <v>5247</v>
      </c>
      <c r="C2737" s="34" t="s">
        <v>265</v>
      </c>
    </row>
    <row r="2738" customFormat="false" ht="76.5" hidden="false" customHeight="false" outlineLevel="0" collapsed="false">
      <c r="A2738" s="37" t="s">
        <v>5248</v>
      </c>
      <c r="B2738" s="34" t="s">
        <v>5249</v>
      </c>
      <c r="C2738" s="34" t="s">
        <v>3473</v>
      </c>
    </row>
    <row r="2739" customFormat="false" ht="76.5" hidden="false" customHeight="false" outlineLevel="0" collapsed="false">
      <c r="A2739" s="37" t="s">
        <v>5250</v>
      </c>
      <c r="B2739" s="34" t="s">
        <v>5251</v>
      </c>
      <c r="C2739" s="34" t="s">
        <v>3473</v>
      </c>
    </row>
    <row r="2740" customFormat="false" ht="102" hidden="false" customHeight="false" outlineLevel="0" collapsed="false">
      <c r="A2740" s="37" t="s">
        <v>5252</v>
      </c>
      <c r="B2740" s="34" t="s">
        <v>5253</v>
      </c>
      <c r="C2740" s="34" t="s">
        <v>1866</v>
      </c>
    </row>
    <row r="2741" customFormat="false" ht="102" hidden="false" customHeight="false" outlineLevel="0" collapsed="false">
      <c r="A2741" s="37" t="s">
        <v>5254</v>
      </c>
      <c r="B2741" s="34" t="s">
        <v>5255</v>
      </c>
      <c r="C2741" s="34" t="s">
        <v>1866</v>
      </c>
    </row>
    <row r="2742" customFormat="false" ht="102" hidden="false" customHeight="false" outlineLevel="0" collapsed="false">
      <c r="A2742" s="37" t="s">
        <v>5256</v>
      </c>
      <c r="B2742" s="34" t="s">
        <v>5257</v>
      </c>
      <c r="C2742" s="34" t="s">
        <v>1851</v>
      </c>
    </row>
    <row r="2743" customFormat="false" ht="89.25" hidden="false" customHeight="false" outlineLevel="0" collapsed="false">
      <c r="A2743" s="37" t="s">
        <v>5258</v>
      </c>
      <c r="B2743" s="34" t="s">
        <v>5259</v>
      </c>
      <c r="C2743" s="34" t="s">
        <v>254</v>
      </c>
    </row>
    <row r="2744" customFormat="false" ht="127.5" hidden="false" customHeight="false" outlineLevel="0" collapsed="false">
      <c r="A2744" s="37" t="s">
        <v>5260</v>
      </c>
      <c r="B2744" s="34" t="s">
        <v>5261</v>
      </c>
      <c r="C2744" s="34" t="s">
        <v>274</v>
      </c>
    </row>
    <row r="2745" customFormat="false" ht="89.25" hidden="false" customHeight="false" outlineLevel="0" collapsed="false">
      <c r="A2745" s="37" t="s">
        <v>5262</v>
      </c>
      <c r="B2745" s="34" t="s">
        <v>5263</v>
      </c>
      <c r="C2745" s="34" t="s">
        <v>1877</v>
      </c>
    </row>
    <row r="2746" customFormat="false" ht="63.75" hidden="false" customHeight="false" outlineLevel="0" collapsed="false">
      <c r="A2746" s="37" t="s">
        <v>5264</v>
      </c>
      <c r="B2746" s="34" t="s">
        <v>5265</v>
      </c>
      <c r="C2746" s="34" t="s">
        <v>139</v>
      </c>
    </row>
    <row r="2747" customFormat="false" ht="63.75" hidden="false" customHeight="false" outlineLevel="0" collapsed="false">
      <c r="A2747" s="37" t="s">
        <v>5266</v>
      </c>
      <c r="B2747" s="34" t="s">
        <v>5267</v>
      </c>
      <c r="C2747" s="34" t="s">
        <v>139</v>
      </c>
    </row>
    <row r="2748" customFormat="false" ht="63.75" hidden="false" customHeight="false" outlineLevel="0" collapsed="false">
      <c r="A2748" s="37" t="s">
        <v>5268</v>
      </c>
      <c r="B2748" s="34" t="s">
        <v>5269</v>
      </c>
      <c r="C2748" s="34" t="s">
        <v>139</v>
      </c>
    </row>
    <row r="2749" customFormat="false" ht="38.25" hidden="false" customHeight="false" outlineLevel="0" collapsed="false">
      <c r="A2749" s="37" t="s">
        <v>5270</v>
      </c>
      <c r="B2749" s="34" t="s">
        <v>5217</v>
      </c>
      <c r="C2749" s="34" t="s">
        <v>965</v>
      </c>
    </row>
    <row r="2750" customFormat="false" ht="38.25" hidden="false" customHeight="false" outlineLevel="0" collapsed="false">
      <c r="A2750" s="37" t="s">
        <v>5271</v>
      </c>
      <c r="B2750" s="34" t="s">
        <v>5272</v>
      </c>
      <c r="C2750" s="34" t="s">
        <v>965</v>
      </c>
    </row>
    <row r="2751" customFormat="false" ht="127.5" hidden="false" customHeight="false" outlineLevel="0" collapsed="false">
      <c r="A2751" s="37" t="n">
        <v>5941100</v>
      </c>
      <c r="B2751" s="34" t="s">
        <v>5273</v>
      </c>
      <c r="C2751" s="34" t="s">
        <v>1099</v>
      </c>
    </row>
    <row r="2752" customFormat="false" ht="127.5" hidden="false" customHeight="false" outlineLevel="0" collapsed="false">
      <c r="A2752" s="37" t="n">
        <v>5941200</v>
      </c>
      <c r="B2752" s="34" t="s">
        <v>5274</v>
      </c>
      <c r="C2752" s="34" t="s">
        <v>1099</v>
      </c>
    </row>
    <row r="2753" customFormat="false" ht="127.5" hidden="false" customHeight="false" outlineLevel="0" collapsed="false">
      <c r="A2753" s="37" t="n">
        <v>5941500</v>
      </c>
      <c r="B2753" s="34" t="s">
        <v>5275</v>
      </c>
      <c r="C2753" s="34" t="s">
        <v>1099</v>
      </c>
    </row>
    <row r="2754" customFormat="false" ht="127.5" hidden="false" customHeight="false" outlineLevel="0" collapsed="false">
      <c r="A2754" s="37" t="n">
        <v>5942100</v>
      </c>
      <c r="B2754" s="34" t="s">
        <v>5276</v>
      </c>
      <c r="C2754" s="34" t="s">
        <v>1099</v>
      </c>
    </row>
    <row r="2755" customFormat="false" ht="127.5" hidden="false" customHeight="false" outlineLevel="0" collapsed="false">
      <c r="A2755" s="37" t="n">
        <v>5942500</v>
      </c>
      <c r="B2755" s="34" t="s">
        <v>5277</v>
      </c>
      <c r="C2755" s="34" t="s">
        <v>1099</v>
      </c>
    </row>
    <row r="2756" customFormat="false" ht="127.5" hidden="false" customHeight="false" outlineLevel="0" collapsed="false">
      <c r="A2756" s="37" t="n">
        <v>5945500</v>
      </c>
      <c r="B2756" s="34" t="s">
        <v>5278</v>
      </c>
      <c r="C2756" s="34" t="s">
        <v>1099</v>
      </c>
    </row>
    <row r="2757" customFormat="false" ht="127.5" hidden="false" customHeight="false" outlineLevel="0" collapsed="false">
      <c r="A2757" s="37" t="n">
        <v>5946500</v>
      </c>
      <c r="B2757" s="34" t="s">
        <v>5279</v>
      </c>
      <c r="C2757" s="34" t="s">
        <v>1099</v>
      </c>
    </row>
    <row r="2758" customFormat="false" ht="127.5" hidden="false" customHeight="false" outlineLevel="0" collapsed="false">
      <c r="A2758" s="37" t="n">
        <v>5947500</v>
      </c>
      <c r="B2758" s="34" t="s">
        <v>5280</v>
      </c>
      <c r="C2758" s="34" t="s">
        <v>1099</v>
      </c>
    </row>
    <row r="2759" customFormat="false" ht="127.5" hidden="false" customHeight="false" outlineLevel="0" collapsed="false">
      <c r="A2759" s="37" t="s">
        <v>5281</v>
      </c>
      <c r="B2759" s="34" t="s">
        <v>5282</v>
      </c>
      <c r="C2759" s="34" t="s">
        <v>1099</v>
      </c>
    </row>
    <row r="2760" customFormat="false" ht="127.5" hidden="false" customHeight="false" outlineLevel="0" collapsed="false">
      <c r="A2760" s="37" t="s">
        <v>5283</v>
      </c>
      <c r="B2760" s="34" t="s">
        <v>5284</v>
      </c>
      <c r="C2760" s="34" t="s">
        <v>1904</v>
      </c>
    </row>
    <row r="2761" customFormat="false" ht="127.5" hidden="false" customHeight="false" outlineLevel="0" collapsed="false">
      <c r="A2761" s="37" t="s">
        <v>5285</v>
      </c>
      <c r="B2761" s="34" t="s">
        <v>5286</v>
      </c>
      <c r="C2761" s="34" t="s">
        <v>1904</v>
      </c>
    </row>
    <row r="2762" customFormat="false" ht="102" hidden="false" customHeight="false" outlineLevel="0" collapsed="false">
      <c r="A2762" s="37" t="s">
        <v>5287</v>
      </c>
      <c r="B2762" s="34" t="s">
        <v>5288</v>
      </c>
      <c r="C2762" s="34" t="s">
        <v>1909</v>
      </c>
    </row>
    <row r="2763" customFormat="false" ht="102" hidden="false" customHeight="false" outlineLevel="0" collapsed="false">
      <c r="A2763" s="37" t="s">
        <v>5289</v>
      </c>
      <c r="B2763" s="34" t="s">
        <v>5290</v>
      </c>
      <c r="C2763" s="34" t="s">
        <v>1909</v>
      </c>
    </row>
    <row r="2764" customFormat="false" ht="102" hidden="false" customHeight="false" outlineLevel="0" collapsed="false">
      <c r="A2764" s="37" t="s">
        <v>5291</v>
      </c>
      <c r="B2764" s="34" t="s">
        <v>5292</v>
      </c>
      <c r="C2764" s="34" t="s">
        <v>1737</v>
      </c>
    </row>
    <row r="2765" customFormat="false" ht="76.5" hidden="false" customHeight="false" outlineLevel="0" collapsed="false">
      <c r="A2765" s="37" t="s">
        <v>5293</v>
      </c>
      <c r="B2765" s="34" t="s">
        <v>5294</v>
      </c>
      <c r="C2765" s="34" t="s">
        <v>1914</v>
      </c>
    </row>
    <row r="2766" customFormat="false" ht="63.75" hidden="false" customHeight="false" outlineLevel="0" collapsed="false">
      <c r="A2766" s="37" t="s">
        <v>5295</v>
      </c>
      <c r="B2766" s="34" t="s">
        <v>5296</v>
      </c>
      <c r="C2766" s="34" t="s">
        <v>1917</v>
      </c>
    </row>
    <row r="2767" customFormat="false" ht="102" hidden="false" customHeight="false" outlineLevel="0" collapsed="false">
      <c r="A2767" s="37" t="s">
        <v>5297</v>
      </c>
      <c r="B2767" s="34" t="s">
        <v>5298</v>
      </c>
      <c r="C2767" s="34" t="s">
        <v>309</v>
      </c>
    </row>
    <row r="2768" customFormat="false" ht="102" hidden="false" customHeight="false" outlineLevel="0" collapsed="false">
      <c r="A2768" s="37" t="s">
        <v>5299</v>
      </c>
      <c r="B2768" s="34" t="s">
        <v>5300</v>
      </c>
      <c r="C2768" s="34" t="s">
        <v>309</v>
      </c>
    </row>
    <row r="2769" customFormat="false" ht="76.5" hidden="false" customHeight="false" outlineLevel="0" collapsed="false">
      <c r="A2769" s="37" t="s">
        <v>5301</v>
      </c>
      <c r="B2769" s="34" t="s">
        <v>5302</v>
      </c>
      <c r="C2769" s="34" t="s">
        <v>3529</v>
      </c>
    </row>
    <row r="2770" customFormat="false" ht="76.5" hidden="false" customHeight="false" outlineLevel="0" collapsed="false">
      <c r="A2770" s="37" t="s">
        <v>5303</v>
      </c>
      <c r="B2770" s="34" t="s">
        <v>5304</v>
      </c>
      <c r="C2770" s="34" t="s">
        <v>3529</v>
      </c>
    </row>
    <row r="2771" customFormat="false" ht="102" hidden="false" customHeight="false" outlineLevel="0" collapsed="false">
      <c r="A2771" s="37" t="s">
        <v>5305</v>
      </c>
      <c r="B2771" s="34" t="s">
        <v>5306</v>
      </c>
      <c r="C2771" s="34" t="s">
        <v>1924</v>
      </c>
    </row>
    <row r="2772" customFormat="false" ht="102" hidden="false" customHeight="false" outlineLevel="0" collapsed="false">
      <c r="A2772" s="37" t="s">
        <v>5307</v>
      </c>
      <c r="B2772" s="34" t="s">
        <v>5308</v>
      </c>
      <c r="C2772" s="34" t="s">
        <v>1924</v>
      </c>
    </row>
    <row r="2773" customFormat="false" ht="102" hidden="false" customHeight="false" outlineLevel="0" collapsed="false">
      <c r="A2773" s="37" t="s">
        <v>5309</v>
      </c>
      <c r="B2773" s="34" t="s">
        <v>5310</v>
      </c>
      <c r="C2773" s="34" t="s">
        <v>1909</v>
      </c>
    </row>
    <row r="2774" customFormat="false" ht="89.25" hidden="false" customHeight="false" outlineLevel="0" collapsed="false">
      <c r="A2774" s="37" t="s">
        <v>5311</v>
      </c>
      <c r="B2774" s="34" t="s">
        <v>5312</v>
      </c>
      <c r="C2774" s="34" t="s">
        <v>298</v>
      </c>
    </row>
    <row r="2775" customFormat="false" ht="127.5" hidden="false" customHeight="false" outlineLevel="0" collapsed="false">
      <c r="A2775" s="37" t="s">
        <v>5313</v>
      </c>
      <c r="B2775" s="34" t="s">
        <v>5314</v>
      </c>
      <c r="C2775" s="34" t="s">
        <v>318</v>
      </c>
    </row>
    <row r="2776" customFormat="false" ht="89.25" hidden="false" customHeight="false" outlineLevel="0" collapsed="false">
      <c r="A2776" s="37" t="s">
        <v>5315</v>
      </c>
      <c r="B2776" s="34" t="s">
        <v>5316</v>
      </c>
      <c r="C2776" s="34" t="s">
        <v>1935</v>
      </c>
    </row>
    <row r="2777" customFormat="false" ht="63.75" hidden="false" customHeight="false" outlineLevel="0" collapsed="false">
      <c r="A2777" s="37" t="s">
        <v>5317</v>
      </c>
      <c r="B2777" s="34" t="s">
        <v>5318</v>
      </c>
      <c r="C2777" s="34" t="s">
        <v>139</v>
      </c>
    </row>
    <row r="2778" customFormat="false" ht="63.75" hidden="false" customHeight="false" outlineLevel="0" collapsed="false">
      <c r="A2778" s="37" t="s">
        <v>5319</v>
      </c>
      <c r="B2778" s="34" t="s">
        <v>5320</v>
      </c>
      <c r="C2778" s="34" t="s">
        <v>139</v>
      </c>
    </row>
    <row r="2779" customFormat="false" ht="63.75" hidden="false" customHeight="false" outlineLevel="0" collapsed="false">
      <c r="A2779" s="37" t="s">
        <v>5321</v>
      </c>
      <c r="B2779" s="34" t="s">
        <v>5322</v>
      </c>
      <c r="C2779" s="34" t="s">
        <v>139</v>
      </c>
    </row>
    <row r="2780" customFormat="false" ht="38.25" hidden="false" customHeight="false" outlineLevel="0" collapsed="false">
      <c r="A2780" s="37" t="s">
        <v>5323</v>
      </c>
      <c r="B2780" s="34" t="s">
        <v>5324</v>
      </c>
      <c r="C2780" s="34" t="s">
        <v>965</v>
      </c>
    </row>
    <row r="2781" customFormat="false" ht="38.25" hidden="false" customHeight="false" outlineLevel="0" collapsed="false">
      <c r="A2781" s="37" t="s">
        <v>5325</v>
      </c>
      <c r="B2781" s="34" t="s">
        <v>5326</v>
      </c>
      <c r="C2781" s="34" t="s">
        <v>965</v>
      </c>
    </row>
    <row r="2782" customFormat="false" ht="127.5" hidden="false" customHeight="false" outlineLevel="0" collapsed="false">
      <c r="A2782" s="37" t="n">
        <v>5951100</v>
      </c>
      <c r="B2782" s="34" t="s">
        <v>5327</v>
      </c>
      <c r="C2782" s="34" t="s">
        <v>1108</v>
      </c>
    </row>
    <row r="2783" customFormat="false" ht="127.5" hidden="false" customHeight="false" outlineLevel="0" collapsed="false">
      <c r="A2783" s="37" t="n">
        <v>5951200</v>
      </c>
      <c r="B2783" s="34" t="s">
        <v>5328</v>
      </c>
      <c r="C2783" s="34" t="s">
        <v>1108</v>
      </c>
    </row>
    <row r="2784" customFormat="false" ht="127.5" hidden="false" customHeight="false" outlineLevel="0" collapsed="false">
      <c r="A2784" s="37" t="n">
        <v>5951500</v>
      </c>
      <c r="B2784" s="34" t="s">
        <v>5329</v>
      </c>
      <c r="C2784" s="34" t="s">
        <v>1108</v>
      </c>
    </row>
    <row r="2785" customFormat="false" ht="127.5" hidden="false" customHeight="false" outlineLevel="0" collapsed="false">
      <c r="A2785" s="37" t="n">
        <v>5952100</v>
      </c>
      <c r="B2785" s="34" t="s">
        <v>5330</v>
      </c>
      <c r="C2785" s="34" t="s">
        <v>1108</v>
      </c>
    </row>
    <row r="2786" customFormat="false" ht="127.5" hidden="false" customHeight="false" outlineLevel="0" collapsed="false">
      <c r="A2786" s="37" t="n">
        <v>5952500</v>
      </c>
      <c r="B2786" s="34" t="s">
        <v>5331</v>
      </c>
      <c r="C2786" s="34" t="s">
        <v>1108</v>
      </c>
    </row>
    <row r="2787" customFormat="false" ht="127.5" hidden="false" customHeight="false" outlineLevel="0" collapsed="false">
      <c r="A2787" s="37" t="n">
        <v>5955500</v>
      </c>
      <c r="B2787" s="34" t="s">
        <v>5332</v>
      </c>
      <c r="C2787" s="34" t="s">
        <v>1108</v>
      </c>
    </row>
    <row r="2788" customFormat="false" ht="127.5" hidden="false" customHeight="false" outlineLevel="0" collapsed="false">
      <c r="A2788" s="37" t="n">
        <v>5956500</v>
      </c>
      <c r="B2788" s="34" t="s">
        <v>5333</v>
      </c>
      <c r="C2788" s="34" t="s">
        <v>1108</v>
      </c>
    </row>
    <row r="2789" customFormat="false" ht="127.5" hidden="false" customHeight="false" outlineLevel="0" collapsed="false">
      <c r="A2789" s="37" t="n">
        <v>5957500</v>
      </c>
      <c r="B2789" s="34" t="s">
        <v>5334</v>
      </c>
      <c r="C2789" s="34" t="s">
        <v>1108</v>
      </c>
    </row>
    <row r="2790" customFormat="false" ht="127.5" hidden="false" customHeight="false" outlineLevel="0" collapsed="false">
      <c r="A2790" s="37" t="s">
        <v>5335</v>
      </c>
      <c r="B2790" s="34" t="s">
        <v>5336</v>
      </c>
      <c r="C2790" s="34" t="s">
        <v>1108</v>
      </c>
    </row>
    <row r="2791" customFormat="false" ht="127.5" hidden="false" customHeight="false" outlineLevel="0" collapsed="false">
      <c r="A2791" s="37" t="s">
        <v>5337</v>
      </c>
      <c r="B2791" s="34" t="s">
        <v>5338</v>
      </c>
      <c r="C2791" s="34" t="s">
        <v>1967</v>
      </c>
    </row>
    <row r="2792" customFormat="false" ht="127.5" hidden="false" customHeight="false" outlineLevel="0" collapsed="false">
      <c r="A2792" s="37" t="s">
        <v>5339</v>
      </c>
      <c r="B2792" s="34" t="s">
        <v>5340</v>
      </c>
      <c r="C2792" s="34" t="s">
        <v>1967</v>
      </c>
    </row>
    <row r="2793" customFormat="false" ht="102" hidden="false" customHeight="false" outlineLevel="0" collapsed="false">
      <c r="A2793" s="37" t="s">
        <v>5341</v>
      </c>
      <c r="B2793" s="34" t="s">
        <v>5342</v>
      </c>
      <c r="C2793" s="34" t="s">
        <v>1972</v>
      </c>
    </row>
    <row r="2794" customFormat="false" ht="102" hidden="false" customHeight="false" outlineLevel="0" collapsed="false">
      <c r="A2794" s="37" t="s">
        <v>5343</v>
      </c>
      <c r="B2794" s="34" t="s">
        <v>5344</v>
      </c>
      <c r="C2794" s="34" t="s">
        <v>1972</v>
      </c>
    </row>
    <row r="2795" customFormat="false" ht="102" hidden="false" customHeight="false" outlineLevel="0" collapsed="false">
      <c r="A2795" s="37" t="s">
        <v>5345</v>
      </c>
      <c r="B2795" s="34" t="s">
        <v>5346</v>
      </c>
      <c r="C2795" s="34" t="s">
        <v>1737</v>
      </c>
    </row>
    <row r="2796" customFormat="false" ht="76.5" hidden="false" customHeight="false" outlineLevel="0" collapsed="false">
      <c r="A2796" s="37" t="s">
        <v>5347</v>
      </c>
      <c r="B2796" s="34" t="s">
        <v>5348</v>
      </c>
      <c r="C2796" s="34" t="s">
        <v>1977</v>
      </c>
    </row>
    <row r="2797" customFormat="false" ht="63.75" hidden="false" customHeight="false" outlineLevel="0" collapsed="false">
      <c r="A2797" s="37" t="s">
        <v>5349</v>
      </c>
      <c r="B2797" s="34" t="s">
        <v>5350</v>
      </c>
      <c r="C2797" s="34" t="s">
        <v>1980</v>
      </c>
    </row>
    <row r="2798" customFormat="false" ht="102" hidden="false" customHeight="false" outlineLevel="0" collapsed="false">
      <c r="A2798" s="37" t="s">
        <v>5351</v>
      </c>
      <c r="B2798" s="34" t="s">
        <v>5352</v>
      </c>
      <c r="C2798" s="34" t="s">
        <v>351</v>
      </c>
    </row>
    <row r="2799" customFormat="false" ht="102" hidden="false" customHeight="false" outlineLevel="0" collapsed="false">
      <c r="A2799" s="37" t="s">
        <v>5353</v>
      </c>
      <c r="B2799" s="34" t="s">
        <v>5354</v>
      </c>
      <c r="C2799" s="34" t="s">
        <v>351</v>
      </c>
    </row>
    <row r="2800" customFormat="false" ht="76.5" hidden="false" customHeight="false" outlineLevel="0" collapsed="false">
      <c r="A2800" s="37" t="s">
        <v>5355</v>
      </c>
      <c r="B2800" s="34" t="s">
        <v>5356</v>
      </c>
      <c r="C2800" s="34" t="s">
        <v>3586</v>
      </c>
    </row>
    <row r="2801" customFormat="false" ht="76.5" hidden="false" customHeight="false" outlineLevel="0" collapsed="false">
      <c r="A2801" s="37" t="s">
        <v>5357</v>
      </c>
      <c r="B2801" s="34" t="s">
        <v>5358</v>
      </c>
      <c r="C2801" s="34" t="s">
        <v>3586</v>
      </c>
    </row>
    <row r="2802" customFormat="false" ht="102" hidden="false" customHeight="false" outlineLevel="0" collapsed="false">
      <c r="A2802" s="37" t="s">
        <v>5359</v>
      </c>
      <c r="B2802" s="34" t="s">
        <v>5360</v>
      </c>
      <c r="C2802" s="34" t="s">
        <v>1987</v>
      </c>
    </row>
    <row r="2803" customFormat="false" ht="102" hidden="false" customHeight="false" outlineLevel="0" collapsed="false">
      <c r="A2803" s="37" t="s">
        <v>5361</v>
      </c>
      <c r="B2803" s="34" t="s">
        <v>5362</v>
      </c>
      <c r="C2803" s="34" t="s">
        <v>1987</v>
      </c>
    </row>
    <row r="2804" customFormat="false" ht="102" hidden="false" customHeight="false" outlineLevel="0" collapsed="false">
      <c r="A2804" s="37" t="s">
        <v>5363</v>
      </c>
      <c r="B2804" s="34" t="s">
        <v>5364</v>
      </c>
      <c r="C2804" s="34" t="s">
        <v>1972</v>
      </c>
    </row>
    <row r="2805" customFormat="false" ht="89.25" hidden="false" customHeight="false" outlineLevel="0" collapsed="false">
      <c r="A2805" s="37" t="s">
        <v>5365</v>
      </c>
      <c r="B2805" s="34" t="s">
        <v>5366</v>
      </c>
      <c r="C2805" s="34" t="s">
        <v>340</v>
      </c>
    </row>
    <row r="2806" customFormat="false" ht="127.5" hidden="false" customHeight="false" outlineLevel="0" collapsed="false">
      <c r="A2806" s="37" t="s">
        <v>5367</v>
      </c>
      <c r="B2806" s="34" t="s">
        <v>5368</v>
      </c>
      <c r="C2806" s="34" t="s">
        <v>360</v>
      </c>
    </row>
    <row r="2807" customFormat="false" ht="89.25" hidden="false" customHeight="false" outlineLevel="0" collapsed="false">
      <c r="A2807" s="37" t="s">
        <v>5369</v>
      </c>
      <c r="B2807" s="34" t="s">
        <v>5370</v>
      </c>
      <c r="C2807" s="34" t="s">
        <v>1998</v>
      </c>
    </row>
    <row r="2808" customFormat="false" ht="63.75" hidden="false" customHeight="false" outlineLevel="0" collapsed="false">
      <c r="A2808" s="37" t="s">
        <v>5371</v>
      </c>
      <c r="B2808" s="34" t="s">
        <v>5372</v>
      </c>
      <c r="C2808" s="34" t="s">
        <v>139</v>
      </c>
    </row>
    <row r="2809" customFormat="false" ht="63.75" hidden="false" customHeight="false" outlineLevel="0" collapsed="false">
      <c r="A2809" s="37" t="s">
        <v>5373</v>
      </c>
      <c r="B2809" s="34" t="s">
        <v>5374</v>
      </c>
      <c r="C2809" s="34" t="s">
        <v>139</v>
      </c>
    </row>
    <row r="2810" customFormat="false" ht="63.75" hidden="false" customHeight="false" outlineLevel="0" collapsed="false">
      <c r="A2810" s="37" t="s">
        <v>5375</v>
      </c>
      <c r="B2810" s="34" t="s">
        <v>5376</v>
      </c>
      <c r="C2810" s="34" t="s">
        <v>139</v>
      </c>
    </row>
    <row r="2811" customFormat="false" ht="38.25" hidden="false" customHeight="false" outlineLevel="0" collapsed="false">
      <c r="A2811" s="37" t="s">
        <v>5377</v>
      </c>
      <c r="B2811" s="34" t="s">
        <v>5378</v>
      </c>
      <c r="C2811" s="34" t="s">
        <v>965</v>
      </c>
    </row>
    <row r="2812" customFormat="false" ht="38.25" hidden="false" customHeight="false" outlineLevel="0" collapsed="false">
      <c r="A2812" s="37" t="s">
        <v>5379</v>
      </c>
      <c r="B2812" s="34" t="s">
        <v>5380</v>
      </c>
      <c r="C2812" s="34" t="s">
        <v>965</v>
      </c>
    </row>
    <row r="2813" customFormat="false" ht="89.25" hidden="false" customHeight="false" outlineLevel="0" collapsed="false">
      <c r="A2813" s="37" t="n">
        <v>5962100</v>
      </c>
      <c r="B2813" s="34" t="s">
        <v>5381</v>
      </c>
      <c r="C2813" s="34" t="s">
        <v>1115</v>
      </c>
    </row>
    <row r="2814" customFormat="false" ht="38.25" hidden="false" customHeight="false" outlineLevel="0" collapsed="false">
      <c r="A2814" s="37" t="n">
        <v>5962400</v>
      </c>
      <c r="B2814" s="34" t="s">
        <v>5382</v>
      </c>
      <c r="C2814" s="34" t="s">
        <v>965</v>
      </c>
    </row>
    <row r="2815" customFormat="false" ht="89.25" hidden="false" customHeight="false" outlineLevel="0" collapsed="false">
      <c r="A2815" s="37" t="s">
        <v>5383</v>
      </c>
      <c r="B2815" s="34" t="s">
        <v>5384</v>
      </c>
      <c r="C2815" s="34" t="s">
        <v>1115</v>
      </c>
    </row>
    <row r="2816" customFormat="false" ht="63.75" hidden="false" customHeight="false" outlineLevel="0" collapsed="false">
      <c r="A2816" s="37" t="s">
        <v>5385</v>
      </c>
      <c r="B2816" s="34" t="s">
        <v>5386</v>
      </c>
      <c r="C2816" s="34" t="s">
        <v>1142</v>
      </c>
    </row>
    <row r="2817" customFormat="false" ht="63.75" hidden="false" customHeight="false" outlineLevel="0" collapsed="false">
      <c r="A2817" s="37" t="s">
        <v>5387</v>
      </c>
      <c r="B2817" s="34" t="s">
        <v>5388</v>
      </c>
      <c r="C2817" s="34" t="s">
        <v>1142</v>
      </c>
    </row>
    <row r="2818" customFormat="false" ht="63.75" hidden="false" customHeight="false" outlineLevel="0" collapsed="false">
      <c r="A2818" s="37" t="s">
        <v>5389</v>
      </c>
      <c r="B2818" s="34" t="s">
        <v>5390</v>
      </c>
      <c r="C2818" s="34" t="s">
        <v>1142</v>
      </c>
    </row>
    <row r="2819" customFormat="false" ht="63.75" hidden="false" customHeight="false" outlineLevel="0" collapsed="false">
      <c r="A2819" s="37" t="s">
        <v>5391</v>
      </c>
      <c r="B2819" s="34" t="s">
        <v>5392</v>
      </c>
      <c r="C2819" s="34" t="s">
        <v>1142</v>
      </c>
    </row>
    <row r="2820" customFormat="false" ht="63.75" hidden="false" customHeight="false" outlineLevel="0" collapsed="false">
      <c r="A2820" s="37" t="s">
        <v>5393</v>
      </c>
      <c r="B2820" s="39" t="s">
        <v>5394</v>
      </c>
      <c r="C2820" s="34" t="s">
        <v>1142</v>
      </c>
    </row>
    <row r="2821" customFormat="false" ht="89.25" hidden="false" customHeight="false" outlineLevel="0" collapsed="false">
      <c r="A2821" s="37" t="s">
        <v>5395</v>
      </c>
      <c r="B2821" s="34" t="s">
        <v>5396</v>
      </c>
      <c r="C2821" s="34" t="s">
        <v>387</v>
      </c>
    </row>
    <row r="2822" customFormat="false" ht="89.25" hidden="false" customHeight="false" outlineLevel="0" collapsed="false">
      <c r="A2822" s="37" t="s">
        <v>5397</v>
      </c>
      <c r="B2822" s="34" t="s">
        <v>5398</v>
      </c>
      <c r="C2822" s="34" t="s">
        <v>387</v>
      </c>
    </row>
    <row r="2823" customFormat="false" ht="51" hidden="false" customHeight="false" outlineLevel="0" collapsed="false">
      <c r="A2823" s="37" t="s">
        <v>5399</v>
      </c>
      <c r="B2823" s="34" t="s">
        <v>5400</v>
      </c>
      <c r="C2823" s="34" t="s">
        <v>1170</v>
      </c>
    </row>
    <row r="2824" customFormat="false" ht="51" hidden="false" customHeight="false" outlineLevel="0" collapsed="false">
      <c r="A2824" s="37" t="s">
        <v>5401</v>
      </c>
      <c r="B2824" s="34" t="s">
        <v>5402</v>
      </c>
      <c r="C2824" s="34" t="s">
        <v>1170</v>
      </c>
    </row>
    <row r="2825" customFormat="false" ht="51" hidden="false" customHeight="false" outlineLevel="0" collapsed="false">
      <c r="A2825" s="37" t="s">
        <v>5403</v>
      </c>
      <c r="B2825" s="34" t="s">
        <v>5404</v>
      </c>
      <c r="C2825" s="34" t="s">
        <v>1170</v>
      </c>
    </row>
    <row r="2826" customFormat="false" ht="63.75" hidden="false" customHeight="false" outlineLevel="0" collapsed="false">
      <c r="A2826" s="37" t="s">
        <v>5405</v>
      </c>
      <c r="B2826" s="34" t="s">
        <v>5406</v>
      </c>
      <c r="C2826" s="34" t="s">
        <v>373</v>
      </c>
    </row>
    <row r="2827" customFormat="false" ht="63.75" hidden="false" customHeight="false" outlineLevel="0" collapsed="false">
      <c r="A2827" s="37" t="s">
        <v>5407</v>
      </c>
      <c r="B2827" s="34" t="s">
        <v>5408</v>
      </c>
      <c r="C2827" s="34" t="s">
        <v>373</v>
      </c>
    </row>
    <row r="2828" customFormat="false" ht="51" hidden="false" customHeight="false" outlineLevel="0" collapsed="false">
      <c r="A2828" s="37" t="s">
        <v>5409</v>
      </c>
      <c r="B2828" s="34" t="s">
        <v>5410</v>
      </c>
      <c r="C2828" s="34" t="s">
        <v>384</v>
      </c>
    </row>
    <row r="2829" customFormat="false" ht="89.25" hidden="false" customHeight="false" outlineLevel="0" collapsed="false">
      <c r="A2829" s="37" t="s">
        <v>5411</v>
      </c>
      <c r="B2829" s="34" t="s">
        <v>5412</v>
      </c>
      <c r="C2829" s="34" t="s">
        <v>1186</v>
      </c>
    </row>
    <row r="2830" customFormat="false" ht="76.5" hidden="false" customHeight="false" outlineLevel="0" collapsed="false">
      <c r="A2830" s="37" t="s">
        <v>5413</v>
      </c>
      <c r="B2830" s="34" t="s">
        <v>5414</v>
      </c>
      <c r="C2830" s="34" t="s">
        <v>1188</v>
      </c>
    </row>
    <row r="2831" customFormat="false" ht="76.5" hidden="false" customHeight="false" outlineLevel="0" collapsed="false">
      <c r="A2831" s="37" t="s">
        <v>5415</v>
      </c>
      <c r="B2831" s="34" t="s">
        <v>5416</v>
      </c>
      <c r="C2831" s="34" t="s">
        <v>1188</v>
      </c>
    </row>
    <row r="2832" customFormat="false" ht="76.5" hidden="false" customHeight="false" outlineLevel="0" collapsed="false">
      <c r="A2832" s="37" t="s">
        <v>5417</v>
      </c>
      <c r="B2832" s="34" t="s">
        <v>5418</v>
      </c>
      <c r="C2832" s="34" t="s">
        <v>1188</v>
      </c>
    </row>
    <row r="2833" customFormat="false" ht="76.5" hidden="false" customHeight="false" outlineLevel="0" collapsed="false">
      <c r="A2833" s="37" t="s">
        <v>5419</v>
      </c>
      <c r="B2833" s="34" t="s">
        <v>5420</v>
      </c>
      <c r="C2833" s="34" t="s">
        <v>1193</v>
      </c>
    </row>
    <row r="2834" customFormat="false" ht="89.25" hidden="false" customHeight="false" outlineLevel="0" collapsed="false">
      <c r="A2834" s="37" t="s">
        <v>5421</v>
      </c>
      <c r="B2834" s="34" t="s">
        <v>5422</v>
      </c>
      <c r="C2834" s="34" t="s">
        <v>1198</v>
      </c>
    </row>
    <row r="2835" customFormat="false" ht="89.25" hidden="false" customHeight="false" outlineLevel="0" collapsed="false">
      <c r="A2835" s="37" t="s">
        <v>5423</v>
      </c>
      <c r="B2835" s="34" t="s">
        <v>5424</v>
      </c>
      <c r="C2835" s="34" t="s">
        <v>1198</v>
      </c>
    </row>
    <row r="2836" customFormat="false" ht="89.25" hidden="false" customHeight="false" outlineLevel="0" collapsed="false">
      <c r="A2836" s="37" t="s">
        <v>5425</v>
      </c>
      <c r="B2836" s="34" t="s">
        <v>5426</v>
      </c>
      <c r="C2836" s="34" t="s">
        <v>1198</v>
      </c>
    </row>
    <row r="2837" customFormat="false" ht="89.25" hidden="false" customHeight="false" outlineLevel="0" collapsed="false">
      <c r="A2837" s="37" t="s">
        <v>5427</v>
      </c>
      <c r="B2837" s="34" t="s">
        <v>5428</v>
      </c>
      <c r="C2837" s="34" t="s">
        <v>1198</v>
      </c>
    </row>
    <row r="2838" customFormat="false" ht="89.25" hidden="false" customHeight="false" outlineLevel="0" collapsed="false">
      <c r="A2838" s="37" t="s">
        <v>5429</v>
      </c>
      <c r="B2838" s="34" t="s">
        <v>5430</v>
      </c>
      <c r="C2838" s="34" t="s">
        <v>1198</v>
      </c>
    </row>
    <row r="2839" customFormat="false" ht="102" hidden="false" customHeight="false" outlineLevel="0" collapsed="false">
      <c r="A2839" s="37" t="s">
        <v>5431</v>
      </c>
      <c r="B2839" s="34" t="s">
        <v>5432</v>
      </c>
      <c r="C2839" s="34" t="s">
        <v>1215</v>
      </c>
    </row>
    <row r="2840" customFormat="false" ht="38.25" hidden="false" customHeight="false" outlineLevel="0" collapsed="false">
      <c r="A2840" s="37" t="s">
        <v>5433</v>
      </c>
      <c r="B2840" s="34" t="s">
        <v>5434</v>
      </c>
      <c r="C2840" s="34" t="s">
        <v>965</v>
      </c>
    </row>
    <row r="2841" customFormat="false" ht="63.75" hidden="false" customHeight="false" outlineLevel="0" collapsed="false">
      <c r="A2841" s="37" t="s">
        <v>5435</v>
      </c>
      <c r="B2841" s="34" t="s">
        <v>5436</v>
      </c>
      <c r="C2841" s="34" t="s">
        <v>139</v>
      </c>
    </row>
    <row r="2842" customFormat="false" ht="63.75" hidden="false" customHeight="false" outlineLevel="0" collapsed="false">
      <c r="A2842" s="37" t="s">
        <v>5437</v>
      </c>
      <c r="B2842" s="34" t="s">
        <v>5438</v>
      </c>
      <c r="C2842" s="34" t="s">
        <v>139</v>
      </c>
    </row>
    <row r="2843" customFormat="false" ht="63.75" hidden="false" customHeight="false" outlineLevel="0" collapsed="false">
      <c r="A2843" s="37" t="s">
        <v>5439</v>
      </c>
      <c r="B2843" s="34" t="s">
        <v>5440</v>
      </c>
      <c r="C2843" s="34" t="s">
        <v>139</v>
      </c>
    </row>
    <row r="2844" customFormat="false" ht="89.25" hidden="false" customHeight="false" outlineLevel="0" collapsed="false">
      <c r="A2844" s="37" t="n">
        <v>5971300</v>
      </c>
      <c r="B2844" s="34" t="s">
        <v>5441</v>
      </c>
      <c r="C2844" s="34" t="s">
        <v>122</v>
      </c>
    </row>
    <row r="2845" customFormat="false" ht="89.25" hidden="false" customHeight="false" outlineLevel="0" collapsed="false">
      <c r="A2845" s="37" t="n">
        <v>5972100</v>
      </c>
      <c r="B2845" s="34" t="s">
        <v>5442</v>
      </c>
      <c r="C2845" s="34" t="s">
        <v>122</v>
      </c>
    </row>
    <row r="2846" customFormat="false" ht="89.25" hidden="false" customHeight="false" outlineLevel="0" collapsed="false">
      <c r="A2846" s="37" t="n">
        <v>5972200</v>
      </c>
      <c r="B2846" s="34" t="s">
        <v>5443</v>
      </c>
      <c r="C2846" s="34" t="s">
        <v>122</v>
      </c>
    </row>
    <row r="2847" customFormat="false" ht="89.25" hidden="false" customHeight="false" outlineLevel="0" collapsed="false">
      <c r="A2847" s="37" t="n">
        <v>5972300</v>
      </c>
      <c r="B2847" s="34" t="s">
        <v>5092</v>
      </c>
      <c r="C2847" s="34" t="s">
        <v>122</v>
      </c>
    </row>
    <row r="2848" customFormat="false" ht="89.25" hidden="false" customHeight="false" outlineLevel="0" collapsed="false">
      <c r="A2848" s="37" t="n">
        <v>5972800</v>
      </c>
      <c r="B2848" s="34" t="s">
        <v>5444</v>
      </c>
      <c r="C2848" s="34" t="s">
        <v>122</v>
      </c>
    </row>
    <row r="2849" customFormat="false" ht="51" hidden="false" customHeight="false" outlineLevel="0" collapsed="false">
      <c r="A2849" s="37" t="s">
        <v>5445</v>
      </c>
      <c r="B2849" s="34" t="s">
        <v>5446</v>
      </c>
      <c r="C2849" s="34" t="s">
        <v>437</v>
      </c>
    </row>
    <row r="2850" customFormat="false" ht="51" hidden="false" customHeight="false" outlineLevel="0" collapsed="false">
      <c r="A2850" s="37" t="s">
        <v>5447</v>
      </c>
      <c r="B2850" s="34" t="s">
        <v>5448</v>
      </c>
      <c r="C2850" s="34" t="s">
        <v>437</v>
      </c>
    </row>
    <row r="2851" customFormat="false" ht="51" hidden="false" customHeight="false" outlineLevel="0" collapsed="false">
      <c r="A2851" s="37" t="s">
        <v>5449</v>
      </c>
      <c r="B2851" s="34" t="s">
        <v>5450</v>
      </c>
      <c r="C2851" s="34" t="s">
        <v>437</v>
      </c>
    </row>
    <row r="2852" customFormat="false" ht="89.25" hidden="false" customHeight="false" outlineLevel="0" collapsed="false">
      <c r="A2852" s="37" t="s">
        <v>5451</v>
      </c>
      <c r="B2852" s="34" t="s">
        <v>5452</v>
      </c>
      <c r="C2852" s="34" t="s">
        <v>444</v>
      </c>
    </row>
    <row r="2853" customFormat="false" ht="89.25" hidden="false" customHeight="false" outlineLevel="0" collapsed="false">
      <c r="A2853" s="37" t="s">
        <v>5453</v>
      </c>
      <c r="B2853" s="34" t="s">
        <v>5454</v>
      </c>
      <c r="C2853" s="34" t="s">
        <v>444</v>
      </c>
    </row>
    <row r="2854" customFormat="false" ht="89.25" hidden="false" customHeight="false" outlineLevel="0" collapsed="false">
      <c r="A2854" s="37" t="s">
        <v>5455</v>
      </c>
      <c r="B2854" s="34" t="s">
        <v>5456</v>
      </c>
      <c r="C2854" s="34" t="s">
        <v>449</v>
      </c>
    </row>
    <row r="2855" customFormat="false" ht="89.25" hidden="false" customHeight="false" outlineLevel="0" collapsed="false">
      <c r="A2855" s="37" t="s">
        <v>5457</v>
      </c>
      <c r="B2855" s="34" t="s">
        <v>5458</v>
      </c>
      <c r="C2855" s="34" t="s">
        <v>449</v>
      </c>
    </row>
    <row r="2856" customFormat="false" ht="63.75" hidden="false" customHeight="false" outlineLevel="0" collapsed="false">
      <c r="A2856" s="37" t="s">
        <v>5459</v>
      </c>
      <c r="B2856" s="34" t="s">
        <v>5460</v>
      </c>
      <c r="C2856" s="34" t="s">
        <v>452</v>
      </c>
    </row>
    <row r="2857" customFormat="false" ht="63.75" hidden="false" customHeight="false" outlineLevel="0" collapsed="false">
      <c r="A2857" s="37" t="s">
        <v>5461</v>
      </c>
      <c r="B2857" s="34" t="s">
        <v>5462</v>
      </c>
      <c r="C2857" s="34" t="s">
        <v>139</v>
      </c>
    </row>
    <row r="2858" customFormat="false" ht="63.75" hidden="false" customHeight="false" outlineLevel="0" collapsed="false">
      <c r="A2858" s="37" t="s">
        <v>5463</v>
      </c>
      <c r="B2858" s="34" t="s">
        <v>5464</v>
      </c>
      <c r="C2858" s="34" t="s">
        <v>139</v>
      </c>
    </row>
    <row r="2859" customFormat="false" ht="63.75" hidden="false" customHeight="false" outlineLevel="0" collapsed="false">
      <c r="A2859" s="37" t="s">
        <v>5465</v>
      </c>
      <c r="B2859" s="34" t="s">
        <v>5466</v>
      </c>
      <c r="C2859" s="34" t="s">
        <v>139</v>
      </c>
    </row>
    <row r="2860" customFormat="false" ht="38.25" hidden="false" customHeight="false" outlineLevel="0" collapsed="false">
      <c r="A2860" s="37" t="s">
        <v>5467</v>
      </c>
      <c r="B2860" s="34" t="s">
        <v>5468</v>
      </c>
      <c r="C2860" s="34" t="s">
        <v>463</v>
      </c>
    </row>
    <row r="2861" customFormat="false" ht="38.25" hidden="false" customHeight="false" outlineLevel="0" collapsed="false">
      <c r="A2861" s="37" t="s">
        <v>5469</v>
      </c>
      <c r="B2861" s="34" t="s">
        <v>5470</v>
      </c>
      <c r="C2861" s="34" t="s">
        <v>466</v>
      </c>
    </row>
    <row r="2862" customFormat="false" ht="38.25" hidden="false" customHeight="false" outlineLevel="0" collapsed="false">
      <c r="A2862" s="37" t="s">
        <v>5471</v>
      </c>
      <c r="B2862" s="34" t="s">
        <v>5472</v>
      </c>
      <c r="C2862" s="34" t="s">
        <v>469</v>
      </c>
    </row>
    <row r="2863" customFormat="false" ht="38.25" hidden="false" customHeight="false" outlineLevel="0" collapsed="false">
      <c r="A2863" s="37" t="s">
        <v>5473</v>
      </c>
      <c r="B2863" s="34" t="s">
        <v>5474</v>
      </c>
      <c r="C2863" s="34" t="s">
        <v>472</v>
      </c>
    </row>
    <row r="2864" customFormat="false" ht="38.25" hidden="false" customHeight="false" outlineLevel="0" collapsed="false">
      <c r="A2864" s="37" t="s">
        <v>5475</v>
      </c>
      <c r="B2864" s="34" t="s">
        <v>5476</v>
      </c>
      <c r="C2864" s="34" t="s">
        <v>475</v>
      </c>
    </row>
    <row r="2865" customFormat="false" ht="38.25" hidden="false" customHeight="false" outlineLevel="0" collapsed="false">
      <c r="A2865" s="37" t="s">
        <v>5477</v>
      </c>
      <c r="B2865" s="34" t="s">
        <v>5478</v>
      </c>
      <c r="C2865" s="34" t="s">
        <v>478</v>
      </c>
    </row>
    <row r="2866" customFormat="false" ht="38.25" hidden="false" customHeight="false" outlineLevel="0" collapsed="false">
      <c r="A2866" s="37" t="s">
        <v>5479</v>
      </c>
      <c r="B2866" s="34" t="s">
        <v>5480</v>
      </c>
      <c r="C2866" s="34" t="s">
        <v>481</v>
      </c>
    </row>
    <row r="2867" customFormat="false" ht="38.25" hidden="false" customHeight="false" outlineLevel="0" collapsed="false">
      <c r="A2867" s="37" t="s">
        <v>5481</v>
      </c>
      <c r="B2867" s="34" t="s">
        <v>5482</v>
      </c>
      <c r="C2867" s="34" t="s">
        <v>484</v>
      </c>
    </row>
    <row r="2868" customFormat="false" ht="38.25" hidden="false" customHeight="false" outlineLevel="0" collapsed="false">
      <c r="A2868" s="37" t="s">
        <v>5483</v>
      </c>
      <c r="B2868" s="34" t="s">
        <v>5484</v>
      </c>
      <c r="C2868" s="34" t="s">
        <v>487</v>
      </c>
    </row>
    <row r="2869" customFormat="false" ht="38.25" hidden="false" customHeight="false" outlineLevel="0" collapsed="false">
      <c r="A2869" s="37" t="s">
        <v>5485</v>
      </c>
      <c r="B2869" s="34" t="s">
        <v>5486</v>
      </c>
      <c r="C2869" s="34" t="s">
        <v>490</v>
      </c>
    </row>
    <row r="2870" customFormat="false" ht="38.25" hidden="false" customHeight="false" outlineLevel="0" collapsed="false">
      <c r="A2870" s="37" t="s">
        <v>5487</v>
      </c>
      <c r="B2870" s="34" t="s">
        <v>5488</v>
      </c>
      <c r="C2870" s="34" t="s">
        <v>493</v>
      </c>
    </row>
    <row r="2871" customFormat="false" ht="38.25" hidden="false" customHeight="false" outlineLevel="0" collapsed="false">
      <c r="A2871" s="37" t="s">
        <v>5489</v>
      </c>
      <c r="B2871" s="34" t="s">
        <v>5490</v>
      </c>
      <c r="C2871" s="34" t="s">
        <v>496</v>
      </c>
    </row>
    <row r="2872" customFormat="false" ht="38.25" hidden="false" customHeight="false" outlineLevel="0" collapsed="false">
      <c r="A2872" s="37" t="s">
        <v>5491</v>
      </c>
      <c r="B2872" s="34" t="s">
        <v>5492</v>
      </c>
      <c r="C2872" s="34" t="s">
        <v>499</v>
      </c>
    </row>
    <row r="2873" customFormat="false" ht="38.25" hidden="false" customHeight="false" outlineLevel="0" collapsed="false">
      <c r="A2873" s="37" t="s">
        <v>5493</v>
      </c>
      <c r="B2873" s="34" t="s">
        <v>5494</v>
      </c>
      <c r="C2873" s="34" t="s">
        <v>502</v>
      </c>
    </row>
    <row r="2874" customFormat="false" ht="38.25" hidden="false" customHeight="false" outlineLevel="0" collapsed="false">
      <c r="A2874" s="37" t="s">
        <v>5495</v>
      </c>
      <c r="B2874" s="34" t="s">
        <v>5496</v>
      </c>
      <c r="C2874" s="34" t="s">
        <v>505</v>
      </c>
    </row>
    <row r="2875" customFormat="false" ht="51" hidden="false" customHeight="false" outlineLevel="0" collapsed="false">
      <c r="A2875" s="37" t="s">
        <v>5497</v>
      </c>
      <c r="B2875" s="34" t="s">
        <v>5498</v>
      </c>
      <c r="C2875" s="34" t="s">
        <v>508</v>
      </c>
    </row>
    <row r="2876" customFormat="false" ht="51" hidden="false" customHeight="false" outlineLevel="0" collapsed="false">
      <c r="A2876" s="37" t="s">
        <v>5499</v>
      </c>
      <c r="B2876" s="34" t="s">
        <v>5500</v>
      </c>
      <c r="C2876" s="34" t="s">
        <v>511</v>
      </c>
    </row>
    <row r="2877" customFormat="false" ht="51" hidden="false" customHeight="false" outlineLevel="0" collapsed="false">
      <c r="A2877" s="37" t="s">
        <v>5501</v>
      </c>
      <c r="B2877" s="34" t="s">
        <v>5502</v>
      </c>
      <c r="C2877" s="34" t="s">
        <v>514</v>
      </c>
    </row>
    <row r="2878" customFormat="false" ht="51" hidden="false" customHeight="false" outlineLevel="0" collapsed="false">
      <c r="A2878" s="37" t="s">
        <v>5503</v>
      </c>
      <c r="B2878" s="34" t="s">
        <v>5504</v>
      </c>
      <c r="C2878" s="34" t="s">
        <v>517</v>
      </c>
    </row>
    <row r="2879" customFormat="false" ht="51" hidden="false" customHeight="false" outlineLevel="0" collapsed="false">
      <c r="A2879" s="37" t="s">
        <v>5505</v>
      </c>
      <c r="B2879" s="34" t="s">
        <v>5506</v>
      </c>
      <c r="C2879" s="34" t="s">
        <v>517</v>
      </c>
    </row>
    <row r="2880" customFormat="false" ht="51" hidden="false" customHeight="false" outlineLevel="0" collapsed="false">
      <c r="A2880" s="37" t="s">
        <v>5507</v>
      </c>
      <c r="B2880" s="34" t="s">
        <v>5508</v>
      </c>
      <c r="C2880" s="34" t="s">
        <v>517</v>
      </c>
    </row>
    <row r="2881" customFormat="false" ht="51" hidden="false" customHeight="false" outlineLevel="0" collapsed="false">
      <c r="A2881" s="37" t="s">
        <v>5509</v>
      </c>
      <c r="B2881" s="34" t="s">
        <v>5510</v>
      </c>
      <c r="C2881" s="34" t="s">
        <v>517</v>
      </c>
    </row>
    <row r="2882" customFormat="false" ht="51" hidden="false" customHeight="false" outlineLevel="0" collapsed="false">
      <c r="A2882" s="37" t="s">
        <v>5511</v>
      </c>
      <c r="B2882" s="34" t="s">
        <v>5512</v>
      </c>
      <c r="C2882" s="34" t="s">
        <v>511</v>
      </c>
    </row>
    <row r="2883" customFormat="false" ht="51" hidden="false" customHeight="false" outlineLevel="0" collapsed="false">
      <c r="A2883" s="37" t="s">
        <v>5513</v>
      </c>
      <c r="B2883" s="34" t="s">
        <v>5514</v>
      </c>
      <c r="C2883" s="34" t="s">
        <v>511</v>
      </c>
    </row>
    <row r="2884" customFormat="false" ht="51" hidden="false" customHeight="false" outlineLevel="0" collapsed="false">
      <c r="A2884" s="37" t="s">
        <v>5515</v>
      </c>
      <c r="B2884" s="34" t="s">
        <v>5516</v>
      </c>
      <c r="C2884" s="34" t="s">
        <v>511</v>
      </c>
    </row>
    <row r="2885" customFormat="false" ht="51" hidden="false" customHeight="false" outlineLevel="0" collapsed="false">
      <c r="A2885" s="37" t="s">
        <v>5517</v>
      </c>
      <c r="B2885" s="34" t="s">
        <v>5518</v>
      </c>
      <c r="C2885" s="34" t="s">
        <v>511</v>
      </c>
    </row>
    <row r="2886" customFormat="false" ht="51" hidden="false" customHeight="false" outlineLevel="0" collapsed="false">
      <c r="A2886" s="37" t="s">
        <v>5519</v>
      </c>
      <c r="B2886" s="34" t="s">
        <v>5520</v>
      </c>
      <c r="C2886" s="34" t="s">
        <v>511</v>
      </c>
    </row>
    <row r="2887" customFormat="false" ht="51" hidden="false" customHeight="false" outlineLevel="0" collapsed="false">
      <c r="A2887" s="37" t="s">
        <v>5521</v>
      </c>
      <c r="B2887" s="34" t="s">
        <v>5522</v>
      </c>
      <c r="C2887" s="34" t="s">
        <v>511</v>
      </c>
    </row>
    <row r="2888" customFormat="false" ht="51" hidden="false" customHeight="false" outlineLevel="0" collapsed="false">
      <c r="A2888" s="37" t="s">
        <v>5523</v>
      </c>
      <c r="B2888" s="34" t="s">
        <v>5524</v>
      </c>
      <c r="C2888" s="34" t="s">
        <v>511</v>
      </c>
    </row>
    <row r="2889" customFormat="false" ht="51" hidden="false" customHeight="false" outlineLevel="0" collapsed="false">
      <c r="A2889" s="37" t="s">
        <v>5525</v>
      </c>
      <c r="B2889" s="34" t="s">
        <v>5526</v>
      </c>
      <c r="C2889" s="34" t="s">
        <v>511</v>
      </c>
    </row>
    <row r="2890" customFormat="false" ht="51" hidden="false" customHeight="false" outlineLevel="0" collapsed="false">
      <c r="A2890" s="37" t="s">
        <v>5527</v>
      </c>
      <c r="B2890" s="34" t="s">
        <v>5528</v>
      </c>
      <c r="C2890" s="34" t="s">
        <v>511</v>
      </c>
    </row>
    <row r="2891" customFormat="false" ht="51" hidden="false" customHeight="false" outlineLevel="0" collapsed="false">
      <c r="A2891" s="37" t="s">
        <v>5529</v>
      </c>
      <c r="B2891" s="34" t="s">
        <v>5530</v>
      </c>
      <c r="C2891" s="34" t="s">
        <v>511</v>
      </c>
    </row>
    <row r="2892" customFormat="false" ht="51" hidden="false" customHeight="false" outlineLevel="0" collapsed="false">
      <c r="A2892" s="37" t="s">
        <v>5531</v>
      </c>
      <c r="B2892" s="34" t="s">
        <v>5532</v>
      </c>
      <c r="C2892" s="34" t="s">
        <v>546</v>
      </c>
    </row>
    <row r="2893" customFormat="false" ht="51" hidden="false" customHeight="false" outlineLevel="0" collapsed="false">
      <c r="A2893" s="37" t="s">
        <v>5533</v>
      </c>
      <c r="B2893" s="34" t="s">
        <v>5534</v>
      </c>
      <c r="C2893" s="34" t="s">
        <v>546</v>
      </c>
    </row>
    <row r="2894" customFormat="false" ht="51" hidden="false" customHeight="false" outlineLevel="0" collapsed="false">
      <c r="A2894" s="37" t="s">
        <v>5535</v>
      </c>
      <c r="B2894" s="34" t="s">
        <v>5536</v>
      </c>
      <c r="C2894" s="34" t="s">
        <v>546</v>
      </c>
    </row>
    <row r="2895" customFormat="false" ht="51" hidden="false" customHeight="false" outlineLevel="0" collapsed="false">
      <c r="A2895" s="37" t="s">
        <v>5537</v>
      </c>
      <c r="B2895" s="34" t="s">
        <v>5538</v>
      </c>
      <c r="C2895" s="34" t="s">
        <v>546</v>
      </c>
    </row>
    <row r="2896" customFormat="false" ht="51" hidden="false" customHeight="false" outlineLevel="0" collapsed="false">
      <c r="A2896" s="37" t="s">
        <v>5539</v>
      </c>
      <c r="B2896" s="34" t="s">
        <v>5540</v>
      </c>
      <c r="C2896" s="34" t="s">
        <v>546</v>
      </c>
    </row>
    <row r="2897" customFormat="false" ht="51" hidden="false" customHeight="false" outlineLevel="0" collapsed="false">
      <c r="A2897" s="37" t="s">
        <v>5541</v>
      </c>
      <c r="B2897" s="34" t="s">
        <v>5542</v>
      </c>
      <c r="C2897" s="34" t="s">
        <v>546</v>
      </c>
    </row>
    <row r="2898" customFormat="false" ht="51" hidden="false" customHeight="false" outlineLevel="0" collapsed="false">
      <c r="A2898" s="37" t="s">
        <v>5543</v>
      </c>
      <c r="B2898" s="34" t="s">
        <v>5544</v>
      </c>
      <c r="C2898" s="34" t="s">
        <v>546</v>
      </c>
    </row>
    <row r="2899" customFormat="false" ht="63.75" hidden="false" customHeight="false" outlineLevel="0" collapsed="false">
      <c r="A2899" s="37" t="s">
        <v>5545</v>
      </c>
      <c r="B2899" s="34" t="s">
        <v>5546</v>
      </c>
      <c r="C2899" s="34" t="s">
        <v>561</v>
      </c>
    </row>
    <row r="2900" customFormat="false" ht="63.75" hidden="false" customHeight="false" outlineLevel="0" collapsed="false">
      <c r="A2900" s="37" t="s">
        <v>5547</v>
      </c>
      <c r="B2900" s="34" t="s">
        <v>5548</v>
      </c>
      <c r="C2900" s="34" t="s">
        <v>561</v>
      </c>
    </row>
    <row r="2901" customFormat="false" ht="89.25" hidden="false" customHeight="false" outlineLevel="0" collapsed="false">
      <c r="A2901" s="37" t="s">
        <v>5549</v>
      </c>
      <c r="B2901" s="34" t="s">
        <v>5550</v>
      </c>
      <c r="C2901" s="34" t="s">
        <v>566</v>
      </c>
    </row>
    <row r="2902" customFormat="false" ht="63.75" hidden="false" customHeight="false" outlineLevel="0" collapsed="false">
      <c r="A2902" s="37" t="s">
        <v>5551</v>
      </c>
      <c r="B2902" s="34" t="s">
        <v>5552</v>
      </c>
      <c r="C2902" s="34" t="s">
        <v>561</v>
      </c>
    </row>
    <row r="2903" customFormat="false" ht="63.75" hidden="false" customHeight="false" outlineLevel="0" collapsed="false">
      <c r="A2903" s="37" t="s">
        <v>5553</v>
      </c>
      <c r="B2903" s="34" t="s">
        <v>5554</v>
      </c>
      <c r="C2903" s="34" t="s">
        <v>571</v>
      </c>
    </row>
    <row r="2904" customFormat="false" ht="89.25" hidden="false" customHeight="false" outlineLevel="0" collapsed="false">
      <c r="A2904" s="37" t="s">
        <v>5555</v>
      </c>
      <c r="B2904" s="34" t="s">
        <v>5556</v>
      </c>
      <c r="C2904" s="34" t="s">
        <v>574</v>
      </c>
    </row>
    <row r="2905" customFormat="false" ht="89.25" hidden="false" customHeight="false" outlineLevel="0" collapsed="false">
      <c r="A2905" s="37" t="s">
        <v>5557</v>
      </c>
      <c r="B2905" s="34" t="s">
        <v>5558</v>
      </c>
      <c r="C2905" s="34" t="s">
        <v>574</v>
      </c>
    </row>
    <row r="2906" customFormat="false" ht="89.25" hidden="false" customHeight="false" outlineLevel="0" collapsed="false">
      <c r="A2906" s="37" t="s">
        <v>5559</v>
      </c>
      <c r="B2906" s="34" t="s">
        <v>5560</v>
      </c>
      <c r="C2906" s="34" t="s">
        <v>574</v>
      </c>
    </row>
    <row r="2907" customFormat="false" ht="89.25" hidden="false" customHeight="false" outlineLevel="0" collapsed="false">
      <c r="A2907" s="37" t="s">
        <v>5561</v>
      </c>
      <c r="B2907" s="34" t="s">
        <v>5562</v>
      </c>
      <c r="C2907" s="34" t="s">
        <v>574</v>
      </c>
    </row>
    <row r="2908" customFormat="false" ht="89.25" hidden="false" customHeight="false" outlineLevel="0" collapsed="false">
      <c r="A2908" s="37" t="s">
        <v>5563</v>
      </c>
      <c r="B2908" s="34" t="s">
        <v>5564</v>
      </c>
      <c r="C2908" s="34" t="s">
        <v>574</v>
      </c>
    </row>
    <row r="2909" customFormat="false" ht="63.75" hidden="false" customHeight="false" outlineLevel="0" collapsed="false">
      <c r="A2909" s="37" t="s">
        <v>5565</v>
      </c>
      <c r="B2909" s="34" t="s">
        <v>5566</v>
      </c>
      <c r="C2909" s="34" t="s">
        <v>585</v>
      </c>
    </row>
    <row r="2910" customFormat="false" ht="63.75" hidden="false" customHeight="false" outlineLevel="0" collapsed="false">
      <c r="A2910" s="37" t="s">
        <v>5567</v>
      </c>
      <c r="B2910" s="34" t="s">
        <v>5568</v>
      </c>
      <c r="C2910" s="34" t="s">
        <v>588</v>
      </c>
    </row>
    <row r="2911" customFormat="false" ht="51" hidden="false" customHeight="false" outlineLevel="0" collapsed="false">
      <c r="A2911" s="37" t="s">
        <v>5569</v>
      </c>
      <c r="B2911" s="34" t="s">
        <v>5570</v>
      </c>
      <c r="C2911" s="34" t="s">
        <v>546</v>
      </c>
    </row>
    <row r="2912" customFormat="false" ht="51" hidden="false" customHeight="false" outlineLevel="0" collapsed="false">
      <c r="A2912" s="37" t="s">
        <v>5571</v>
      </c>
      <c r="B2912" s="34" t="s">
        <v>5572</v>
      </c>
      <c r="C2912" s="34" t="s">
        <v>546</v>
      </c>
    </row>
    <row r="2913" customFormat="false" ht="51" hidden="false" customHeight="false" outlineLevel="0" collapsed="false">
      <c r="A2913" s="37" t="s">
        <v>5573</v>
      </c>
      <c r="B2913" s="34" t="s">
        <v>5574</v>
      </c>
      <c r="C2913" s="34" t="s">
        <v>546</v>
      </c>
    </row>
    <row r="2914" customFormat="false" ht="51" hidden="false" customHeight="false" outlineLevel="0" collapsed="false">
      <c r="A2914" s="37" t="s">
        <v>5575</v>
      </c>
      <c r="B2914" s="34" t="s">
        <v>5576</v>
      </c>
      <c r="C2914" s="34" t="s">
        <v>546</v>
      </c>
    </row>
    <row r="2915" customFormat="false" ht="51" hidden="false" customHeight="false" outlineLevel="0" collapsed="false">
      <c r="A2915" s="37" t="s">
        <v>5577</v>
      </c>
      <c r="B2915" s="34" t="s">
        <v>5578</v>
      </c>
      <c r="C2915" s="34" t="s">
        <v>546</v>
      </c>
    </row>
    <row r="2916" customFormat="false" ht="51" hidden="false" customHeight="false" outlineLevel="0" collapsed="false">
      <c r="A2916" s="37" t="s">
        <v>5579</v>
      </c>
      <c r="B2916" s="34" t="s">
        <v>5580</v>
      </c>
      <c r="C2916" s="34" t="s">
        <v>546</v>
      </c>
    </row>
    <row r="2917" customFormat="false" ht="51" hidden="false" customHeight="false" outlineLevel="0" collapsed="false">
      <c r="A2917" s="37" t="s">
        <v>5581</v>
      </c>
      <c r="B2917" s="34" t="s">
        <v>5582</v>
      </c>
      <c r="C2917" s="34" t="s">
        <v>546</v>
      </c>
    </row>
    <row r="2918" customFormat="false" ht="51" hidden="false" customHeight="false" outlineLevel="0" collapsed="false">
      <c r="A2918" s="37" t="s">
        <v>5583</v>
      </c>
      <c r="B2918" s="34" t="s">
        <v>5584</v>
      </c>
      <c r="C2918" s="34" t="s">
        <v>546</v>
      </c>
    </row>
    <row r="2919" customFormat="false" ht="51" hidden="false" customHeight="false" outlineLevel="0" collapsed="false">
      <c r="A2919" s="37" t="s">
        <v>5585</v>
      </c>
      <c r="B2919" s="34" t="s">
        <v>5586</v>
      </c>
      <c r="C2919" s="34" t="s">
        <v>546</v>
      </c>
    </row>
    <row r="2920" customFormat="false" ht="51" hidden="false" customHeight="false" outlineLevel="0" collapsed="false">
      <c r="A2920" s="37" t="s">
        <v>5587</v>
      </c>
      <c r="B2920" s="34" t="s">
        <v>5588</v>
      </c>
      <c r="C2920" s="34" t="s">
        <v>546</v>
      </c>
    </row>
    <row r="2921" customFormat="false" ht="51" hidden="false" customHeight="false" outlineLevel="0" collapsed="false">
      <c r="A2921" s="37" t="s">
        <v>5589</v>
      </c>
      <c r="B2921" s="34" t="s">
        <v>5590</v>
      </c>
      <c r="C2921" s="34" t="s">
        <v>546</v>
      </c>
    </row>
    <row r="2922" customFormat="false" ht="38.25" hidden="false" customHeight="false" outlineLevel="0" collapsed="false">
      <c r="A2922" s="37" t="s">
        <v>5591</v>
      </c>
      <c r="B2922" s="34" t="s">
        <v>5592</v>
      </c>
      <c r="C2922" s="34" t="s">
        <v>613</v>
      </c>
    </row>
    <row r="2923" customFormat="false" ht="51" hidden="false" customHeight="false" outlineLevel="0" collapsed="false">
      <c r="A2923" s="37" t="s">
        <v>5593</v>
      </c>
      <c r="B2923" s="34" t="s">
        <v>5594</v>
      </c>
      <c r="C2923" s="34" t="s">
        <v>546</v>
      </c>
    </row>
    <row r="2924" customFormat="false" ht="51" hidden="false" customHeight="false" outlineLevel="0" collapsed="false">
      <c r="A2924" s="37" t="s">
        <v>5595</v>
      </c>
      <c r="B2924" s="34" t="s">
        <v>5596</v>
      </c>
      <c r="C2924" s="34" t="s">
        <v>546</v>
      </c>
    </row>
    <row r="2925" customFormat="false" ht="51" hidden="false" customHeight="false" outlineLevel="0" collapsed="false">
      <c r="A2925" s="37" t="s">
        <v>5597</v>
      </c>
      <c r="B2925" s="34" t="s">
        <v>5598</v>
      </c>
      <c r="C2925" s="34" t="s">
        <v>546</v>
      </c>
    </row>
    <row r="2926" customFormat="false" ht="51" hidden="false" customHeight="false" outlineLevel="0" collapsed="false">
      <c r="A2926" s="37" t="s">
        <v>5599</v>
      </c>
      <c r="B2926" s="34" t="s">
        <v>5600</v>
      </c>
      <c r="C2926" s="34" t="s">
        <v>546</v>
      </c>
    </row>
    <row r="2927" customFormat="false" ht="51" hidden="false" customHeight="false" outlineLevel="0" collapsed="false">
      <c r="A2927" s="37" t="s">
        <v>5601</v>
      </c>
      <c r="B2927" s="34" t="s">
        <v>5602</v>
      </c>
      <c r="C2927" s="34" t="s">
        <v>546</v>
      </c>
    </row>
    <row r="2928" customFormat="false" ht="38.25" hidden="false" customHeight="false" outlineLevel="0" collapsed="false">
      <c r="A2928" s="37" t="s">
        <v>5603</v>
      </c>
      <c r="B2928" s="34" t="s">
        <v>5604</v>
      </c>
      <c r="C2928" s="34" t="s">
        <v>613</v>
      </c>
    </row>
    <row r="2929" customFormat="false" ht="51" hidden="false" customHeight="false" outlineLevel="0" collapsed="false">
      <c r="A2929" s="37" t="s">
        <v>5605</v>
      </c>
      <c r="B2929" s="34" t="s">
        <v>5606</v>
      </c>
      <c r="C2929" s="34" t="s">
        <v>546</v>
      </c>
    </row>
    <row r="2930" customFormat="false" ht="51" hidden="false" customHeight="false" outlineLevel="0" collapsed="false">
      <c r="A2930" s="37" t="s">
        <v>5607</v>
      </c>
      <c r="B2930" s="34" t="s">
        <v>5608</v>
      </c>
      <c r="C2930" s="34" t="s">
        <v>546</v>
      </c>
    </row>
    <row r="2931" customFormat="false" ht="51" hidden="false" customHeight="false" outlineLevel="0" collapsed="false">
      <c r="A2931" s="37" t="s">
        <v>5609</v>
      </c>
      <c r="B2931" s="34" t="s">
        <v>5610</v>
      </c>
      <c r="C2931" s="34" t="s">
        <v>546</v>
      </c>
    </row>
    <row r="2932" customFormat="false" ht="38.25" hidden="false" customHeight="false" outlineLevel="0" collapsed="false">
      <c r="A2932" s="37" t="s">
        <v>5611</v>
      </c>
      <c r="B2932" s="34" t="s">
        <v>5612</v>
      </c>
      <c r="C2932" s="34" t="s">
        <v>634</v>
      </c>
    </row>
    <row r="2933" customFormat="false" ht="38.25" hidden="false" customHeight="false" outlineLevel="0" collapsed="false">
      <c r="A2933" s="37" t="s">
        <v>5613</v>
      </c>
      <c r="B2933" s="34" t="s">
        <v>5614</v>
      </c>
      <c r="C2933" s="34" t="s">
        <v>637</v>
      </c>
    </row>
    <row r="2934" customFormat="false" ht="51" hidden="false" customHeight="false" outlineLevel="0" collapsed="false">
      <c r="A2934" s="37" t="s">
        <v>5615</v>
      </c>
      <c r="B2934" s="34" t="s">
        <v>5616</v>
      </c>
      <c r="C2934" s="34" t="s">
        <v>546</v>
      </c>
    </row>
    <row r="2935" customFormat="false" ht="51" hidden="false" customHeight="false" outlineLevel="0" collapsed="false">
      <c r="A2935" s="37" t="s">
        <v>5617</v>
      </c>
      <c r="B2935" s="34" t="s">
        <v>5618</v>
      </c>
      <c r="C2935" s="34" t="s">
        <v>546</v>
      </c>
    </row>
    <row r="2936" customFormat="false" ht="51" hidden="false" customHeight="false" outlineLevel="0" collapsed="false">
      <c r="A2936" s="37" t="s">
        <v>5619</v>
      </c>
      <c r="B2936" s="34" t="s">
        <v>5620</v>
      </c>
      <c r="C2936" s="34" t="s">
        <v>546</v>
      </c>
    </row>
    <row r="2937" customFormat="false" ht="63.75" hidden="false" customHeight="false" outlineLevel="0" collapsed="false">
      <c r="A2937" s="37" t="s">
        <v>5621</v>
      </c>
      <c r="B2937" s="34" t="s">
        <v>5622</v>
      </c>
      <c r="C2937" s="34" t="s">
        <v>139</v>
      </c>
    </row>
    <row r="2938" customFormat="false" ht="63.75" hidden="false" customHeight="false" outlineLevel="0" collapsed="false">
      <c r="A2938" s="37" t="s">
        <v>5623</v>
      </c>
      <c r="B2938" s="34" t="s">
        <v>5624</v>
      </c>
      <c r="C2938" s="34" t="s">
        <v>139</v>
      </c>
    </row>
    <row r="2939" customFormat="false" ht="63.75" hidden="false" customHeight="false" outlineLevel="0" collapsed="false">
      <c r="A2939" s="37" t="s">
        <v>5625</v>
      </c>
      <c r="B2939" s="34" t="s">
        <v>5626</v>
      </c>
      <c r="C2939" s="34" t="s">
        <v>139</v>
      </c>
    </row>
    <row r="2940" customFormat="false" ht="63.75" hidden="false" customHeight="false" outlineLevel="0" collapsed="false">
      <c r="A2940" s="37" t="s">
        <v>5627</v>
      </c>
      <c r="B2940" s="34" t="s">
        <v>5628</v>
      </c>
      <c r="C2940" s="34" t="s">
        <v>139</v>
      </c>
    </row>
    <row r="2941" customFormat="false" ht="63.75" hidden="false" customHeight="false" outlineLevel="0" collapsed="false">
      <c r="A2941" s="37" t="s">
        <v>5629</v>
      </c>
      <c r="B2941" s="34" t="s">
        <v>5630</v>
      </c>
      <c r="C2941" s="34" t="s">
        <v>139</v>
      </c>
    </row>
    <row r="2942" customFormat="false" ht="63.75" hidden="false" customHeight="false" outlineLevel="0" collapsed="false">
      <c r="A2942" s="37" t="s">
        <v>5631</v>
      </c>
      <c r="B2942" s="34" t="s">
        <v>5632</v>
      </c>
      <c r="C2942" s="34" t="s">
        <v>139</v>
      </c>
    </row>
    <row r="2943" customFormat="false" ht="63.75" hidden="false" customHeight="false" outlineLevel="0" collapsed="false">
      <c r="A2943" s="37" t="s">
        <v>5633</v>
      </c>
      <c r="B2943" s="34" t="s">
        <v>5634</v>
      </c>
      <c r="C2943" s="34" t="s">
        <v>139</v>
      </c>
    </row>
    <row r="2944" customFormat="false" ht="63.75" hidden="false" customHeight="false" outlineLevel="0" collapsed="false">
      <c r="A2944" s="37" t="s">
        <v>5635</v>
      </c>
      <c r="B2944" s="34" t="s">
        <v>5636</v>
      </c>
      <c r="C2944" s="34" t="s">
        <v>139</v>
      </c>
    </row>
    <row r="2945" customFormat="false" ht="89.25" hidden="false" customHeight="false" outlineLevel="0" collapsed="false">
      <c r="A2945" s="37" t="n">
        <v>5991300</v>
      </c>
      <c r="B2945" s="34" t="s">
        <v>5637</v>
      </c>
      <c r="C2945" s="34" t="s">
        <v>3873</v>
      </c>
    </row>
    <row r="2946" customFormat="false" ht="89.25" hidden="false" customHeight="false" outlineLevel="0" collapsed="false">
      <c r="A2946" s="37" t="n">
        <v>5991500</v>
      </c>
      <c r="B2946" s="34" t="s">
        <v>5638</v>
      </c>
      <c r="C2946" s="34" t="s">
        <v>3873</v>
      </c>
    </row>
    <row r="2947" customFormat="false" ht="89.25" hidden="false" customHeight="false" outlineLevel="0" collapsed="false">
      <c r="A2947" s="37" t="s">
        <v>5639</v>
      </c>
      <c r="B2947" s="34" t="s">
        <v>5640</v>
      </c>
      <c r="C2947" s="34" t="s">
        <v>1450</v>
      </c>
    </row>
    <row r="2948" customFormat="false" ht="76.5" hidden="false" customHeight="false" outlineLevel="0" collapsed="false">
      <c r="A2948" s="37" t="s">
        <v>5641</v>
      </c>
      <c r="B2948" s="34" t="s">
        <v>5642</v>
      </c>
      <c r="C2948" s="34" t="s">
        <v>2222</v>
      </c>
    </row>
    <row r="2949" customFormat="false" ht="63.75" hidden="false" customHeight="false" outlineLevel="0" collapsed="false">
      <c r="A2949" s="37" t="s">
        <v>5643</v>
      </c>
      <c r="B2949" s="34" t="s">
        <v>5644</v>
      </c>
      <c r="C2949" s="34" t="s">
        <v>139</v>
      </c>
    </row>
    <row r="2950" customFormat="false" ht="63.75" hidden="false" customHeight="false" outlineLevel="0" collapsed="false">
      <c r="A2950" s="37" t="s">
        <v>5645</v>
      </c>
      <c r="B2950" s="34" t="s">
        <v>5646</v>
      </c>
      <c r="C2950" s="34" t="s">
        <v>139</v>
      </c>
    </row>
    <row r="2951" customFormat="false" ht="63.75" hidden="false" customHeight="false" outlineLevel="0" collapsed="false">
      <c r="A2951" s="37" t="s">
        <v>5647</v>
      </c>
      <c r="B2951" s="34" t="s">
        <v>5648</v>
      </c>
      <c r="C2951" s="34" t="s">
        <v>139</v>
      </c>
    </row>
    <row r="2952" customFormat="false" ht="102" hidden="false" customHeight="false" outlineLevel="0" collapsed="false">
      <c r="A2952" s="37" t="s">
        <v>5649</v>
      </c>
      <c r="B2952" s="34" t="s">
        <v>5650</v>
      </c>
      <c r="C2952" s="34" t="s">
        <v>97</v>
      </c>
    </row>
    <row r="2953" customFormat="false" ht="102" hidden="false" customHeight="false" outlineLevel="0" collapsed="false">
      <c r="A2953" s="37" t="s">
        <v>5651</v>
      </c>
      <c r="B2953" s="34" t="s">
        <v>5652</v>
      </c>
      <c r="C2953" s="34" t="s">
        <v>97</v>
      </c>
    </row>
    <row r="2954" customFormat="false" ht="102" hidden="false" customHeight="false" outlineLevel="0" collapsed="false">
      <c r="A2954" s="37" t="s">
        <v>5653</v>
      </c>
      <c r="B2954" s="34" t="s">
        <v>5654</v>
      </c>
      <c r="C2954" s="34" t="s">
        <v>887</v>
      </c>
    </row>
    <row r="2955" customFormat="false" ht="114.75" hidden="false" customHeight="false" outlineLevel="0" collapsed="false">
      <c r="A2955" s="37" t="s">
        <v>5655</v>
      </c>
      <c r="B2955" s="34" t="s">
        <v>5656</v>
      </c>
      <c r="C2955" s="34" t="s">
        <v>849</v>
      </c>
    </row>
    <row r="2956" customFormat="false" ht="89.25" hidden="false" customHeight="false" outlineLevel="0" collapsed="false">
      <c r="A2956" s="37" t="s">
        <v>5657</v>
      </c>
      <c r="B2956" s="34" t="s">
        <v>5658</v>
      </c>
      <c r="C2956" s="34" t="s">
        <v>891</v>
      </c>
    </row>
    <row r="2957" customFormat="false" ht="114.75" hidden="false" customHeight="false" outlineLevel="0" collapsed="false">
      <c r="A2957" s="37" t="s">
        <v>5659</v>
      </c>
      <c r="B2957" s="34" t="s">
        <v>5660</v>
      </c>
      <c r="C2957" s="34" t="s">
        <v>849</v>
      </c>
    </row>
    <row r="2958" customFormat="false" ht="114.75" hidden="false" customHeight="false" outlineLevel="0" collapsed="false">
      <c r="A2958" s="37" t="s">
        <v>5659</v>
      </c>
      <c r="B2958" s="34" t="s">
        <v>5660</v>
      </c>
      <c r="C2958" s="34" t="s">
        <v>2241</v>
      </c>
    </row>
    <row r="2959" customFormat="false" ht="76.5" hidden="false" customHeight="false" outlineLevel="0" collapsed="false">
      <c r="A2959" s="37" t="s">
        <v>5661</v>
      </c>
      <c r="B2959" s="34" t="s">
        <v>5662</v>
      </c>
      <c r="C2959" s="34" t="s">
        <v>108</v>
      </c>
    </row>
    <row r="2960" customFormat="false" ht="89.25" hidden="false" customHeight="false" outlineLevel="0" collapsed="false">
      <c r="A2960" s="37" t="s">
        <v>5663</v>
      </c>
      <c r="B2960" s="34" t="s">
        <v>5664</v>
      </c>
      <c r="C2960" s="34" t="s">
        <v>871</v>
      </c>
    </row>
    <row r="2961" customFormat="false" ht="89.25" hidden="false" customHeight="false" outlineLevel="0" collapsed="false">
      <c r="A2961" s="37" t="s">
        <v>5665</v>
      </c>
      <c r="B2961" s="34" t="s">
        <v>5666</v>
      </c>
      <c r="C2961" s="34" t="s">
        <v>858</v>
      </c>
    </row>
    <row r="2962" customFormat="false" ht="89.25" hidden="false" customHeight="false" outlineLevel="0" collapsed="false">
      <c r="A2962" s="37" t="s">
        <v>5667</v>
      </c>
      <c r="B2962" s="34" t="s">
        <v>5668</v>
      </c>
      <c r="C2962" s="34" t="s">
        <v>902</v>
      </c>
    </row>
    <row r="2963" customFormat="false" ht="89.25" hidden="false" customHeight="false" outlineLevel="0" collapsed="false">
      <c r="A2963" s="37" t="s">
        <v>5669</v>
      </c>
      <c r="B2963" s="34" t="s">
        <v>5670</v>
      </c>
      <c r="C2963" s="34" t="s">
        <v>902</v>
      </c>
    </row>
    <row r="2964" customFormat="false" ht="89.25" hidden="false" customHeight="false" outlineLevel="0" collapsed="false">
      <c r="A2964" s="37" t="s">
        <v>5671</v>
      </c>
      <c r="B2964" s="34" t="s">
        <v>5672</v>
      </c>
      <c r="C2964" s="34" t="s">
        <v>122</v>
      </c>
    </row>
    <row r="2965" customFormat="false" ht="89.25" hidden="false" customHeight="false" outlineLevel="0" collapsed="false">
      <c r="A2965" s="37" t="s">
        <v>5673</v>
      </c>
      <c r="B2965" s="34" t="s">
        <v>5674</v>
      </c>
      <c r="C2965" s="34" t="s">
        <v>874</v>
      </c>
    </row>
    <row r="2966" customFormat="false" ht="89.25" hidden="false" customHeight="false" outlineLevel="0" collapsed="false">
      <c r="A2966" s="37" t="s">
        <v>5675</v>
      </c>
      <c r="B2966" s="34" t="s">
        <v>5676</v>
      </c>
      <c r="C2966" s="34" t="s">
        <v>874</v>
      </c>
    </row>
    <row r="2967" customFormat="false" ht="89.25" hidden="false" customHeight="false" outlineLevel="0" collapsed="false">
      <c r="A2967" s="37" t="s">
        <v>5677</v>
      </c>
      <c r="B2967" s="34" t="s">
        <v>5678</v>
      </c>
      <c r="C2967" s="34" t="s">
        <v>874</v>
      </c>
    </row>
    <row r="2968" customFormat="false" ht="89.25" hidden="false" customHeight="false" outlineLevel="0" collapsed="false">
      <c r="A2968" s="37" t="s">
        <v>5679</v>
      </c>
      <c r="B2968" s="34" t="s">
        <v>5680</v>
      </c>
      <c r="C2968" s="34" t="s">
        <v>874</v>
      </c>
    </row>
    <row r="2969" customFormat="false" ht="102" hidden="false" customHeight="false" outlineLevel="0" collapsed="false">
      <c r="A2969" s="37" t="s">
        <v>5681</v>
      </c>
      <c r="B2969" s="34" t="s">
        <v>5682</v>
      </c>
      <c r="C2969" s="34" t="s">
        <v>883</v>
      </c>
    </row>
    <row r="2970" customFormat="false" ht="63.75" hidden="false" customHeight="false" outlineLevel="0" collapsed="false">
      <c r="A2970" s="37" t="s">
        <v>5683</v>
      </c>
      <c r="B2970" s="34" t="s">
        <v>5684</v>
      </c>
      <c r="C2970" s="34" t="s">
        <v>1033</v>
      </c>
    </row>
    <row r="2971" customFormat="false" ht="38.25" hidden="false" customHeight="false" outlineLevel="0" collapsed="false">
      <c r="A2971" s="37" t="s">
        <v>5685</v>
      </c>
      <c r="B2971" s="34" t="s">
        <v>5686</v>
      </c>
      <c r="C2971" s="34" t="s">
        <v>687</v>
      </c>
    </row>
    <row r="2972" customFormat="false" ht="63.75" hidden="false" customHeight="false" outlineLevel="0" collapsed="false">
      <c r="A2972" s="37" t="s">
        <v>5687</v>
      </c>
      <c r="B2972" s="34" t="s">
        <v>5688</v>
      </c>
      <c r="C2972" s="34" t="s">
        <v>1038</v>
      </c>
    </row>
    <row r="2973" customFormat="false" ht="38.25" hidden="false" customHeight="false" outlineLevel="0" collapsed="false">
      <c r="A2973" s="37" t="s">
        <v>5689</v>
      </c>
      <c r="B2973" s="34" t="s">
        <v>5690</v>
      </c>
      <c r="C2973" s="34" t="s">
        <v>1041</v>
      </c>
    </row>
    <row r="2974" customFormat="false" ht="51" hidden="false" customHeight="false" outlineLevel="0" collapsed="false">
      <c r="A2974" s="37" t="s">
        <v>5691</v>
      </c>
      <c r="B2974" s="34" t="s">
        <v>5692</v>
      </c>
      <c r="C2974" s="34" t="s">
        <v>696</v>
      </c>
    </row>
    <row r="2975" customFormat="false" ht="51" hidden="false" customHeight="false" outlineLevel="0" collapsed="false">
      <c r="A2975" s="37" t="s">
        <v>5693</v>
      </c>
      <c r="B2975" s="34" t="s">
        <v>5694</v>
      </c>
      <c r="C2975" s="34" t="s">
        <v>1050</v>
      </c>
    </row>
    <row r="2976" customFormat="false" ht="89.25" hidden="false" customHeight="false" outlineLevel="0" collapsed="false">
      <c r="A2976" s="37" t="s">
        <v>5695</v>
      </c>
      <c r="B2976" s="34" t="s">
        <v>5696</v>
      </c>
      <c r="C2976" s="34" t="s">
        <v>702</v>
      </c>
    </row>
    <row r="2977" customFormat="false" ht="89.25" hidden="false" customHeight="false" outlineLevel="0" collapsed="false">
      <c r="A2977" s="37" t="s">
        <v>5697</v>
      </c>
      <c r="B2977" s="34" t="s">
        <v>5698</v>
      </c>
      <c r="C2977" s="34" t="s">
        <v>702</v>
      </c>
    </row>
    <row r="2978" customFormat="false" ht="38.25" hidden="false" customHeight="false" outlineLevel="0" collapsed="false">
      <c r="A2978" s="37" t="s">
        <v>5699</v>
      </c>
      <c r="B2978" s="34" t="s">
        <v>5700</v>
      </c>
      <c r="C2978" s="34" t="s">
        <v>707</v>
      </c>
    </row>
    <row r="2979" customFormat="false" ht="89.25" hidden="false" customHeight="false" outlineLevel="0" collapsed="false">
      <c r="A2979" s="37" t="s">
        <v>5701</v>
      </c>
      <c r="B2979" s="34" t="s">
        <v>5702</v>
      </c>
      <c r="C2979" s="34" t="s">
        <v>1447</v>
      </c>
    </row>
    <row r="2980" customFormat="false" ht="89.25" hidden="false" customHeight="false" outlineLevel="0" collapsed="false">
      <c r="A2980" s="37" t="s">
        <v>5703</v>
      </c>
      <c r="B2980" s="34" t="s">
        <v>5704</v>
      </c>
      <c r="C2980" s="34" t="s">
        <v>1450</v>
      </c>
    </row>
    <row r="2981" customFormat="false" ht="76.5" hidden="false" customHeight="false" outlineLevel="0" collapsed="false">
      <c r="A2981" s="37" t="s">
        <v>5705</v>
      </c>
      <c r="B2981" s="34" t="s">
        <v>5706</v>
      </c>
      <c r="C2981" s="34" t="s">
        <v>2297</v>
      </c>
    </row>
    <row r="2982" customFormat="false" ht="76.5" hidden="false" customHeight="false" outlineLevel="0" collapsed="false">
      <c r="A2982" s="37" t="s">
        <v>5707</v>
      </c>
      <c r="B2982" s="34" t="s">
        <v>5708</v>
      </c>
      <c r="C2982" s="34" t="s">
        <v>2297</v>
      </c>
    </row>
    <row r="2983" customFormat="false" ht="76.5" hidden="false" customHeight="false" outlineLevel="0" collapsed="false">
      <c r="A2983" s="37" t="s">
        <v>5709</v>
      </c>
      <c r="B2983" s="34" t="s">
        <v>5710</v>
      </c>
      <c r="C2983" s="34" t="s">
        <v>2297</v>
      </c>
    </row>
    <row r="2984" customFormat="false" ht="76.5" hidden="false" customHeight="false" outlineLevel="0" collapsed="false">
      <c r="A2984" s="37" t="s">
        <v>5711</v>
      </c>
      <c r="B2984" s="34" t="s">
        <v>5712</v>
      </c>
      <c r="C2984" s="34" t="s">
        <v>2297</v>
      </c>
    </row>
    <row r="2985" customFormat="false" ht="63.75" hidden="false" customHeight="false" outlineLevel="0" collapsed="false">
      <c r="A2985" s="37" t="s">
        <v>5713</v>
      </c>
      <c r="B2985" s="34" t="s">
        <v>5714</v>
      </c>
      <c r="C2985" s="34" t="s">
        <v>139</v>
      </c>
    </row>
    <row r="2986" customFormat="false" ht="63.75" hidden="false" customHeight="false" outlineLevel="0" collapsed="false">
      <c r="A2986" s="37" t="s">
        <v>5715</v>
      </c>
      <c r="B2986" s="34" t="s">
        <v>5716</v>
      </c>
      <c r="C2986" s="34" t="s">
        <v>139</v>
      </c>
    </row>
    <row r="2987" customFormat="false" ht="63.75" hidden="false" customHeight="false" outlineLevel="0" collapsed="false">
      <c r="A2987" s="37" t="s">
        <v>5717</v>
      </c>
      <c r="B2987" s="34" t="s">
        <v>5718</v>
      </c>
      <c r="C2987" s="34" t="s">
        <v>139</v>
      </c>
    </row>
    <row r="2988" customFormat="false" ht="63.75" hidden="false" customHeight="false" outlineLevel="0" collapsed="false">
      <c r="A2988" s="37" t="s">
        <v>5719</v>
      </c>
      <c r="B2988" s="34" t="s">
        <v>5720</v>
      </c>
      <c r="C2988" s="34" t="s">
        <v>139</v>
      </c>
    </row>
    <row r="2989" customFormat="false" ht="63.75" hidden="false" customHeight="false" outlineLevel="0" collapsed="false">
      <c r="A2989" s="37" t="s">
        <v>5719</v>
      </c>
      <c r="B2989" s="34" t="s">
        <v>5720</v>
      </c>
      <c r="C2989" s="34" t="s">
        <v>142</v>
      </c>
    </row>
    <row r="2990" customFormat="false" ht="63.75" hidden="false" customHeight="false" outlineLevel="0" collapsed="false">
      <c r="A2990" s="37" t="s">
        <v>5721</v>
      </c>
      <c r="B2990" s="34" t="s">
        <v>5722</v>
      </c>
      <c r="C2990" s="34" t="s">
        <v>139</v>
      </c>
    </row>
    <row r="2991" customFormat="false" ht="63.75" hidden="false" customHeight="false" outlineLevel="0" collapsed="false">
      <c r="A2991" s="37" t="s">
        <v>5723</v>
      </c>
      <c r="B2991" s="34" t="s">
        <v>5724</v>
      </c>
      <c r="C2991" s="34" t="s">
        <v>139</v>
      </c>
    </row>
    <row r="2992" customFormat="false" ht="63.75" hidden="false" customHeight="false" outlineLevel="0" collapsed="false">
      <c r="A2992" s="37" t="s">
        <v>5725</v>
      </c>
      <c r="B2992" s="34" t="s">
        <v>5626</v>
      </c>
      <c r="C2992" s="34" t="s">
        <v>139</v>
      </c>
    </row>
    <row r="2993" customFormat="false" ht="63.75" hidden="false" customHeight="false" outlineLevel="0" collapsed="false">
      <c r="A2993" s="37" t="s">
        <v>5726</v>
      </c>
      <c r="B2993" s="34" t="s">
        <v>5727</v>
      </c>
      <c r="C2993" s="34" t="s">
        <v>139</v>
      </c>
    </row>
    <row r="2994" customFormat="false" ht="63.75" hidden="false" customHeight="false" outlineLevel="0" collapsed="false">
      <c r="A2994" s="37" t="s">
        <v>5728</v>
      </c>
      <c r="B2994" s="34" t="s">
        <v>5729</v>
      </c>
      <c r="C2994" s="34" t="s">
        <v>139</v>
      </c>
    </row>
    <row r="2995" customFormat="false" ht="63.75" hidden="false" customHeight="false" outlineLevel="0" collapsed="false">
      <c r="A2995" s="37" t="s">
        <v>5730</v>
      </c>
      <c r="B2995" s="34" t="s">
        <v>5731</v>
      </c>
      <c r="C2995" s="34" t="s">
        <v>139</v>
      </c>
    </row>
    <row r="2996" customFormat="false" ht="63.75" hidden="false" customHeight="false" outlineLevel="0" collapsed="false">
      <c r="A2996" s="37" t="s">
        <v>5732</v>
      </c>
      <c r="B2996" s="34" t="s">
        <v>5733</v>
      </c>
      <c r="C2996" s="34" t="s">
        <v>139</v>
      </c>
    </row>
    <row r="2997" customFormat="false" ht="63.75" hidden="false" customHeight="false" outlineLevel="0" collapsed="false">
      <c r="A2997" s="37" t="s">
        <v>5734</v>
      </c>
      <c r="B2997" s="34" t="s">
        <v>5735</v>
      </c>
      <c r="C2997" s="34" t="s">
        <v>139</v>
      </c>
    </row>
    <row r="2998" customFormat="false" ht="38.25" hidden="false" customHeight="false" outlineLevel="0" collapsed="false">
      <c r="A2998" s="37" t="s">
        <v>5736</v>
      </c>
      <c r="B2998" s="34" t="s">
        <v>5737</v>
      </c>
      <c r="C2998" s="34" t="s">
        <v>73</v>
      </c>
    </row>
    <row r="2999" customFormat="false" ht="38.25" hidden="false" customHeight="false" outlineLevel="0" collapsed="false">
      <c r="A2999" s="37" t="s">
        <v>5738</v>
      </c>
      <c r="B2999" s="34" t="s">
        <v>5739</v>
      </c>
      <c r="C2999" s="34" t="s">
        <v>2412</v>
      </c>
    </row>
    <row r="3000" customFormat="false" ht="153" hidden="false" customHeight="false" outlineLevel="0" collapsed="false">
      <c r="A3000" s="37" t="s">
        <v>5740</v>
      </c>
      <c r="B3000" s="34" t="s">
        <v>5741</v>
      </c>
      <c r="C3000" s="34" t="s">
        <v>762</v>
      </c>
    </row>
    <row r="3001" customFormat="false" ht="102" hidden="false" customHeight="false" outlineLevel="0" collapsed="false">
      <c r="A3001" s="37" t="s">
        <v>5742</v>
      </c>
      <c r="B3001" s="34" t="s">
        <v>5743</v>
      </c>
      <c r="C3001" s="34" t="s">
        <v>1530</v>
      </c>
    </row>
    <row r="3002" customFormat="false" ht="89.25" hidden="false" customHeight="false" outlineLevel="0" collapsed="false">
      <c r="A3002" s="37" t="s">
        <v>5744</v>
      </c>
      <c r="B3002" s="34" t="s">
        <v>5745</v>
      </c>
      <c r="C3002" s="34" t="s">
        <v>1508</v>
      </c>
    </row>
    <row r="3003" customFormat="false" ht="76.5" hidden="false" customHeight="false" outlineLevel="0" collapsed="false">
      <c r="A3003" s="37" t="s">
        <v>5746</v>
      </c>
      <c r="B3003" s="34" t="s">
        <v>5747</v>
      </c>
      <c r="C3003" s="34" t="s">
        <v>1512</v>
      </c>
    </row>
    <row r="3004" customFormat="false" ht="76.5" hidden="false" customHeight="false" outlineLevel="0" collapsed="false">
      <c r="A3004" s="37" t="s">
        <v>5748</v>
      </c>
      <c r="B3004" s="34" t="s">
        <v>5749</v>
      </c>
      <c r="C3004" s="34" t="s">
        <v>5750</v>
      </c>
    </row>
    <row r="3005" customFormat="false" ht="102" hidden="false" customHeight="false" outlineLevel="0" collapsed="false">
      <c r="A3005" s="37" t="s">
        <v>5751</v>
      </c>
      <c r="B3005" s="34" t="s">
        <v>5752</v>
      </c>
      <c r="C3005" s="34" t="s">
        <v>97</v>
      </c>
    </row>
    <row r="3006" customFormat="false" ht="102" hidden="false" customHeight="false" outlineLevel="0" collapsed="false">
      <c r="A3006" s="37" t="s">
        <v>5753</v>
      </c>
      <c r="B3006" s="34" t="s">
        <v>5754</v>
      </c>
      <c r="C3006" s="34" t="s">
        <v>97</v>
      </c>
    </row>
    <row r="3007" customFormat="false" ht="102" hidden="false" customHeight="false" outlineLevel="0" collapsed="false">
      <c r="A3007" s="37" t="s">
        <v>5755</v>
      </c>
      <c r="B3007" s="34" t="s">
        <v>5756</v>
      </c>
      <c r="C3007" s="34" t="s">
        <v>786</v>
      </c>
    </row>
    <row r="3008" customFormat="false" ht="114.75" hidden="false" customHeight="false" outlineLevel="0" collapsed="false">
      <c r="A3008" s="37" t="s">
        <v>5757</v>
      </c>
      <c r="B3008" s="34" t="s">
        <v>5758</v>
      </c>
      <c r="C3008" s="34" t="s">
        <v>1593</v>
      </c>
    </row>
    <row r="3009" customFormat="false" ht="89.25" hidden="false" customHeight="false" outlineLevel="0" collapsed="false">
      <c r="A3009" s="37" t="s">
        <v>5759</v>
      </c>
      <c r="B3009" s="34" t="s">
        <v>5760</v>
      </c>
      <c r="C3009" s="34" t="s">
        <v>891</v>
      </c>
    </row>
    <row r="3010" customFormat="false" ht="114.75" hidden="false" customHeight="false" outlineLevel="0" collapsed="false">
      <c r="A3010" s="37" t="s">
        <v>5761</v>
      </c>
      <c r="B3010" s="34" t="s">
        <v>5762</v>
      </c>
      <c r="C3010" s="34" t="s">
        <v>1596</v>
      </c>
    </row>
    <row r="3011" customFormat="false" ht="76.5" hidden="false" customHeight="false" outlineLevel="0" collapsed="false">
      <c r="A3011" s="37" t="s">
        <v>5763</v>
      </c>
      <c r="B3011" s="34" t="s">
        <v>5764</v>
      </c>
      <c r="C3011" s="34" t="s">
        <v>108</v>
      </c>
    </row>
    <row r="3012" customFormat="false" ht="76.5" hidden="false" customHeight="false" outlineLevel="0" collapsed="false">
      <c r="A3012" s="37" t="s">
        <v>5765</v>
      </c>
      <c r="B3012" s="34" t="s">
        <v>5766</v>
      </c>
      <c r="C3012" s="34" t="s">
        <v>5767</v>
      </c>
    </row>
    <row r="3013" customFormat="false" ht="89.25" hidden="false" customHeight="false" outlineLevel="0" collapsed="false">
      <c r="A3013" s="37" t="s">
        <v>5768</v>
      </c>
      <c r="B3013" s="34" t="s">
        <v>5769</v>
      </c>
      <c r="C3013" s="34" t="s">
        <v>1543</v>
      </c>
    </row>
    <row r="3014" customFormat="false" ht="89.25" hidden="false" customHeight="false" outlineLevel="0" collapsed="false">
      <c r="A3014" s="37" t="s">
        <v>5770</v>
      </c>
      <c r="B3014" s="34" t="s">
        <v>5771</v>
      </c>
      <c r="C3014" s="34" t="s">
        <v>1546</v>
      </c>
    </row>
    <row r="3015" customFormat="false" ht="89.25" hidden="false" customHeight="false" outlineLevel="0" collapsed="false">
      <c r="A3015" s="37" t="s">
        <v>5772</v>
      </c>
      <c r="B3015" s="34" t="s">
        <v>5773</v>
      </c>
      <c r="C3015" s="34" t="s">
        <v>1546</v>
      </c>
    </row>
    <row r="3016" customFormat="false" ht="89.25" hidden="false" customHeight="false" outlineLevel="0" collapsed="false">
      <c r="A3016" s="37" t="s">
        <v>5774</v>
      </c>
      <c r="B3016" s="34" t="s">
        <v>5775</v>
      </c>
      <c r="C3016" s="34" t="s">
        <v>122</v>
      </c>
    </row>
    <row r="3017" customFormat="false" ht="76.5" hidden="false" customHeight="false" outlineLevel="0" collapsed="false">
      <c r="A3017" s="37" t="s">
        <v>5776</v>
      </c>
      <c r="B3017" s="34" t="s">
        <v>5777</v>
      </c>
      <c r="C3017" s="34" t="s">
        <v>5778</v>
      </c>
    </row>
    <row r="3018" customFormat="false" ht="76.5" hidden="false" customHeight="false" outlineLevel="0" collapsed="false">
      <c r="A3018" s="37" t="s">
        <v>5779</v>
      </c>
      <c r="B3018" s="34" t="s">
        <v>5780</v>
      </c>
      <c r="C3018" s="34" t="s">
        <v>5778</v>
      </c>
    </row>
    <row r="3019" customFormat="false" ht="76.5" hidden="false" customHeight="false" outlineLevel="0" collapsed="false">
      <c r="A3019" s="37" t="s">
        <v>5781</v>
      </c>
      <c r="B3019" s="34" t="s">
        <v>5782</v>
      </c>
      <c r="C3019" s="34" t="s">
        <v>5778</v>
      </c>
    </row>
    <row r="3020" customFormat="false" ht="76.5" hidden="false" customHeight="false" outlineLevel="0" collapsed="false">
      <c r="A3020" s="37" t="s">
        <v>5783</v>
      </c>
      <c r="B3020" s="34" t="s">
        <v>5784</v>
      </c>
      <c r="C3020" s="34" t="s">
        <v>5778</v>
      </c>
    </row>
    <row r="3021" customFormat="false" ht="102" hidden="false" customHeight="false" outlineLevel="0" collapsed="false">
      <c r="A3021" s="37" t="s">
        <v>5785</v>
      </c>
      <c r="B3021" s="34" t="s">
        <v>5786</v>
      </c>
      <c r="C3021" s="34" t="s">
        <v>883</v>
      </c>
    </row>
    <row r="3022" customFormat="false" ht="102" hidden="false" customHeight="false" outlineLevel="0" collapsed="false">
      <c r="A3022" s="37" t="s">
        <v>5787</v>
      </c>
      <c r="B3022" s="34" t="s">
        <v>5788</v>
      </c>
      <c r="C3022" s="34" t="s">
        <v>97</v>
      </c>
    </row>
    <row r="3023" customFormat="false" ht="102" hidden="false" customHeight="false" outlineLevel="0" collapsed="false">
      <c r="A3023" s="37" t="s">
        <v>5789</v>
      </c>
      <c r="B3023" s="34" t="s">
        <v>5790</v>
      </c>
      <c r="C3023" s="34" t="s">
        <v>97</v>
      </c>
    </row>
    <row r="3024" customFormat="false" ht="102" hidden="false" customHeight="false" outlineLevel="0" collapsed="false">
      <c r="A3024" s="37" t="s">
        <v>5791</v>
      </c>
      <c r="B3024" s="34" t="s">
        <v>5792</v>
      </c>
      <c r="C3024" s="34" t="s">
        <v>887</v>
      </c>
    </row>
    <row r="3025" customFormat="false" ht="114.75" hidden="false" customHeight="false" outlineLevel="0" collapsed="false">
      <c r="A3025" s="37" t="s">
        <v>5793</v>
      </c>
      <c r="B3025" s="34" t="s">
        <v>5794</v>
      </c>
      <c r="C3025" s="34" t="s">
        <v>849</v>
      </c>
    </row>
    <row r="3026" customFormat="false" ht="89.25" hidden="false" customHeight="false" outlineLevel="0" collapsed="false">
      <c r="A3026" s="37" t="s">
        <v>5795</v>
      </c>
      <c r="B3026" s="34" t="s">
        <v>5796</v>
      </c>
      <c r="C3026" s="34" t="s">
        <v>891</v>
      </c>
    </row>
    <row r="3027" customFormat="false" ht="114.75" hidden="false" customHeight="false" outlineLevel="0" collapsed="false">
      <c r="A3027" s="37" t="s">
        <v>5797</v>
      </c>
      <c r="B3027" s="34" t="s">
        <v>5798</v>
      </c>
      <c r="C3027" s="34" t="s">
        <v>853</v>
      </c>
    </row>
    <row r="3028" customFormat="false" ht="76.5" hidden="false" customHeight="false" outlineLevel="0" collapsed="false">
      <c r="A3028" s="37" t="s">
        <v>5799</v>
      </c>
      <c r="B3028" s="34" t="s">
        <v>5800</v>
      </c>
      <c r="C3028" s="34" t="s">
        <v>108</v>
      </c>
    </row>
    <row r="3029" customFormat="false" ht="89.25" hidden="false" customHeight="false" outlineLevel="0" collapsed="false">
      <c r="A3029" s="37" t="s">
        <v>5801</v>
      </c>
      <c r="B3029" s="34" t="s">
        <v>5802</v>
      </c>
      <c r="C3029" s="34" t="s">
        <v>871</v>
      </c>
    </row>
    <row r="3030" customFormat="false" ht="89.25" hidden="false" customHeight="false" outlineLevel="0" collapsed="false">
      <c r="A3030" s="37" t="s">
        <v>5803</v>
      </c>
      <c r="B3030" s="34" t="s">
        <v>5804</v>
      </c>
      <c r="C3030" s="34" t="s">
        <v>858</v>
      </c>
    </row>
    <row r="3031" customFormat="false" ht="89.25" hidden="false" customHeight="false" outlineLevel="0" collapsed="false">
      <c r="A3031" s="37" t="s">
        <v>5805</v>
      </c>
      <c r="B3031" s="34" t="s">
        <v>5806</v>
      </c>
      <c r="C3031" s="34" t="s">
        <v>902</v>
      </c>
    </row>
    <row r="3032" customFormat="false" ht="89.25" hidden="false" customHeight="false" outlineLevel="0" collapsed="false">
      <c r="A3032" s="37" t="s">
        <v>5807</v>
      </c>
      <c r="B3032" s="34" t="s">
        <v>5808</v>
      </c>
      <c r="C3032" s="34" t="s">
        <v>902</v>
      </c>
    </row>
    <row r="3033" customFormat="false" ht="89.25" hidden="false" customHeight="false" outlineLevel="0" collapsed="false">
      <c r="A3033" s="37" t="s">
        <v>5809</v>
      </c>
      <c r="B3033" s="34" t="s">
        <v>5810</v>
      </c>
      <c r="C3033" s="34" t="s">
        <v>122</v>
      </c>
    </row>
    <row r="3034" customFormat="false" ht="89.25" hidden="false" customHeight="false" outlineLevel="0" collapsed="false">
      <c r="A3034" s="37" t="s">
        <v>5811</v>
      </c>
      <c r="B3034" s="34" t="s">
        <v>5812</v>
      </c>
      <c r="C3034" s="34" t="s">
        <v>874</v>
      </c>
    </row>
    <row r="3035" customFormat="false" ht="89.25" hidden="false" customHeight="false" outlineLevel="0" collapsed="false">
      <c r="A3035" s="37" t="s">
        <v>5813</v>
      </c>
      <c r="B3035" s="34" t="s">
        <v>5814</v>
      </c>
      <c r="C3035" s="34" t="s">
        <v>874</v>
      </c>
    </row>
    <row r="3036" customFormat="false" ht="89.25" hidden="false" customHeight="false" outlineLevel="0" collapsed="false">
      <c r="A3036" s="37" t="s">
        <v>5815</v>
      </c>
      <c r="B3036" s="34" t="s">
        <v>5816</v>
      </c>
      <c r="C3036" s="34" t="s">
        <v>874</v>
      </c>
    </row>
    <row r="3037" customFormat="false" ht="89.25" hidden="false" customHeight="false" outlineLevel="0" collapsed="false">
      <c r="A3037" s="37" t="s">
        <v>5817</v>
      </c>
      <c r="B3037" s="34" t="s">
        <v>5818</v>
      </c>
      <c r="C3037" s="34" t="s">
        <v>874</v>
      </c>
    </row>
    <row r="3038" customFormat="false" ht="102" hidden="false" customHeight="false" outlineLevel="0" collapsed="false">
      <c r="A3038" s="37" t="s">
        <v>5819</v>
      </c>
      <c r="B3038" s="34" t="s">
        <v>5820</v>
      </c>
      <c r="C3038" s="34" t="s">
        <v>883</v>
      </c>
    </row>
    <row r="3039" customFormat="false" ht="89.25" hidden="false" customHeight="false" outlineLevel="0" collapsed="false">
      <c r="A3039" s="37" t="s">
        <v>5821</v>
      </c>
      <c r="B3039" s="34" t="s">
        <v>5822</v>
      </c>
      <c r="C3039" s="34" t="s">
        <v>2531</v>
      </c>
    </row>
    <row r="3040" customFormat="false" ht="114.75" hidden="false" customHeight="false" outlineLevel="0" collapsed="false">
      <c r="A3040" s="37" t="s">
        <v>5823</v>
      </c>
      <c r="B3040" s="34" t="s">
        <v>5824</v>
      </c>
      <c r="C3040" s="34" t="s">
        <v>849</v>
      </c>
    </row>
    <row r="3041" customFormat="false" ht="114.75" hidden="false" customHeight="false" outlineLevel="0" collapsed="false">
      <c r="A3041" s="37" t="s">
        <v>5825</v>
      </c>
      <c r="B3041" s="34" t="s">
        <v>5826</v>
      </c>
      <c r="C3041" s="34" t="s">
        <v>853</v>
      </c>
    </row>
    <row r="3042" customFormat="false" ht="76.5" hidden="false" customHeight="false" outlineLevel="0" collapsed="false">
      <c r="A3042" s="37" t="s">
        <v>5827</v>
      </c>
      <c r="B3042" s="34" t="s">
        <v>5828</v>
      </c>
      <c r="C3042" s="34" t="s">
        <v>108</v>
      </c>
    </row>
    <row r="3043" customFormat="false" ht="89.25" hidden="false" customHeight="false" outlineLevel="0" collapsed="false">
      <c r="A3043" s="37" t="s">
        <v>5829</v>
      </c>
      <c r="B3043" s="34" t="s">
        <v>5830</v>
      </c>
      <c r="C3043" s="34" t="s">
        <v>871</v>
      </c>
    </row>
    <row r="3044" customFormat="false" ht="89.25" hidden="false" customHeight="false" outlineLevel="0" collapsed="false">
      <c r="A3044" s="37" t="s">
        <v>5831</v>
      </c>
      <c r="B3044" s="34" t="s">
        <v>5832</v>
      </c>
      <c r="C3044" s="34" t="s">
        <v>858</v>
      </c>
    </row>
    <row r="3045" customFormat="false" ht="89.25" hidden="false" customHeight="false" outlineLevel="0" collapsed="false">
      <c r="A3045" s="37" t="s">
        <v>5833</v>
      </c>
      <c r="B3045" s="34" t="s">
        <v>5834</v>
      </c>
      <c r="C3045" s="34" t="s">
        <v>902</v>
      </c>
    </row>
    <row r="3046" customFormat="false" ht="89.25" hidden="false" customHeight="false" outlineLevel="0" collapsed="false">
      <c r="A3046" s="37" t="s">
        <v>5835</v>
      </c>
      <c r="B3046" s="34" t="s">
        <v>5836</v>
      </c>
      <c r="C3046" s="34" t="s">
        <v>902</v>
      </c>
    </row>
    <row r="3047" customFormat="false" ht="89.25" hidden="false" customHeight="false" outlineLevel="0" collapsed="false">
      <c r="A3047" s="37" t="s">
        <v>5837</v>
      </c>
      <c r="B3047" s="34" t="s">
        <v>5838</v>
      </c>
      <c r="C3047" s="34" t="s">
        <v>874</v>
      </c>
    </row>
    <row r="3048" customFormat="false" ht="89.25" hidden="false" customHeight="false" outlineLevel="0" collapsed="false">
      <c r="A3048" s="37" t="s">
        <v>5839</v>
      </c>
      <c r="B3048" s="34" t="s">
        <v>5840</v>
      </c>
      <c r="C3048" s="34" t="s">
        <v>874</v>
      </c>
    </row>
    <row r="3049" customFormat="false" ht="89.25" hidden="false" customHeight="false" outlineLevel="0" collapsed="false">
      <c r="A3049" s="37" t="s">
        <v>5841</v>
      </c>
      <c r="B3049" s="34" t="s">
        <v>5842</v>
      </c>
      <c r="C3049" s="34" t="s">
        <v>874</v>
      </c>
    </row>
    <row r="3050" customFormat="false" ht="89.25" hidden="false" customHeight="false" outlineLevel="0" collapsed="false">
      <c r="A3050" s="37" t="s">
        <v>5843</v>
      </c>
      <c r="B3050" s="34" t="s">
        <v>5844</v>
      </c>
      <c r="C3050" s="34" t="s">
        <v>874</v>
      </c>
    </row>
    <row r="3051" customFormat="false" ht="102" hidden="false" customHeight="false" outlineLevel="0" collapsed="false">
      <c r="A3051" s="37" t="s">
        <v>5845</v>
      </c>
      <c r="B3051" s="34" t="s">
        <v>5846</v>
      </c>
      <c r="C3051" s="34" t="s">
        <v>97</v>
      </c>
    </row>
    <row r="3052" customFormat="false" ht="89.25" hidden="false" customHeight="false" outlineLevel="0" collapsed="false">
      <c r="A3052" s="37" t="s">
        <v>5847</v>
      </c>
      <c r="B3052" s="34" t="s">
        <v>5848</v>
      </c>
      <c r="C3052" s="34" t="s">
        <v>2531</v>
      </c>
    </row>
    <row r="3053" customFormat="false" ht="102" hidden="false" customHeight="false" outlineLevel="0" collapsed="false">
      <c r="A3053" s="37" t="s">
        <v>5849</v>
      </c>
      <c r="B3053" s="34" t="s">
        <v>5850</v>
      </c>
      <c r="C3053" s="34" t="s">
        <v>887</v>
      </c>
    </row>
    <row r="3054" customFormat="false" ht="114.75" hidden="false" customHeight="false" outlineLevel="0" collapsed="false">
      <c r="A3054" s="37" t="s">
        <v>5851</v>
      </c>
      <c r="B3054" s="34" t="s">
        <v>5852</v>
      </c>
      <c r="C3054" s="34" t="s">
        <v>849</v>
      </c>
    </row>
    <row r="3055" customFormat="false" ht="89.25" hidden="false" customHeight="false" outlineLevel="0" collapsed="false">
      <c r="A3055" s="37" t="s">
        <v>5853</v>
      </c>
      <c r="B3055" s="34" t="s">
        <v>5854</v>
      </c>
      <c r="C3055" s="34" t="s">
        <v>891</v>
      </c>
    </row>
    <row r="3056" customFormat="false" ht="89.25" hidden="false" customHeight="false" outlineLevel="0" collapsed="false">
      <c r="A3056" s="37" t="s">
        <v>5855</v>
      </c>
      <c r="B3056" s="34" t="s">
        <v>5856</v>
      </c>
      <c r="C3056" s="34" t="s">
        <v>4081</v>
      </c>
    </row>
    <row r="3057" customFormat="false" ht="76.5" hidden="false" customHeight="false" outlineLevel="0" collapsed="false">
      <c r="A3057" s="37" t="s">
        <v>5857</v>
      </c>
      <c r="B3057" s="34" t="s">
        <v>5858</v>
      </c>
      <c r="C3057" s="34" t="s">
        <v>108</v>
      </c>
    </row>
    <row r="3058" customFormat="false" ht="89.25" hidden="false" customHeight="false" outlineLevel="0" collapsed="false">
      <c r="A3058" s="37" t="s">
        <v>5859</v>
      </c>
      <c r="B3058" s="34" t="s">
        <v>5860</v>
      </c>
      <c r="C3058" s="34" t="s">
        <v>871</v>
      </c>
    </row>
    <row r="3059" customFormat="false" ht="89.25" hidden="false" customHeight="false" outlineLevel="0" collapsed="false">
      <c r="A3059" s="37" t="s">
        <v>5861</v>
      </c>
      <c r="B3059" s="34" t="s">
        <v>5862</v>
      </c>
      <c r="C3059" s="34" t="s">
        <v>858</v>
      </c>
    </row>
    <row r="3060" customFormat="false" ht="89.25" hidden="false" customHeight="false" outlineLevel="0" collapsed="false">
      <c r="A3060" s="37" t="s">
        <v>5863</v>
      </c>
      <c r="B3060" s="34" t="s">
        <v>5864</v>
      </c>
      <c r="C3060" s="34" t="s">
        <v>902</v>
      </c>
    </row>
    <row r="3061" customFormat="false" ht="89.25" hidden="false" customHeight="false" outlineLevel="0" collapsed="false">
      <c r="A3061" s="37" t="s">
        <v>5865</v>
      </c>
      <c r="B3061" s="34" t="s">
        <v>5866</v>
      </c>
      <c r="C3061" s="34" t="s">
        <v>902</v>
      </c>
    </row>
    <row r="3062" customFormat="false" ht="89.25" hidden="false" customHeight="false" outlineLevel="0" collapsed="false">
      <c r="A3062" s="37" t="s">
        <v>5867</v>
      </c>
      <c r="B3062" s="34" t="s">
        <v>5868</v>
      </c>
      <c r="C3062" s="34" t="s">
        <v>122</v>
      </c>
    </row>
    <row r="3063" customFormat="false" ht="89.25" hidden="false" customHeight="false" outlineLevel="0" collapsed="false">
      <c r="A3063" s="37" t="s">
        <v>5869</v>
      </c>
      <c r="B3063" s="34" t="s">
        <v>5870</v>
      </c>
      <c r="C3063" s="34" t="s">
        <v>874</v>
      </c>
    </row>
    <row r="3064" customFormat="false" ht="89.25" hidden="false" customHeight="false" outlineLevel="0" collapsed="false">
      <c r="A3064" s="37" t="s">
        <v>5871</v>
      </c>
      <c r="B3064" s="34" t="s">
        <v>5872</v>
      </c>
      <c r="C3064" s="34" t="s">
        <v>874</v>
      </c>
    </row>
    <row r="3065" customFormat="false" ht="89.25" hidden="false" customHeight="false" outlineLevel="0" collapsed="false">
      <c r="A3065" s="37" t="s">
        <v>5873</v>
      </c>
      <c r="B3065" s="34" t="s">
        <v>5874</v>
      </c>
      <c r="C3065" s="34" t="s">
        <v>874</v>
      </c>
    </row>
    <row r="3066" customFormat="false" ht="89.25" hidden="false" customHeight="false" outlineLevel="0" collapsed="false">
      <c r="A3066" s="37" t="s">
        <v>5875</v>
      </c>
      <c r="B3066" s="34" t="s">
        <v>5876</v>
      </c>
      <c r="C3066" s="34" t="s">
        <v>874</v>
      </c>
    </row>
    <row r="3067" customFormat="false" ht="102" hidden="false" customHeight="false" outlineLevel="0" collapsed="false">
      <c r="A3067" s="37" t="s">
        <v>5877</v>
      </c>
      <c r="B3067" s="34" t="s">
        <v>5878</v>
      </c>
      <c r="C3067" s="34" t="s">
        <v>883</v>
      </c>
    </row>
    <row r="3068" customFormat="false" ht="25.5" hidden="false" customHeight="false" outlineLevel="0" collapsed="false">
      <c r="A3068" s="37" t="s">
        <v>5879</v>
      </c>
      <c r="B3068" s="34" t="s">
        <v>5880</v>
      </c>
      <c r="C3068" s="34" t="s">
        <v>965</v>
      </c>
    </row>
    <row r="3069" customFormat="false" ht="25.5" hidden="false" customHeight="false" outlineLevel="0" collapsed="false">
      <c r="A3069" s="37" t="s">
        <v>5881</v>
      </c>
      <c r="B3069" s="34" t="s">
        <v>5880</v>
      </c>
      <c r="C3069" s="34" t="s">
        <v>965</v>
      </c>
    </row>
    <row r="3070" customFormat="false" ht="25.5" hidden="false" customHeight="false" outlineLevel="0" collapsed="false">
      <c r="A3070" s="37" t="s">
        <v>5882</v>
      </c>
      <c r="B3070" s="34" t="s">
        <v>5880</v>
      </c>
      <c r="C3070" s="34" t="s">
        <v>965</v>
      </c>
    </row>
    <row r="3071" customFormat="false" ht="25.5" hidden="false" customHeight="false" outlineLevel="0" collapsed="false">
      <c r="A3071" s="37" t="s">
        <v>5883</v>
      </c>
      <c r="B3071" s="34" t="s">
        <v>5880</v>
      </c>
      <c r="C3071" s="34" t="s">
        <v>965</v>
      </c>
    </row>
    <row r="3072" customFormat="false" ht="25.5" hidden="false" customHeight="false" outlineLevel="0" collapsed="false">
      <c r="A3072" s="37" t="s">
        <v>5884</v>
      </c>
      <c r="B3072" s="34" t="s">
        <v>5880</v>
      </c>
      <c r="C3072" s="34" t="s">
        <v>965</v>
      </c>
    </row>
    <row r="3073" customFormat="false" ht="25.5" hidden="false" customHeight="false" outlineLevel="0" collapsed="false">
      <c r="A3073" s="37" t="s">
        <v>5885</v>
      </c>
      <c r="B3073" s="34" t="s">
        <v>5880</v>
      </c>
      <c r="C3073" s="34" t="s">
        <v>965</v>
      </c>
    </row>
    <row r="3074" customFormat="false" ht="25.5" hidden="false" customHeight="false" outlineLevel="0" collapsed="false">
      <c r="A3074" s="37" t="s">
        <v>5886</v>
      </c>
      <c r="B3074" s="34" t="s">
        <v>5880</v>
      </c>
      <c r="C3074" s="34" t="s">
        <v>965</v>
      </c>
    </row>
    <row r="3075" customFormat="false" ht="25.5" hidden="false" customHeight="false" outlineLevel="0" collapsed="false">
      <c r="A3075" s="37" t="s">
        <v>5887</v>
      </c>
      <c r="B3075" s="34" t="s">
        <v>5880</v>
      </c>
      <c r="C3075" s="34" t="s">
        <v>965</v>
      </c>
    </row>
    <row r="3076" customFormat="false" ht="89.25" hidden="false" customHeight="false" outlineLevel="0" collapsed="false">
      <c r="A3076" s="37" t="s">
        <v>5888</v>
      </c>
      <c r="B3076" s="34" t="s">
        <v>5889</v>
      </c>
      <c r="C3076" s="34" t="s">
        <v>985</v>
      </c>
    </row>
    <row r="3077" customFormat="false" ht="89.25" hidden="false" customHeight="false" outlineLevel="0" collapsed="false">
      <c r="A3077" s="37" t="s">
        <v>5890</v>
      </c>
      <c r="B3077" s="34" t="s">
        <v>5891</v>
      </c>
      <c r="C3077" s="34" t="s">
        <v>988</v>
      </c>
    </row>
    <row r="3078" customFormat="false" ht="76.5" hidden="false" customHeight="false" outlineLevel="0" collapsed="false">
      <c r="A3078" s="37" t="s">
        <v>5892</v>
      </c>
      <c r="B3078" s="34" t="s">
        <v>5893</v>
      </c>
      <c r="C3078" s="34" t="s">
        <v>1661</v>
      </c>
    </row>
    <row r="3079" customFormat="false" ht="38.25" hidden="false" customHeight="false" outlineLevel="0" collapsed="false">
      <c r="A3079" s="37" t="s">
        <v>5894</v>
      </c>
      <c r="B3079" s="34" t="s">
        <v>5895</v>
      </c>
      <c r="C3079" s="34" t="s">
        <v>965</v>
      </c>
    </row>
    <row r="3080" customFormat="false" ht="38.25" hidden="false" customHeight="false" outlineLevel="0" collapsed="false">
      <c r="A3080" s="37" t="s">
        <v>5896</v>
      </c>
      <c r="B3080" s="34" t="s">
        <v>5897</v>
      </c>
      <c r="C3080" s="34" t="s">
        <v>965</v>
      </c>
    </row>
    <row r="3081" customFormat="false" ht="38.25" hidden="false" customHeight="false" outlineLevel="0" collapsed="false">
      <c r="A3081" s="37" t="s">
        <v>5898</v>
      </c>
      <c r="B3081" s="34" t="s">
        <v>5899</v>
      </c>
      <c r="C3081" s="34" t="s">
        <v>965</v>
      </c>
    </row>
    <row r="3082" customFormat="false" ht="89.25" hidden="false" customHeight="false" outlineLevel="0" collapsed="false">
      <c r="A3082" s="37" t="s">
        <v>5900</v>
      </c>
      <c r="B3082" s="34" t="s">
        <v>5901</v>
      </c>
      <c r="C3082" s="34" t="s">
        <v>997</v>
      </c>
    </row>
    <row r="3083" customFormat="false" ht="89.25" hidden="false" customHeight="false" outlineLevel="0" collapsed="false">
      <c r="A3083" s="37" t="s">
        <v>5902</v>
      </c>
      <c r="B3083" s="34" t="s">
        <v>5903</v>
      </c>
      <c r="C3083" s="34" t="s">
        <v>997</v>
      </c>
    </row>
    <row r="3084" customFormat="false" ht="38.25" hidden="false" customHeight="false" outlineLevel="0" collapsed="false">
      <c r="A3084" s="37" t="s">
        <v>5904</v>
      </c>
      <c r="B3084" s="34" t="s">
        <v>5905</v>
      </c>
      <c r="C3084" s="34" t="s">
        <v>1002</v>
      </c>
    </row>
    <row r="3085" customFormat="false" ht="38.25" hidden="false" customHeight="false" outlineLevel="0" collapsed="false">
      <c r="A3085" s="37" t="s">
        <v>5906</v>
      </c>
      <c r="B3085" s="34" t="s">
        <v>5907</v>
      </c>
      <c r="C3085" s="34" t="s">
        <v>965</v>
      </c>
    </row>
    <row r="3086" customFormat="false" ht="63.75" hidden="false" customHeight="false" outlineLevel="0" collapsed="false">
      <c r="A3086" s="37" t="s">
        <v>5908</v>
      </c>
      <c r="B3086" s="34" t="s">
        <v>5909</v>
      </c>
      <c r="C3086" s="34" t="s">
        <v>139</v>
      </c>
    </row>
    <row r="3087" customFormat="false" ht="63.75" hidden="false" customHeight="false" outlineLevel="0" collapsed="false">
      <c r="A3087" s="37" t="s">
        <v>5910</v>
      </c>
      <c r="B3087" s="34" t="s">
        <v>5911</v>
      </c>
      <c r="C3087" s="34" t="s">
        <v>142</v>
      </c>
    </row>
    <row r="3088" customFormat="false" ht="63.75" hidden="false" customHeight="false" outlineLevel="0" collapsed="false">
      <c r="A3088" s="37" t="s">
        <v>5912</v>
      </c>
      <c r="B3088" s="34" t="s">
        <v>5913</v>
      </c>
      <c r="C3088" s="34" t="s">
        <v>1033</v>
      </c>
    </row>
    <row r="3089" customFormat="false" ht="38.25" hidden="false" customHeight="false" outlineLevel="0" collapsed="false">
      <c r="A3089" s="37" t="s">
        <v>5914</v>
      </c>
      <c r="B3089" s="34" t="s">
        <v>5915</v>
      </c>
      <c r="C3089" s="34" t="s">
        <v>687</v>
      </c>
    </row>
    <row r="3090" customFormat="false" ht="51" hidden="false" customHeight="false" outlineLevel="0" collapsed="false">
      <c r="A3090" s="37" t="s">
        <v>5916</v>
      </c>
      <c r="B3090" s="34" t="s">
        <v>5917</v>
      </c>
      <c r="C3090" s="34" t="s">
        <v>1038</v>
      </c>
    </row>
    <row r="3091" customFormat="false" ht="38.25" hidden="false" customHeight="false" outlineLevel="0" collapsed="false">
      <c r="A3091" s="37" t="s">
        <v>5918</v>
      </c>
      <c r="B3091" s="34" t="s">
        <v>5919</v>
      </c>
      <c r="C3091" s="34" t="s">
        <v>1041</v>
      </c>
    </row>
    <row r="3092" customFormat="false" ht="51" hidden="false" customHeight="false" outlineLevel="0" collapsed="false">
      <c r="A3092" s="37" t="s">
        <v>5920</v>
      </c>
      <c r="B3092" s="34" t="s">
        <v>5921</v>
      </c>
      <c r="C3092" s="34" t="s">
        <v>1047</v>
      </c>
    </row>
    <row r="3093" customFormat="false" ht="51" hidden="false" customHeight="false" outlineLevel="0" collapsed="false">
      <c r="A3093" s="37" t="s">
        <v>5922</v>
      </c>
      <c r="B3093" s="34" t="s">
        <v>5923</v>
      </c>
      <c r="C3093" s="34" t="s">
        <v>1050</v>
      </c>
    </row>
    <row r="3094" customFormat="false" ht="51" hidden="false" customHeight="false" outlineLevel="0" collapsed="false">
      <c r="A3094" s="37" t="s">
        <v>5924</v>
      </c>
      <c r="B3094" s="34" t="s">
        <v>5925</v>
      </c>
      <c r="C3094" s="34" t="s">
        <v>1053</v>
      </c>
    </row>
    <row r="3095" customFormat="false" ht="38.25" hidden="false" customHeight="false" outlineLevel="0" collapsed="false">
      <c r="A3095" s="37" t="s">
        <v>5926</v>
      </c>
      <c r="B3095" s="34" t="s">
        <v>5927</v>
      </c>
      <c r="C3095" s="34" t="s">
        <v>1056</v>
      </c>
    </row>
    <row r="3096" customFormat="false" ht="63.75" hidden="false" customHeight="false" outlineLevel="0" collapsed="false">
      <c r="A3096" s="37" t="s">
        <v>5928</v>
      </c>
      <c r="B3096" s="34" t="s">
        <v>5929</v>
      </c>
      <c r="C3096" s="34" t="s">
        <v>1059</v>
      </c>
    </row>
    <row r="3097" customFormat="false" ht="63.75" hidden="false" customHeight="false" outlineLevel="0" collapsed="false">
      <c r="A3097" s="37" t="s">
        <v>5930</v>
      </c>
      <c r="B3097" s="34" t="s">
        <v>5931</v>
      </c>
      <c r="C3097" s="34" t="s">
        <v>139</v>
      </c>
    </row>
    <row r="3098" customFormat="false" ht="63.75" hidden="false" customHeight="false" outlineLevel="0" collapsed="false">
      <c r="A3098" s="37" t="s">
        <v>5932</v>
      </c>
      <c r="B3098" s="34" t="s">
        <v>5933</v>
      </c>
      <c r="C3098" s="34" t="s">
        <v>139</v>
      </c>
    </row>
    <row r="3099" customFormat="false" ht="63.75" hidden="false" customHeight="false" outlineLevel="0" collapsed="false">
      <c r="A3099" s="37" t="s">
        <v>5934</v>
      </c>
      <c r="B3099" s="34" t="s">
        <v>5935</v>
      </c>
      <c r="C3099" s="34" t="s">
        <v>139</v>
      </c>
    </row>
    <row r="3100" customFormat="false" ht="127.5" hidden="false" customHeight="false" outlineLevel="0" collapsed="false">
      <c r="A3100" s="37" t="s">
        <v>5936</v>
      </c>
      <c r="B3100" s="34" t="s">
        <v>5937</v>
      </c>
      <c r="C3100" s="34" t="s">
        <v>1069</v>
      </c>
    </row>
    <row r="3101" customFormat="false" ht="127.5" hidden="false" customHeight="false" outlineLevel="0" collapsed="false">
      <c r="A3101" s="37" t="s">
        <v>5938</v>
      </c>
      <c r="B3101" s="34" t="s">
        <v>5939</v>
      </c>
      <c r="C3101" s="34" t="s">
        <v>1069</v>
      </c>
    </row>
    <row r="3102" customFormat="false" ht="127.5" hidden="false" customHeight="false" outlineLevel="0" collapsed="false">
      <c r="A3102" s="37" t="s">
        <v>5940</v>
      </c>
      <c r="B3102" s="34" t="s">
        <v>5941</v>
      </c>
      <c r="C3102" s="34" t="s">
        <v>1069</v>
      </c>
    </row>
    <row r="3103" customFormat="false" ht="127.5" hidden="false" customHeight="false" outlineLevel="0" collapsed="false">
      <c r="A3103" s="37" t="s">
        <v>5942</v>
      </c>
      <c r="B3103" s="34" t="s">
        <v>5943</v>
      </c>
      <c r="C3103" s="34" t="s">
        <v>1069</v>
      </c>
    </row>
    <row r="3104" customFormat="false" ht="102" hidden="false" customHeight="false" outlineLevel="0" collapsed="false">
      <c r="A3104" s="37" t="s">
        <v>5944</v>
      </c>
      <c r="B3104" s="34" t="s">
        <v>5945</v>
      </c>
      <c r="C3104" s="34" t="s">
        <v>177</v>
      </c>
    </row>
    <row r="3105" customFormat="false" ht="102" hidden="false" customHeight="false" outlineLevel="0" collapsed="false">
      <c r="A3105" s="37" t="s">
        <v>5946</v>
      </c>
      <c r="B3105" s="34" t="s">
        <v>5947</v>
      </c>
      <c r="C3105" s="34" t="s">
        <v>177</v>
      </c>
    </row>
    <row r="3106" customFormat="false" ht="102" hidden="false" customHeight="false" outlineLevel="0" collapsed="false">
      <c r="A3106" s="37" t="s">
        <v>5948</v>
      </c>
      <c r="B3106" s="34" t="s">
        <v>5949</v>
      </c>
      <c r="C3106" s="34" t="s">
        <v>1751</v>
      </c>
    </row>
    <row r="3107" customFormat="false" ht="102" hidden="false" customHeight="false" outlineLevel="0" collapsed="false">
      <c r="A3107" s="37" t="s">
        <v>5950</v>
      </c>
      <c r="B3107" s="34" t="s">
        <v>5951</v>
      </c>
      <c r="C3107" s="34" t="s">
        <v>1751</v>
      </c>
    </row>
    <row r="3108" customFormat="false" ht="127.5" hidden="false" customHeight="false" outlineLevel="0" collapsed="false">
      <c r="A3108" s="37" t="s">
        <v>5952</v>
      </c>
      <c r="B3108" s="34" t="s">
        <v>5953</v>
      </c>
      <c r="C3108" s="34" t="s">
        <v>1079</v>
      </c>
    </row>
    <row r="3109" customFormat="false" ht="127.5" hidden="false" customHeight="false" outlineLevel="0" collapsed="false">
      <c r="A3109" s="37" t="s">
        <v>5954</v>
      </c>
      <c r="B3109" s="34" t="s">
        <v>5939</v>
      </c>
      <c r="C3109" s="34" t="s">
        <v>1079</v>
      </c>
    </row>
    <row r="3110" customFormat="false" ht="127.5" hidden="false" customHeight="false" outlineLevel="0" collapsed="false">
      <c r="A3110" s="37" t="s">
        <v>5955</v>
      </c>
      <c r="B3110" s="34" t="s">
        <v>5956</v>
      </c>
      <c r="C3110" s="34" t="s">
        <v>1079</v>
      </c>
    </row>
    <row r="3111" customFormat="false" ht="127.5" hidden="false" customHeight="false" outlineLevel="0" collapsed="false">
      <c r="A3111" s="37" t="s">
        <v>5957</v>
      </c>
      <c r="B3111" s="34" t="s">
        <v>5958</v>
      </c>
      <c r="C3111" s="34" t="s">
        <v>1079</v>
      </c>
    </row>
    <row r="3112" customFormat="false" ht="102" hidden="false" customHeight="false" outlineLevel="0" collapsed="false">
      <c r="A3112" s="37" t="s">
        <v>5959</v>
      </c>
      <c r="B3112" s="34" t="s">
        <v>5960</v>
      </c>
      <c r="C3112" s="34" t="s">
        <v>221</v>
      </c>
    </row>
    <row r="3113" customFormat="false" ht="102" hidden="false" customHeight="false" outlineLevel="0" collapsed="false">
      <c r="A3113" s="37" t="s">
        <v>5961</v>
      </c>
      <c r="B3113" s="34" t="s">
        <v>5962</v>
      </c>
      <c r="C3113" s="34" t="s">
        <v>221</v>
      </c>
    </row>
    <row r="3114" customFormat="false" ht="102" hidden="false" customHeight="false" outlineLevel="0" collapsed="false">
      <c r="A3114" s="37" t="s">
        <v>5963</v>
      </c>
      <c r="B3114" s="34" t="s">
        <v>5964</v>
      </c>
      <c r="C3114" s="34" t="s">
        <v>1808</v>
      </c>
    </row>
    <row r="3115" customFormat="false" ht="102" hidden="false" customHeight="false" outlineLevel="0" collapsed="false">
      <c r="A3115" s="37" t="s">
        <v>5965</v>
      </c>
      <c r="B3115" s="34" t="s">
        <v>5966</v>
      </c>
      <c r="C3115" s="34" t="s">
        <v>1808</v>
      </c>
    </row>
    <row r="3116" customFormat="false" ht="127.5" hidden="false" customHeight="false" outlineLevel="0" collapsed="false">
      <c r="A3116" s="37" t="s">
        <v>5967</v>
      </c>
      <c r="B3116" s="34" t="s">
        <v>5968</v>
      </c>
      <c r="C3116" s="34" t="s">
        <v>1089</v>
      </c>
    </row>
    <row r="3117" customFormat="false" ht="127.5" hidden="false" customHeight="false" outlineLevel="0" collapsed="false">
      <c r="A3117" s="37" t="s">
        <v>5969</v>
      </c>
      <c r="B3117" s="34" t="s">
        <v>5970</v>
      </c>
      <c r="C3117" s="34" t="s">
        <v>1089</v>
      </c>
    </row>
    <row r="3118" customFormat="false" ht="127.5" hidden="false" customHeight="false" outlineLevel="0" collapsed="false">
      <c r="A3118" s="37" t="s">
        <v>5971</v>
      </c>
      <c r="B3118" s="34" t="s">
        <v>5972</v>
      </c>
      <c r="C3118" s="34" t="s">
        <v>1089</v>
      </c>
    </row>
    <row r="3119" customFormat="false" ht="127.5" hidden="false" customHeight="false" outlineLevel="0" collapsed="false">
      <c r="A3119" s="37" t="s">
        <v>5973</v>
      </c>
      <c r="B3119" s="34" t="s">
        <v>5958</v>
      </c>
      <c r="C3119" s="34" t="s">
        <v>1089</v>
      </c>
    </row>
    <row r="3120" customFormat="false" ht="102" hidden="false" customHeight="false" outlineLevel="0" collapsed="false">
      <c r="A3120" s="37" t="s">
        <v>5974</v>
      </c>
      <c r="B3120" s="34" t="s">
        <v>5975</v>
      </c>
      <c r="C3120" s="34" t="s">
        <v>265</v>
      </c>
    </row>
    <row r="3121" customFormat="false" ht="102" hidden="false" customHeight="false" outlineLevel="0" collapsed="false">
      <c r="A3121" s="37" t="s">
        <v>5976</v>
      </c>
      <c r="B3121" s="34" t="s">
        <v>5977</v>
      </c>
      <c r="C3121" s="34" t="s">
        <v>265</v>
      </c>
    </row>
    <row r="3122" customFormat="false" ht="102" hidden="false" customHeight="false" outlineLevel="0" collapsed="false">
      <c r="A3122" s="37" t="s">
        <v>5978</v>
      </c>
      <c r="B3122" s="34" t="s">
        <v>5979</v>
      </c>
      <c r="C3122" s="34" t="s">
        <v>1866</v>
      </c>
    </row>
    <row r="3123" customFormat="false" ht="102" hidden="false" customHeight="false" outlineLevel="0" collapsed="false">
      <c r="A3123" s="37" t="s">
        <v>5980</v>
      </c>
      <c r="B3123" s="34" t="s">
        <v>5981</v>
      </c>
      <c r="C3123" s="34" t="s">
        <v>1866</v>
      </c>
    </row>
    <row r="3124" customFormat="false" ht="127.5" hidden="false" customHeight="false" outlineLevel="0" collapsed="false">
      <c r="A3124" s="37" t="s">
        <v>5982</v>
      </c>
      <c r="B3124" s="34" t="s">
        <v>5983</v>
      </c>
      <c r="C3124" s="34" t="s">
        <v>1099</v>
      </c>
    </row>
    <row r="3125" customFormat="false" ht="127.5" hidden="false" customHeight="false" outlineLevel="0" collapsed="false">
      <c r="A3125" s="37" t="s">
        <v>5984</v>
      </c>
      <c r="B3125" s="34" t="s">
        <v>5985</v>
      </c>
      <c r="C3125" s="34" t="s">
        <v>1099</v>
      </c>
    </row>
    <row r="3126" customFormat="false" ht="127.5" hidden="false" customHeight="false" outlineLevel="0" collapsed="false">
      <c r="A3126" s="37" t="s">
        <v>5986</v>
      </c>
      <c r="B3126" s="34" t="s">
        <v>5987</v>
      </c>
      <c r="C3126" s="34" t="s">
        <v>1099</v>
      </c>
    </row>
    <row r="3127" customFormat="false" ht="127.5" hidden="false" customHeight="false" outlineLevel="0" collapsed="false">
      <c r="A3127" s="37" t="s">
        <v>5988</v>
      </c>
      <c r="B3127" s="34" t="s">
        <v>5989</v>
      </c>
      <c r="C3127" s="34" t="s">
        <v>1099</v>
      </c>
    </row>
    <row r="3128" customFormat="false" ht="102" hidden="false" customHeight="false" outlineLevel="0" collapsed="false">
      <c r="A3128" s="37" t="s">
        <v>5990</v>
      </c>
      <c r="B3128" s="34" t="s">
        <v>5991</v>
      </c>
      <c r="C3128" s="34" t="s">
        <v>309</v>
      </c>
    </row>
    <row r="3129" customFormat="false" ht="102" hidden="false" customHeight="false" outlineLevel="0" collapsed="false">
      <c r="A3129" s="37" t="s">
        <v>5992</v>
      </c>
      <c r="B3129" s="34" t="s">
        <v>5993</v>
      </c>
      <c r="C3129" s="34" t="s">
        <v>309</v>
      </c>
    </row>
    <row r="3130" customFormat="false" ht="102" hidden="false" customHeight="false" outlineLevel="0" collapsed="false">
      <c r="A3130" s="37" t="s">
        <v>5994</v>
      </c>
      <c r="B3130" s="34" t="s">
        <v>5995</v>
      </c>
      <c r="C3130" s="34" t="s">
        <v>1924</v>
      </c>
    </row>
    <row r="3131" customFormat="false" ht="102" hidden="false" customHeight="false" outlineLevel="0" collapsed="false">
      <c r="A3131" s="37" t="s">
        <v>5996</v>
      </c>
      <c r="B3131" s="34" t="s">
        <v>5997</v>
      </c>
      <c r="C3131" s="34" t="s">
        <v>1924</v>
      </c>
    </row>
    <row r="3132" customFormat="false" ht="127.5" hidden="false" customHeight="false" outlineLevel="0" collapsed="false">
      <c r="A3132" s="37" t="s">
        <v>5998</v>
      </c>
      <c r="B3132" s="34" t="s">
        <v>5999</v>
      </c>
      <c r="C3132" s="34" t="s">
        <v>1108</v>
      </c>
    </row>
    <row r="3133" customFormat="false" ht="127.5" hidden="false" customHeight="false" outlineLevel="0" collapsed="false">
      <c r="A3133" s="37" t="s">
        <v>6000</v>
      </c>
      <c r="B3133" s="34" t="s">
        <v>6001</v>
      </c>
      <c r="C3133" s="34" t="s">
        <v>1108</v>
      </c>
    </row>
    <row r="3134" customFormat="false" ht="127.5" hidden="false" customHeight="false" outlineLevel="0" collapsed="false">
      <c r="A3134" s="37" t="s">
        <v>6002</v>
      </c>
      <c r="B3134" s="34" t="s">
        <v>6003</v>
      </c>
      <c r="C3134" s="34" t="s">
        <v>1108</v>
      </c>
    </row>
    <row r="3135" customFormat="false" ht="127.5" hidden="false" customHeight="false" outlineLevel="0" collapsed="false">
      <c r="A3135" s="37" t="s">
        <v>6004</v>
      </c>
      <c r="B3135" s="34" t="s">
        <v>6005</v>
      </c>
      <c r="C3135" s="34" t="s">
        <v>1108</v>
      </c>
    </row>
    <row r="3136" customFormat="false" ht="102" hidden="false" customHeight="false" outlineLevel="0" collapsed="false">
      <c r="A3136" s="37" t="s">
        <v>6006</v>
      </c>
      <c r="B3136" s="34" t="s">
        <v>6007</v>
      </c>
      <c r="C3136" s="34" t="s">
        <v>351</v>
      </c>
    </row>
    <row r="3137" customFormat="false" ht="102" hidden="false" customHeight="false" outlineLevel="0" collapsed="false">
      <c r="A3137" s="37" t="s">
        <v>6008</v>
      </c>
      <c r="B3137" s="34" t="s">
        <v>6009</v>
      </c>
      <c r="C3137" s="34" t="s">
        <v>351</v>
      </c>
    </row>
    <row r="3138" customFormat="false" ht="102" hidden="false" customHeight="false" outlineLevel="0" collapsed="false">
      <c r="A3138" s="37" t="s">
        <v>6010</v>
      </c>
      <c r="B3138" s="34" t="s">
        <v>6011</v>
      </c>
      <c r="C3138" s="34" t="s">
        <v>1987</v>
      </c>
    </row>
    <row r="3139" customFormat="false" ht="102" hidden="false" customHeight="false" outlineLevel="0" collapsed="false">
      <c r="A3139" s="37" t="s">
        <v>6012</v>
      </c>
      <c r="B3139" s="34" t="s">
        <v>6013</v>
      </c>
      <c r="C3139" s="34" t="s">
        <v>1987</v>
      </c>
    </row>
    <row r="3140" customFormat="false" ht="89.25" hidden="false" customHeight="false" outlineLevel="0" collapsed="false">
      <c r="A3140" s="37" t="s">
        <v>6014</v>
      </c>
      <c r="B3140" s="34" t="s">
        <v>6015</v>
      </c>
      <c r="C3140" s="34" t="s">
        <v>1115</v>
      </c>
    </row>
    <row r="3141" customFormat="false" ht="63.75" hidden="false" customHeight="false" outlineLevel="0" collapsed="false">
      <c r="A3141" s="37" t="s">
        <v>6016</v>
      </c>
      <c r="B3141" s="34" t="s">
        <v>6017</v>
      </c>
      <c r="C3141" s="34" t="s">
        <v>6018</v>
      </c>
    </row>
    <row r="3142" customFormat="false" ht="89.25" hidden="false" customHeight="false" outlineLevel="0" collapsed="false">
      <c r="A3142" s="37" t="s">
        <v>6019</v>
      </c>
      <c r="B3142" s="34" t="s">
        <v>6020</v>
      </c>
      <c r="C3142" s="34" t="s">
        <v>1115</v>
      </c>
    </row>
    <row r="3143" customFormat="false" ht="38.25" hidden="false" customHeight="false" outlineLevel="0" collapsed="false">
      <c r="A3143" s="37" t="s">
        <v>6021</v>
      </c>
      <c r="B3143" s="34" t="s">
        <v>6022</v>
      </c>
      <c r="C3143" s="34" t="s">
        <v>965</v>
      </c>
    </row>
    <row r="3144" customFormat="false" ht="89.25" hidden="false" customHeight="false" outlineLevel="0" collapsed="false">
      <c r="A3144" s="37" t="s">
        <v>6023</v>
      </c>
      <c r="B3144" s="34" t="s">
        <v>6024</v>
      </c>
      <c r="C3144" s="34" t="s">
        <v>1115</v>
      </c>
    </row>
    <row r="3145" customFormat="false" ht="89.25" hidden="false" customHeight="false" outlineLevel="0" collapsed="false">
      <c r="A3145" s="37" t="s">
        <v>6025</v>
      </c>
      <c r="B3145" s="34" t="s">
        <v>6026</v>
      </c>
      <c r="C3145" s="34" t="s">
        <v>1115</v>
      </c>
    </row>
    <row r="3146" customFormat="false" ht="89.25" hidden="false" customHeight="false" outlineLevel="0" collapsed="false">
      <c r="A3146" s="37" t="s">
        <v>6027</v>
      </c>
      <c r="B3146" s="34" t="s">
        <v>6028</v>
      </c>
      <c r="C3146" s="34" t="s">
        <v>1115</v>
      </c>
    </row>
    <row r="3147" customFormat="false" ht="89.25" hidden="false" customHeight="false" outlineLevel="0" collapsed="false">
      <c r="A3147" s="37" t="s">
        <v>6029</v>
      </c>
      <c r="B3147" s="34" t="s">
        <v>6030</v>
      </c>
      <c r="C3147" s="34" t="s">
        <v>1115</v>
      </c>
    </row>
    <row r="3148" customFormat="false" ht="89.25" hidden="false" customHeight="false" outlineLevel="0" collapsed="false">
      <c r="A3148" s="37" t="s">
        <v>6031</v>
      </c>
      <c r="B3148" s="34" t="s">
        <v>6032</v>
      </c>
      <c r="C3148" s="34" t="s">
        <v>1115</v>
      </c>
    </row>
    <row r="3149" customFormat="false" ht="89.25" hidden="false" customHeight="false" outlineLevel="0" collapsed="false">
      <c r="A3149" s="37" t="s">
        <v>6033</v>
      </c>
      <c r="B3149" s="34" t="s">
        <v>6034</v>
      </c>
      <c r="C3149" s="34" t="s">
        <v>1115</v>
      </c>
    </row>
    <row r="3150" customFormat="false" ht="89.25" hidden="false" customHeight="false" outlineLevel="0" collapsed="false">
      <c r="A3150" s="37" t="s">
        <v>6035</v>
      </c>
      <c r="B3150" s="34" t="s">
        <v>6036</v>
      </c>
      <c r="C3150" s="34" t="s">
        <v>1115</v>
      </c>
    </row>
    <row r="3151" customFormat="false" ht="89.25" hidden="false" customHeight="false" outlineLevel="0" collapsed="false">
      <c r="A3151" s="37" t="s">
        <v>6037</v>
      </c>
      <c r="B3151" s="34" t="s">
        <v>6038</v>
      </c>
      <c r="C3151" s="34" t="s">
        <v>1115</v>
      </c>
    </row>
    <row r="3152" customFormat="false" ht="89.25" hidden="false" customHeight="false" outlineLevel="0" collapsed="false">
      <c r="A3152" s="37" t="s">
        <v>6039</v>
      </c>
      <c r="B3152" s="34" t="s">
        <v>6040</v>
      </c>
      <c r="C3152" s="34" t="s">
        <v>1115</v>
      </c>
    </row>
    <row r="3153" customFormat="false" ht="89.25" hidden="false" customHeight="false" outlineLevel="0" collapsed="false">
      <c r="A3153" s="37" t="s">
        <v>6041</v>
      </c>
      <c r="B3153" s="34" t="s">
        <v>6042</v>
      </c>
      <c r="C3153" s="34" t="s">
        <v>1115</v>
      </c>
    </row>
    <row r="3154" customFormat="false" ht="89.25" hidden="false" customHeight="false" outlineLevel="0" collapsed="false">
      <c r="A3154" s="37" t="s">
        <v>6043</v>
      </c>
      <c r="B3154" s="34" t="s">
        <v>6044</v>
      </c>
      <c r="C3154" s="34" t="s">
        <v>1115</v>
      </c>
    </row>
    <row r="3155" customFormat="false" ht="89.25" hidden="false" customHeight="false" outlineLevel="0" collapsed="false">
      <c r="A3155" s="37" t="s">
        <v>6045</v>
      </c>
      <c r="B3155" s="34" t="s">
        <v>6046</v>
      </c>
      <c r="C3155" s="34" t="s">
        <v>1115</v>
      </c>
    </row>
    <row r="3156" customFormat="false" ht="89.25" hidden="false" customHeight="false" outlineLevel="0" collapsed="false">
      <c r="A3156" s="37" t="s">
        <v>6045</v>
      </c>
      <c r="B3156" s="34" t="s">
        <v>6047</v>
      </c>
      <c r="C3156" s="34" t="s">
        <v>6048</v>
      </c>
    </row>
    <row r="3157" customFormat="false" ht="63.75" hidden="false" customHeight="false" outlineLevel="0" collapsed="false">
      <c r="A3157" s="37" t="s">
        <v>6049</v>
      </c>
      <c r="B3157" s="34" t="s">
        <v>6050</v>
      </c>
      <c r="C3157" s="34" t="s">
        <v>1142</v>
      </c>
    </row>
    <row r="3158" customFormat="false" ht="63.75" hidden="false" customHeight="false" outlineLevel="0" collapsed="false">
      <c r="A3158" s="37" t="s">
        <v>6051</v>
      </c>
      <c r="B3158" s="34" t="s">
        <v>6052</v>
      </c>
      <c r="C3158" s="34" t="s">
        <v>1142</v>
      </c>
    </row>
    <row r="3159" customFormat="false" ht="63.75" hidden="false" customHeight="false" outlineLevel="0" collapsed="false">
      <c r="A3159" s="37" t="s">
        <v>6053</v>
      </c>
      <c r="B3159" s="34" t="s">
        <v>6054</v>
      </c>
      <c r="C3159" s="34" t="s">
        <v>1142</v>
      </c>
    </row>
    <row r="3160" customFormat="false" ht="63.75" hidden="false" customHeight="false" outlineLevel="0" collapsed="false">
      <c r="A3160" s="37" t="s">
        <v>6055</v>
      </c>
      <c r="B3160" s="34" t="s">
        <v>6056</v>
      </c>
      <c r="C3160" s="34" t="s">
        <v>1142</v>
      </c>
    </row>
    <row r="3161" customFormat="false" ht="63.75" hidden="false" customHeight="false" outlineLevel="0" collapsed="false">
      <c r="A3161" s="37" t="s">
        <v>6057</v>
      </c>
      <c r="B3161" s="34" t="s">
        <v>6058</v>
      </c>
      <c r="C3161" s="34" t="s">
        <v>1142</v>
      </c>
    </row>
    <row r="3162" customFormat="false" ht="89.25" hidden="false" customHeight="false" outlineLevel="0" collapsed="false">
      <c r="A3162" s="37" t="s">
        <v>6059</v>
      </c>
      <c r="B3162" s="34" t="s">
        <v>6060</v>
      </c>
      <c r="C3162" s="34" t="s">
        <v>387</v>
      </c>
    </row>
    <row r="3163" customFormat="false" ht="76.5" hidden="false" customHeight="false" outlineLevel="0" collapsed="false">
      <c r="A3163" s="37" t="s">
        <v>6061</v>
      </c>
      <c r="B3163" s="34" t="s">
        <v>6062</v>
      </c>
      <c r="C3163" s="34" t="s">
        <v>6063</v>
      </c>
    </row>
    <row r="3164" customFormat="false" ht="89.25" hidden="false" customHeight="false" outlineLevel="0" collapsed="false">
      <c r="A3164" s="37" t="s">
        <v>6064</v>
      </c>
      <c r="B3164" s="34" t="s">
        <v>6065</v>
      </c>
      <c r="C3164" s="34" t="s">
        <v>387</v>
      </c>
    </row>
    <row r="3165" customFormat="false" ht="89.25" hidden="false" customHeight="false" outlineLevel="0" collapsed="false">
      <c r="A3165" s="37" t="s">
        <v>6066</v>
      </c>
      <c r="B3165" s="34" t="s">
        <v>6067</v>
      </c>
      <c r="C3165" s="34" t="s">
        <v>387</v>
      </c>
    </row>
    <row r="3166" customFormat="false" ht="51" hidden="false" customHeight="false" outlineLevel="0" collapsed="false">
      <c r="A3166" s="37" t="s">
        <v>6068</v>
      </c>
      <c r="B3166" s="34" t="s">
        <v>6069</v>
      </c>
      <c r="C3166" s="34" t="s">
        <v>1170</v>
      </c>
    </row>
    <row r="3167" customFormat="false" ht="51" hidden="false" customHeight="false" outlineLevel="0" collapsed="false">
      <c r="A3167" s="37" t="s">
        <v>6070</v>
      </c>
      <c r="B3167" s="34" t="s">
        <v>6071</v>
      </c>
      <c r="C3167" s="34" t="s">
        <v>1170</v>
      </c>
    </row>
    <row r="3168" customFormat="false" ht="63.75" hidden="false" customHeight="false" outlineLevel="0" collapsed="false">
      <c r="A3168" s="37" t="s">
        <v>6072</v>
      </c>
      <c r="B3168" s="34" t="s">
        <v>6073</v>
      </c>
      <c r="C3168" s="34" t="s">
        <v>373</v>
      </c>
    </row>
    <row r="3169" customFormat="false" ht="63.75" hidden="false" customHeight="false" outlineLevel="0" collapsed="false">
      <c r="A3169" s="37" t="s">
        <v>6074</v>
      </c>
      <c r="B3169" s="34" t="s">
        <v>6075</v>
      </c>
      <c r="C3169" s="34" t="s">
        <v>373</v>
      </c>
    </row>
    <row r="3170" customFormat="false" ht="51" hidden="false" customHeight="false" outlineLevel="0" collapsed="false">
      <c r="A3170" s="37" t="s">
        <v>6076</v>
      </c>
      <c r="B3170" s="34" t="s">
        <v>6077</v>
      </c>
      <c r="C3170" s="34" t="s">
        <v>384</v>
      </c>
    </row>
    <row r="3171" customFormat="false" ht="89.25" hidden="false" customHeight="false" outlineLevel="0" collapsed="false">
      <c r="A3171" s="37" t="s">
        <v>6078</v>
      </c>
      <c r="B3171" s="34" t="s">
        <v>6079</v>
      </c>
      <c r="C3171" s="34" t="s">
        <v>387</v>
      </c>
    </row>
    <row r="3172" customFormat="false" ht="89.25" hidden="false" customHeight="false" outlineLevel="0" collapsed="false">
      <c r="A3172" s="37" t="s">
        <v>6080</v>
      </c>
      <c r="B3172" s="34" t="s">
        <v>6081</v>
      </c>
      <c r="C3172" s="34" t="s">
        <v>1186</v>
      </c>
    </row>
    <row r="3173" customFormat="false" ht="76.5" hidden="false" customHeight="false" outlineLevel="0" collapsed="false">
      <c r="A3173" s="37" t="s">
        <v>6082</v>
      </c>
      <c r="B3173" s="34" t="s">
        <v>6083</v>
      </c>
      <c r="C3173" s="34" t="s">
        <v>1188</v>
      </c>
    </row>
    <row r="3174" customFormat="false" ht="76.5" hidden="false" customHeight="false" outlineLevel="0" collapsed="false">
      <c r="A3174" s="37" t="s">
        <v>6084</v>
      </c>
      <c r="B3174" s="34" t="s">
        <v>6085</v>
      </c>
      <c r="C3174" s="34" t="s">
        <v>1188</v>
      </c>
    </row>
    <row r="3175" customFormat="false" ht="76.5" hidden="false" customHeight="false" outlineLevel="0" collapsed="false">
      <c r="A3175" s="37" t="s">
        <v>6086</v>
      </c>
      <c r="B3175" s="34" t="s">
        <v>6087</v>
      </c>
      <c r="C3175" s="34" t="s">
        <v>1188</v>
      </c>
    </row>
    <row r="3176" customFormat="false" ht="76.5" hidden="false" customHeight="false" outlineLevel="0" collapsed="false">
      <c r="A3176" s="37" t="s">
        <v>6088</v>
      </c>
      <c r="B3176" s="34" t="s">
        <v>6089</v>
      </c>
      <c r="C3176" s="34" t="s">
        <v>1188</v>
      </c>
    </row>
    <row r="3177" customFormat="false" ht="76.5" hidden="false" customHeight="false" outlineLevel="0" collapsed="false">
      <c r="A3177" s="37" t="s">
        <v>6090</v>
      </c>
      <c r="B3177" s="34" t="s">
        <v>6091</v>
      </c>
      <c r="C3177" s="34" t="s">
        <v>1193</v>
      </c>
    </row>
    <row r="3178" customFormat="false" ht="89.25" hidden="false" customHeight="false" outlineLevel="0" collapsed="false">
      <c r="A3178" s="37" t="s">
        <v>6092</v>
      </c>
      <c r="B3178" s="34" t="s">
        <v>6093</v>
      </c>
      <c r="C3178" s="34" t="s">
        <v>1198</v>
      </c>
    </row>
    <row r="3179" customFormat="false" ht="89.25" hidden="false" customHeight="false" outlineLevel="0" collapsed="false">
      <c r="A3179" s="37" t="s">
        <v>6094</v>
      </c>
      <c r="B3179" s="34" t="s">
        <v>6095</v>
      </c>
      <c r="C3179" s="34" t="s">
        <v>1198</v>
      </c>
    </row>
    <row r="3180" customFormat="false" ht="89.25" hidden="false" customHeight="false" outlineLevel="0" collapsed="false">
      <c r="A3180" s="37" t="s">
        <v>6096</v>
      </c>
      <c r="B3180" s="34" t="s">
        <v>6097</v>
      </c>
      <c r="C3180" s="34" t="s">
        <v>1198</v>
      </c>
    </row>
    <row r="3181" customFormat="false" ht="89.25" hidden="false" customHeight="false" outlineLevel="0" collapsed="false">
      <c r="A3181" s="37" t="s">
        <v>6098</v>
      </c>
      <c r="B3181" s="34" t="s">
        <v>6099</v>
      </c>
      <c r="C3181" s="34" t="s">
        <v>1198</v>
      </c>
    </row>
    <row r="3182" customFormat="false" ht="89.25" hidden="false" customHeight="false" outlineLevel="0" collapsed="false">
      <c r="A3182" s="37" t="s">
        <v>6100</v>
      </c>
      <c r="B3182" s="34" t="s">
        <v>6101</v>
      </c>
      <c r="C3182" s="34" t="s">
        <v>1198</v>
      </c>
    </row>
    <row r="3183" customFormat="false" ht="89.25" hidden="false" customHeight="false" outlineLevel="0" collapsed="false">
      <c r="A3183" s="37" t="s">
        <v>6102</v>
      </c>
      <c r="B3183" s="34" t="s">
        <v>6103</v>
      </c>
      <c r="C3183" s="34" t="s">
        <v>1198</v>
      </c>
    </row>
    <row r="3184" customFormat="false" ht="89.25" hidden="false" customHeight="false" outlineLevel="0" collapsed="false">
      <c r="A3184" s="37" t="s">
        <v>6104</v>
      </c>
      <c r="B3184" s="34" t="s">
        <v>6105</v>
      </c>
      <c r="C3184" s="34" t="s">
        <v>1198</v>
      </c>
    </row>
    <row r="3185" customFormat="false" ht="89.25" hidden="false" customHeight="false" outlineLevel="0" collapsed="false">
      <c r="A3185" s="37" t="s">
        <v>6106</v>
      </c>
      <c r="B3185" s="34" t="s">
        <v>6107</v>
      </c>
      <c r="C3185" s="34" t="s">
        <v>1198</v>
      </c>
    </row>
    <row r="3186" customFormat="false" ht="102" hidden="false" customHeight="false" outlineLevel="0" collapsed="false">
      <c r="A3186" s="37" t="s">
        <v>6108</v>
      </c>
      <c r="B3186" s="34" t="s">
        <v>6109</v>
      </c>
      <c r="C3186" s="34" t="s">
        <v>1215</v>
      </c>
    </row>
    <row r="3187" customFormat="false" ht="38.25" hidden="false" customHeight="false" outlineLevel="0" collapsed="false">
      <c r="A3187" s="37" t="s">
        <v>6110</v>
      </c>
      <c r="B3187" s="34" t="s">
        <v>6111</v>
      </c>
      <c r="C3187" s="34" t="s">
        <v>965</v>
      </c>
    </row>
    <row r="3188" customFormat="false" ht="63.75" hidden="false" customHeight="false" outlineLevel="0" collapsed="false">
      <c r="A3188" s="37" t="s">
        <v>6112</v>
      </c>
      <c r="B3188" s="34" t="s">
        <v>6113</v>
      </c>
      <c r="C3188" s="34" t="s">
        <v>139</v>
      </c>
    </row>
    <row r="3189" customFormat="false" ht="63.75" hidden="false" customHeight="false" outlineLevel="0" collapsed="false">
      <c r="A3189" s="37" t="s">
        <v>6114</v>
      </c>
      <c r="B3189" s="34" t="s">
        <v>6115</v>
      </c>
      <c r="C3189" s="34" t="s">
        <v>139</v>
      </c>
    </row>
    <row r="3190" customFormat="false" ht="63.75" hidden="false" customHeight="false" outlineLevel="0" collapsed="false">
      <c r="A3190" s="37" t="s">
        <v>6116</v>
      </c>
      <c r="B3190" s="34" t="s">
        <v>6117</v>
      </c>
      <c r="C3190" s="34" t="s">
        <v>139</v>
      </c>
    </row>
    <row r="3191" customFormat="false" ht="89.25" hidden="false" customHeight="false" outlineLevel="0" collapsed="false">
      <c r="A3191" s="37" t="s">
        <v>6118</v>
      </c>
      <c r="B3191" s="34" t="s">
        <v>6119</v>
      </c>
      <c r="C3191" s="34" t="s">
        <v>122</v>
      </c>
    </row>
    <row r="3192" customFormat="false" ht="89.25" hidden="false" customHeight="false" outlineLevel="0" collapsed="false">
      <c r="A3192" s="37" t="s">
        <v>6120</v>
      </c>
      <c r="B3192" s="34" t="s">
        <v>6121</v>
      </c>
      <c r="C3192" s="34" t="s">
        <v>122</v>
      </c>
    </row>
    <row r="3193" customFormat="false" ht="89.25" hidden="false" customHeight="false" outlineLevel="0" collapsed="false">
      <c r="A3193" s="37" t="s">
        <v>6122</v>
      </c>
      <c r="B3193" s="34" t="s">
        <v>6123</v>
      </c>
      <c r="C3193" s="34" t="s">
        <v>122</v>
      </c>
    </row>
    <row r="3194" customFormat="false" ht="89.25" hidden="false" customHeight="false" outlineLevel="0" collapsed="false">
      <c r="A3194" s="37" t="s">
        <v>6124</v>
      </c>
      <c r="B3194" s="34" t="s">
        <v>5810</v>
      </c>
      <c r="C3194" s="34" t="s">
        <v>122</v>
      </c>
    </row>
    <row r="3195" customFormat="false" ht="89.25" hidden="false" customHeight="false" outlineLevel="0" collapsed="false">
      <c r="A3195" s="37" t="s">
        <v>6125</v>
      </c>
      <c r="B3195" s="34" t="s">
        <v>6126</v>
      </c>
      <c r="C3195" s="34" t="s">
        <v>122</v>
      </c>
    </row>
    <row r="3196" customFormat="false" ht="51" hidden="false" customHeight="false" outlineLevel="0" collapsed="false">
      <c r="A3196" s="37" t="s">
        <v>6127</v>
      </c>
      <c r="B3196" s="34" t="s">
        <v>6128</v>
      </c>
      <c r="C3196" s="34" t="s">
        <v>437</v>
      </c>
    </row>
    <row r="3197" customFormat="false" ht="51" hidden="false" customHeight="false" outlineLevel="0" collapsed="false">
      <c r="A3197" s="37" t="s">
        <v>6129</v>
      </c>
      <c r="B3197" s="34" t="s">
        <v>6130</v>
      </c>
      <c r="C3197" s="34" t="s">
        <v>437</v>
      </c>
    </row>
    <row r="3198" customFormat="false" ht="51" hidden="false" customHeight="false" outlineLevel="0" collapsed="false">
      <c r="A3198" s="37" t="s">
        <v>6131</v>
      </c>
      <c r="B3198" s="34" t="s">
        <v>6132</v>
      </c>
      <c r="C3198" s="34" t="s">
        <v>437</v>
      </c>
    </row>
    <row r="3199" customFormat="false" ht="89.25" hidden="false" customHeight="false" outlineLevel="0" collapsed="false">
      <c r="A3199" s="37" t="s">
        <v>6133</v>
      </c>
      <c r="B3199" s="34" t="s">
        <v>6134</v>
      </c>
      <c r="C3199" s="34" t="s">
        <v>444</v>
      </c>
    </row>
    <row r="3200" customFormat="false" ht="89.25" hidden="false" customHeight="false" outlineLevel="0" collapsed="false">
      <c r="A3200" s="37" t="s">
        <v>6135</v>
      </c>
      <c r="B3200" s="34" t="s">
        <v>6136</v>
      </c>
      <c r="C3200" s="34" t="s">
        <v>444</v>
      </c>
    </row>
    <row r="3201" customFormat="false" ht="89.25" hidden="false" customHeight="false" outlineLevel="0" collapsed="false">
      <c r="A3201" s="37" t="s">
        <v>6137</v>
      </c>
      <c r="B3201" s="34" t="s">
        <v>6138</v>
      </c>
      <c r="C3201" s="34" t="s">
        <v>449</v>
      </c>
    </row>
    <row r="3202" customFormat="false" ht="89.25" hidden="false" customHeight="false" outlineLevel="0" collapsed="false">
      <c r="A3202" s="37" t="s">
        <v>6139</v>
      </c>
      <c r="B3202" s="34" t="s">
        <v>6140</v>
      </c>
      <c r="C3202" s="34" t="s">
        <v>449</v>
      </c>
    </row>
    <row r="3203" customFormat="false" ht="63.75" hidden="false" customHeight="false" outlineLevel="0" collapsed="false">
      <c r="A3203" s="37" t="s">
        <v>6141</v>
      </c>
      <c r="B3203" s="34" t="s">
        <v>6142</v>
      </c>
      <c r="C3203" s="34" t="s">
        <v>452</v>
      </c>
    </row>
    <row r="3204" customFormat="false" ht="63.75" hidden="false" customHeight="false" outlineLevel="0" collapsed="false">
      <c r="A3204" s="37" t="s">
        <v>6143</v>
      </c>
      <c r="B3204" s="34" t="s">
        <v>6144</v>
      </c>
      <c r="C3204" s="34" t="s">
        <v>139</v>
      </c>
    </row>
    <row r="3205" customFormat="false" ht="63.75" hidden="false" customHeight="false" outlineLevel="0" collapsed="false">
      <c r="A3205" s="37" t="s">
        <v>6145</v>
      </c>
      <c r="B3205" s="34" t="s">
        <v>6146</v>
      </c>
      <c r="C3205" s="34" t="s">
        <v>139</v>
      </c>
    </row>
    <row r="3206" customFormat="false" ht="63.75" hidden="false" customHeight="false" outlineLevel="0" collapsed="false">
      <c r="A3206" s="37" t="s">
        <v>6147</v>
      </c>
      <c r="B3206" s="34" t="s">
        <v>6148</v>
      </c>
      <c r="C3206" s="34" t="s">
        <v>139</v>
      </c>
    </row>
    <row r="3207" customFormat="false" ht="38.25" hidden="false" customHeight="false" outlineLevel="0" collapsed="false">
      <c r="A3207" s="37" t="s">
        <v>6149</v>
      </c>
      <c r="B3207" s="34" t="s">
        <v>6150</v>
      </c>
      <c r="C3207" s="34" t="s">
        <v>463</v>
      </c>
    </row>
    <row r="3208" customFormat="false" ht="38.25" hidden="false" customHeight="false" outlineLevel="0" collapsed="false">
      <c r="A3208" s="37" t="s">
        <v>6151</v>
      </c>
      <c r="B3208" s="34" t="s">
        <v>6152</v>
      </c>
      <c r="C3208" s="34" t="s">
        <v>466</v>
      </c>
    </row>
    <row r="3209" customFormat="false" ht="38.25" hidden="false" customHeight="false" outlineLevel="0" collapsed="false">
      <c r="A3209" s="37" t="s">
        <v>6153</v>
      </c>
      <c r="B3209" s="34" t="s">
        <v>6154</v>
      </c>
      <c r="C3209" s="34" t="s">
        <v>469</v>
      </c>
    </row>
    <row r="3210" customFormat="false" ht="38.25" hidden="false" customHeight="false" outlineLevel="0" collapsed="false">
      <c r="A3210" s="37" t="s">
        <v>6155</v>
      </c>
      <c r="B3210" s="34" t="s">
        <v>6156</v>
      </c>
      <c r="C3210" s="34" t="s">
        <v>472</v>
      </c>
    </row>
    <row r="3211" customFormat="false" ht="38.25" hidden="false" customHeight="false" outlineLevel="0" collapsed="false">
      <c r="A3211" s="37" t="s">
        <v>6157</v>
      </c>
      <c r="B3211" s="34" t="s">
        <v>6158</v>
      </c>
      <c r="C3211" s="34" t="s">
        <v>475</v>
      </c>
    </row>
    <row r="3212" customFormat="false" ht="38.25" hidden="false" customHeight="false" outlineLevel="0" collapsed="false">
      <c r="A3212" s="37" t="s">
        <v>6159</v>
      </c>
      <c r="B3212" s="34" t="s">
        <v>6160</v>
      </c>
      <c r="C3212" s="34" t="s">
        <v>478</v>
      </c>
    </row>
    <row r="3213" customFormat="false" ht="38.25" hidden="false" customHeight="false" outlineLevel="0" collapsed="false">
      <c r="A3213" s="37" t="s">
        <v>6161</v>
      </c>
      <c r="B3213" s="34" t="s">
        <v>6162</v>
      </c>
      <c r="C3213" s="34" t="s">
        <v>481</v>
      </c>
    </row>
    <row r="3214" customFormat="false" ht="38.25" hidden="false" customHeight="false" outlineLevel="0" collapsed="false">
      <c r="A3214" s="37" t="s">
        <v>6163</v>
      </c>
      <c r="B3214" s="34" t="s">
        <v>6164</v>
      </c>
      <c r="C3214" s="34" t="s">
        <v>484</v>
      </c>
    </row>
    <row r="3215" customFormat="false" ht="38.25" hidden="false" customHeight="false" outlineLevel="0" collapsed="false">
      <c r="A3215" s="37" t="s">
        <v>6165</v>
      </c>
      <c r="B3215" s="34" t="s">
        <v>6166</v>
      </c>
      <c r="C3215" s="34" t="s">
        <v>487</v>
      </c>
    </row>
    <row r="3216" customFormat="false" ht="38.25" hidden="false" customHeight="false" outlineLevel="0" collapsed="false">
      <c r="A3216" s="37" t="s">
        <v>6167</v>
      </c>
      <c r="B3216" s="34" t="s">
        <v>6168</v>
      </c>
      <c r="C3216" s="34" t="s">
        <v>490</v>
      </c>
    </row>
    <row r="3217" customFormat="false" ht="38.25" hidden="false" customHeight="false" outlineLevel="0" collapsed="false">
      <c r="A3217" s="37" t="s">
        <v>6169</v>
      </c>
      <c r="B3217" s="34" t="s">
        <v>6170</v>
      </c>
      <c r="C3217" s="34" t="s">
        <v>493</v>
      </c>
    </row>
    <row r="3218" customFormat="false" ht="38.25" hidden="false" customHeight="false" outlineLevel="0" collapsed="false">
      <c r="A3218" s="37" t="s">
        <v>6171</v>
      </c>
      <c r="B3218" s="34" t="s">
        <v>6172</v>
      </c>
      <c r="C3218" s="34" t="s">
        <v>496</v>
      </c>
    </row>
    <row r="3219" customFormat="false" ht="38.25" hidden="false" customHeight="false" outlineLevel="0" collapsed="false">
      <c r="A3219" s="37" t="s">
        <v>6173</v>
      </c>
      <c r="B3219" s="34" t="s">
        <v>6174</v>
      </c>
      <c r="C3219" s="34" t="s">
        <v>499</v>
      </c>
    </row>
    <row r="3220" customFormat="false" ht="38.25" hidden="false" customHeight="false" outlineLevel="0" collapsed="false">
      <c r="A3220" s="37" t="s">
        <v>6175</v>
      </c>
      <c r="B3220" s="34" t="s">
        <v>6176</v>
      </c>
      <c r="C3220" s="34" t="s">
        <v>502</v>
      </c>
    </row>
    <row r="3221" customFormat="false" ht="38.25" hidden="false" customHeight="false" outlineLevel="0" collapsed="false">
      <c r="A3221" s="37" t="s">
        <v>6177</v>
      </c>
      <c r="B3221" s="34" t="s">
        <v>6178</v>
      </c>
      <c r="C3221" s="34" t="s">
        <v>505</v>
      </c>
    </row>
    <row r="3222" customFormat="false" ht="51" hidden="false" customHeight="false" outlineLevel="0" collapsed="false">
      <c r="A3222" s="37" t="s">
        <v>6179</v>
      </c>
      <c r="B3222" s="34" t="s">
        <v>6180</v>
      </c>
      <c r="C3222" s="34" t="s">
        <v>508</v>
      </c>
    </row>
    <row r="3223" customFormat="false" ht="51" hidden="false" customHeight="false" outlineLevel="0" collapsed="false">
      <c r="A3223" s="37" t="s">
        <v>6181</v>
      </c>
      <c r="B3223" s="34" t="s">
        <v>6182</v>
      </c>
      <c r="C3223" s="34" t="s">
        <v>511</v>
      </c>
    </row>
    <row r="3224" customFormat="false" ht="51" hidden="false" customHeight="false" outlineLevel="0" collapsed="false">
      <c r="A3224" s="37" t="s">
        <v>6183</v>
      </c>
      <c r="B3224" s="34" t="s">
        <v>6184</v>
      </c>
      <c r="C3224" s="34" t="s">
        <v>514</v>
      </c>
    </row>
    <row r="3225" customFormat="false" ht="51" hidden="false" customHeight="false" outlineLevel="0" collapsed="false">
      <c r="A3225" s="37" t="s">
        <v>6185</v>
      </c>
      <c r="B3225" s="34" t="s">
        <v>6186</v>
      </c>
      <c r="C3225" s="34" t="s">
        <v>517</v>
      </c>
    </row>
    <row r="3226" customFormat="false" ht="51" hidden="false" customHeight="false" outlineLevel="0" collapsed="false">
      <c r="A3226" s="37" t="s">
        <v>6187</v>
      </c>
      <c r="B3226" s="34" t="s">
        <v>6188</v>
      </c>
      <c r="C3226" s="34" t="s">
        <v>517</v>
      </c>
    </row>
    <row r="3227" customFormat="false" ht="51" hidden="false" customHeight="false" outlineLevel="0" collapsed="false">
      <c r="A3227" s="37" t="s">
        <v>6189</v>
      </c>
      <c r="B3227" s="34" t="s">
        <v>6190</v>
      </c>
      <c r="C3227" s="34" t="s">
        <v>517</v>
      </c>
    </row>
    <row r="3228" customFormat="false" ht="51" hidden="false" customHeight="false" outlineLevel="0" collapsed="false">
      <c r="A3228" s="37" t="s">
        <v>6191</v>
      </c>
      <c r="B3228" s="34" t="s">
        <v>6192</v>
      </c>
      <c r="C3228" s="34" t="s">
        <v>517</v>
      </c>
    </row>
    <row r="3229" customFormat="false" ht="51" hidden="false" customHeight="false" outlineLevel="0" collapsed="false">
      <c r="A3229" s="37" t="s">
        <v>6193</v>
      </c>
      <c r="B3229" s="34" t="s">
        <v>6194</v>
      </c>
      <c r="C3229" s="34" t="s">
        <v>511</v>
      </c>
    </row>
    <row r="3230" customFormat="false" ht="51" hidden="false" customHeight="false" outlineLevel="0" collapsed="false">
      <c r="A3230" s="37" t="s">
        <v>6195</v>
      </c>
      <c r="B3230" s="34" t="s">
        <v>6196</v>
      </c>
      <c r="C3230" s="34" t="s">
        <v>511</v>
      </c>
    </row>
    <row r="3231" customFormat="false" ht="51" hidden="false" customHeight="false" outlineLevel="0" collapsed="false">
      <c r="A3231" s="37" t="s">
        <v>6197</v>
      </c>
      <c r="B3231" s="34" t="s">
        <v>6198</v>
      </c>
      <c r="C3231" s="34" t="s">
        <v>511</v>
      </c>
    </row>
    <row r="3232" customFormat="false" ht="51" hidden="false" customHeight="false" outlineLevel="0" collapsed="false">
      <c r="A3232" s="37" t="s">
        <v>6199</v>
      </c>
      <c r="B3232" s="34" t="s">
        <v>6200</v>
      </c>
      <c r="C3232" s="34" t="s">
        <v>511</v>
      </c>
    </row>
    <row r="3233" customFormat="false" ht="51" hidden="false" customHeight="false" outlineLevel="0" collapsed="false">
      <c r="A3233" s="37" t="s">
        <v>6201</v>
      </c>
      <c r="B3233" s="34" t="s">
        <v>6202</v>
      </c>
      <c r="C3233" s="34" t="s">
        <v>511</v>
      </c>
    </row>
    <row r="3234" customFormat="false" ht="51" hidden="false" customHeight="false" outlineLevel="0" collapsed="false">
      <c r="A3234" s="37" t="s">
        <v>6203</v>
      </c>
      <c r="B3234" s="34" t="s">
        <v>6204</v>
      </c>
      <c r="C3234" s="34" t="s">
        <v>511</v>
      </c>
    </row>
    <row r="3235" customFormat="false" ht="51" hidden="false" customHeight="false" outlineLevel="0" collapsed="false">
      <c r="A3235" s="37" t="s">
        <v>6205</v>
      </c>
      <c r="B3235" s="34" t="s">
        <v>6206</v>
      </c>
      <c r="C3235" s="34" t="s">
        <v>511</v>
      </c>
    </row>
    <row r="3236" customFormat="false" ht="51" hidden="false" customHeight="false" outlineLevel="0" collapsed="false">
      <c r="A3236" s="37" t="s">
        <v>6207</v>
      </c>
      <c r="B3236" s="34" t="s">
        <v>6208</v>
      </c>
      <c r="C3236" s="34" t="s">
        <v>511</v>
      </c>
    </row>
    <row r="3237" customFormat="false" ht="51" hidden="false" customHeight="false" outlineLevel="0" collapsed="false">
      <c r="A3237" s="37" t="s">
        <v>6209</v>
      </c>
      <c r="B3237" s="34" t="s">
        <v>6210</v>
      </c>
      <c r="C3237" s="34" t="s">
        <v>511</v>
      </c>
    </row>
    <row r="3238" customFormat="false" ht="51" hidden="false" customHeight="false" outlineLevel="0" collapsed="false">
      <c r="A3238" s="37" t="s">
        <v>6211</v>
      </c>
      <c r="B3238" s="34" t="s">
        <v>6212</v>
      </c>
      <c r="C3238" s="34" t="s">
        <v>511</v>
      </c>
    </row>
    <row r="3239" customFormat="false" ht="51" hidden="false" customHeight="false" outlineLevel="0" collapsed="false">
      <c r="A3239" s="37" t="s">
        <v>6213</v>
      </c>
      <c r="B3239" s="34" t="s">
        <v>6214</v>
      </c>
      <c r="C3239" s="34" t="s">
        <v>546</v>
      </c>
    </row>
    <row r="3240" customFormat="false" ht="51" hidden="false" customHeight="false" outlineLevel="0" collapsed="false">
      <c r="A3240" s="37" t="s">
        <v>6215</v>
      </c>
      <c r="B3240" s="34" t="s">
        <v>6216</v>
      </c>
      <c r="C3240" s="34" t="s">
        <v>546</v>
      </c>
    </row>
    <row r="3241" customFormat="false" ht="51" hidden="false" customHeight="false" outlineLevel="0" collapsed="false">
      <c r="A3241" s="37" t="s">
        <v>6217</v>
      </c>
      <c r="B3241" s="34" t="s">
        <v>6218</v>
      </c>
      <c r="C3241" s="34" t="s">
        <v>546</v>
      </c>
    </row>
    <row r="3242" customFormat="false" ht="51" hidden="false" customHeight="false" outlineLevel="0" collapsed="false">
      <c r="A3242" s="37" t="s">
        <v>6219</v>
      </c>
      <c r="B3242" s="34" t="s">
        <v>6220</v>
      </c>
      <c r="C3242" s="34" t="s">
        <v>546</v>
      </c>
    </row>
    <row r="3243" customFormat="false" ht="51" hidden="false" customHeight="false" outlineLevel="0" collapsed="false">
      <c r="A3243" s="37" t="s">
        <v>6221</v>
      </c>
      <c r="B3243" s="34" t="s">
        <v>6222</v>
      </c>
      <c r="C3243" s="34" t="s">
        <v>546</v>
      </c>
    </row>
    <row r="3244" customFormat="false" ht="51" hidden="false" customHeight="false" outlineLevel="0" collapsed="false">
      <c r="A3244" s="37" t="s">
        <v>6223</v>
      </c>
      <c r="B3244" s="34" t="s">
        <v>6224</v>
      </c>
      <c r="C3244" s="34" t="s">
        <v>546</v>
      </c>
    </row>
    <row r="3245" customFormat="false" ht="51" hidden="false" customHeight="false" outlineLevel="0" collapsed="false">
      <c r="A3245" s="37" t="s">
        <v>6225</v>
      </c>
      <c r="B3245" s="34" t="s">
        <v>6226</v>
      </c>
      <c r="C3245" s="34" t="s">
        <v>546</v>
      </c>
    </row>
    <row r="3246" customFormat="false" ht="63.75" hidden="false" customHeight="false" outlineLevel="0" collapsed="false">
      <c r="A3246" s="37" t="s">
        <v>6227</v>
      </c>
      <c r="B3246" s="34" t="s">
        <v>6228</v>
      </c>
      <c r="C3246" s="34" t="s">
        <v>561</v>
      </c>
    </row>
    <row r="3247" customFormat="false" ht="63.75" hidden="false" customHeight="false" outlineLevel="0" collapsed="false">
      <c r="A3247" s="37" t="s">
        <v>6229</v>
      </c>
      <c r="B3247" s="34" t="s">
        <v>6230</v>
      </c>
      <c r="C3247" s="34" t="s">
        <v>561</v>
      </c>
    </row>
    <row r="3248" customFormat="false" ht="89.25" hidden="false" customHeight="false" outlineLevel="0" collapsed="false">
      <c r="A3248" s="37" t="s">
        <v>6231</v>
      </c>
      <c r="B3248" s="34" t="s">
        <v>6232</v>
      </c>
      <c r="C3248" s="34" t="s">
        <v>566</v>
      </c>
    </row>
    <row r="3249" customFormat="false" ht="63.75" hidden="false" customHeight="false" outlineLevel="0" collapsed="false">
      <c r="A3249" s="37" t="s">
        <v>6233</v>
      </c>
      <c r="B3249" s="34" t="s">
        <v>6234</v>
      </c>
      <c r="C3249" s="34" t="s">
        <v>561</v>
      </c>
    </row>
    <row r="3250" customFormat="false" ht="63.75" hidden="false" customHeight="false" outlineLevel="0" collapsed="false">
      <c r="A3250" s="37" t="s">
        <v>6235</v>
      </c>
      <c r="B3250" s="34" t="s">
        <v>6236</v>
      </c>
      <c r="C3250" s="34" t="s">
        <v>571</v>
      </c>
    </row>
    <row r="3251" customFormat="false" ht="89.25" hidden="false" customHeight="false" outlineLevel="0" collapsed="false">
      <c r="A3251" s="37" t="s">
        <v>6237</v>
      </c>
      <c r="B3251" s="34" t="s">
        <v>6238</v>
      </c>
      <c r="C3251" s="34" t="s">
        <v>574</v>
      </c>
    </row>
    <row r="3252" customFormat="false" ht="89.25" hidden="false" customHeight="false" outlineLevel="0" collapsed="false">
      <c r="A3252" s="37" t="s">
        <v>6239</v>
      </c>
      <c r="B3252" s="34" t="s">
        <v>6240</v>
      </c>
      <c r="C3252" s="34" t="s">
        <v>574</v>
      </c>
    </row>
    <row r="3253" customFormat="false" ht="89.25" hidden="false" customHeight="false" outlineLevel="0" collapsed="false">
      <c r="A3253" s="37" t="s">
        <v>6241</v>
      </c>
      <c r="B3253" s="34" t="s">
        <v>6242</v>
      </c>
      <c r="C3253" s="34" t="s">
        <v>574</v>
      </c>
    </row>
    <row r="3254" customFormat="false" ht="89.25" hidden="false" customHeight="false" outlineLevel="0" collapsed="false">
      <c r="A3254" s="37" t="s">
        <v>6243</v>
      </c>
      <c r="B3254" s="34" t="s">
        <v>6244</v>
      </c>
      <c r="C3254" s="34" t="s">
        <v>574</v>
      </c>
    </row>
    <row r="3255" customFormat="false" ht="89.25" hidden="false" customHeight="false" outlineLevel="0" collapsed="false">
      <c r="A3255" s="37" t="s">
        <v>6245</v>
      </c>
      <c r="B3255" s="34" t="s">
        <v>6246</v>
      </c>
      <c r="C3255" s="34" t="s">
        <v>574</v>
      </c>
    </row>
    <row r="3256" customFormat="false" ht="63.75" hidden="false" customHeight="false" outlineLevel="0" collapsed="false">
      <c r="A3256" s="37" t="s">
        <v>6247</v>
      </c>
      <c r="B3256" s="34" t="s">
        <v>6248</v>
      </c>
      <c r="C3256" s="34" t="s">
        <v>585</v>
      </c>
    </row>
    <row r="3257" customFormat="false" ht="63.75" hidden="false" customHeight="false" outlineLevel="0" collapsed="false">
      <c r="A3257" s="37" t="s">
        <v>6249</v>
      </c>
      <c r="B3257" s="34" t="s">
        <v>6250</v>
      </c>
      <c r="C3257" s="34" t="s">
        <v>588</v>
      </c>
    </row>
    <row r="3258" customFormat="false" ht="51" hidden="false" customHeight="false" outlineLevel="0" collapsed="false">
      <c r="A3258" s="37" t="s">
        <v>6251</v>
      </c>
      <c r="B3258" s="34" t="s">
        <v>6252</v>
      </c>
      <c r="C3258" s="34" t="s">
        <v>546</v>
      </c>
    </row>
    <row r="3259" customFormat="false" ht="51" hidden="false" customHeight="false" outlineLevel="0" collapsed="false">
      <c r="A3259" s="37" t="s">
        <v>6253</v>
      </c>
      <c r="B3259" s="34" t="s">
        <v>6254</v>
      </c>
      <c r="C3259" s="34" t="s">
        <v>546</v>
      </c>
    </row>
    <row r="3260" customFormat="false" ht="51" hidden="false" customHeight="false" outlineLevel="0" collapsed="false">
      <c r="A3260" s="37" t="s">
        <v>6255</v>
      </c>
      <c r="B3260" s="34" t="s">
        <v>6256</v>
      </c>
      <c r="C3260" s="34" t="s">
        <v>546</v>
      </c>
    </row>
    <row r="3261" customFormat="false" ht="51" hidden="false" customHeight="false" outlineLevel="0" collapsed="false">
      <c r="A3261" s="37" t="s">
        <v>6257</v>
      </c>
      <c r="B3261" s="34" t="s">
        <v>6258</v>
      </c>
      <c r="C3261" s="34" t="s">
        <v>546</v>
      </c>
    </row>
    <row r="3262" customFormat="false" ht="51" hidden="false" customHeight="false" outlineLevel="0" collapsed="false">
      <c r="A3262" s="37" t="s">
        <v>6259</v>
      </c>
      <c r="B3262" s="34" t="s">
        <v>6260</v>
      </c>
      <c r="C3262" s="34" t="s">
        <v>546</v>
      </c>
    </row>
    <row r="3263" customFormat="false" ht="51" hidden="false" customHeight="false" outlineLevel="0" collapsed="false">
      <c r="A3263" s="37" t="s">
        <v>6261</v>
      </c>
      <c r="B3263" s="34" t="s">
        <v>6262</v>
      </c>
      <c r="C3263" s="34" t="s">
        <v>546</v>
      </c>
    </row>
    <row r="3264" customFormat="false" ht="51" hidden="false" customHeight="false" outlineLevel="0" collapsed="false">
      <c r="A3264" s="37" t="s">
        <v>6263</v>
      </c>
      <c r="B3264" s="34" t="s">
        <v>6264</v>
      </c>
      <c r="C3264" s="34" t="s">
        <v>546</v>
      </c>
    </row>
    <row r="3265" customFormat="false" ht="51" hidden="false" customHeight="false" outlineLevel="0" collapsed="false">
      <c r="A3265" s="37" t="s">
        <v>6265</v>
      </c>
      <c r="B3265" s="34" t="s">
        <v>6266</v>
      </c>
      <c r="C3265" s="34" t="s">
        <v>546</v>
      </c>
    </row>
    <row r="3266" customFormat="false" ht="51" hidden="false" customHeight="false" outlineLevel="0" collapsed="false">
      <c r="A3266" s="37" t="s">
        <v>6267</v>
      </c>
      <c r="B3266" s="34" t="s">
        <v>6268</v>
      </c>
      <c r="C3266" s="34" t="s">
        <v>546</v>
      </c>
    </row>
    <row r="3267" customFormat="false" ht="51" hidden="false" customHeight="false" outlineLevel="0" collapsed="false">
      <c r="A3267" s="37" t="s">
        <v>6269</v>
      </c>
      <c r="B3267" s="34" t="s">
        <v>6270</v>
      </c>
      <c r="C3267" s="34" t="s">
        <v>546</v>
      </c>
    </row>
    <row r="3268" customFormat="false" ht="51" hidden="false" customHeight="false" outlineLevel="0" collapsed="false">
      <c r="A3268" s="37" t="s">
        <v>6271</v>
      </c>
      <c r="B3268" s="34" t="s">
        <v>6272</v>
      </c>
      <c r="C3268" s="34" t="s">
        <v>546</v>
      </c>
    </row>
    <row r="3269" customFormat="false" ht="38.25" hidden="false" customHeight="false" outlineLevel="0" collapsed="false">
      <c r="A3269" s="37" t="s">
        <v>6273</v>
      </c>
      <c r="B3269" s="34" t="s">
        <v>6274</v>
      </c>
      <c r="C3269" s="34" t="s">
        <v>613</v>
      </c>
    </row>
    <row r="3270" customFormat="false" ht="51" hidden="false" customHeight="false" outlineLevel="0" collapsed="false">
      <c r="A3270" s="37" t="s">
        <v>6275</v>
      </c>
      <c r="B3270" s="34" t="s">
        <v>6276</v>
      </c>
      <c r="C3270" s="34" t="s">
        <v>546</v>
      </c>
    </row>
    <row r="3271" customFormat="false" ht="51" hidden="false" customHeight="false" outlineLevel="0" collapsed="false">
      <c r="A3271" s="37" t="s">
        <v>6277</v>
      </c>
      <c r="B3271" s="34" t="s">
        <v>6278</v>
      </c>
      <c r="C3271" s="34" t="s">
        <v>546</v>
      </c>
    </row>
    <row r="3272" customFormat="false" ht="51" hidden="false" customHeight="false" outlineLevel="0" collapsed="false">
      <c r="A3272" s="37" t="s">
        <v>6279</v>
      </c>
      <c r="B3272" s="34" t="s">
        <v>6280</v>
      </c>
      <c r="C3272" s="34" t="s">
        <v>546</v>
      </c>
    </row>
    <row r="3273" customFormat="false" ht="51" hidden="false" customHeight="false" outlineLevel="0" collapsed="false">
      <c r="A3273" s="37" t="s">
        <v>6281</v>
      </c>
      <c r="B3273" s="34" t="s">
        <v>6282</v>
      </c>
      <c r="C3273" s="34" t="s">
        <v>546</v>
      </c>
    </row>
    <row r="3274" customFormat="false" ht="51" hidden="false" customHeight="false" outlineLevel="0" collapsed="false">
      <c r="A3274" s="37" t="s">
        <v>6283</v>
      </c>
      <c r="B3274" s="34" t="s">
        <v>6284</v>
      </c>
      <c r="C3274" s="34" t="s">
        <v>546</v>
      </c>
    </row>
    <row r="3275" customFormat="false" ht="38.25" hidden="false" customHeight="false" outlineLevel="0" collapsed="false">
      <c r="A3275" s="37" t="s">
        <v>6285</v>
      </c>
      <c r="B3275" s="34" t="s">
        <v>6286</v>
      </c>
      <c r="C3275" s="34" t="s">
        <v>613</v>
      </c>
    </row>
    <row r="3276" customFormat="false" ht="51" hidden="false" customHeight="false" outlineLevel="0" collapsed="false">
      <c r="A3276" s="37" t="s">
        <v>6287</v>
      </c>
      <c r="B3276" s="34" t="s">
        <v>6288</v>
      </c>
      <c r="C3276" s="34" t="s">
        <v>546</v>
      </c>
    </row>
    <row r="3277" customFormat="false" ht="51" hidden="false" customHeight="false" outlineLevel="0" collapsed="false">
      <c r="A3277" s="37" t="s">
        <v>6289</v>
      </c>
      <c r="B3277" s="34" t="s">
        <v>6290</v>
      </c>
      <c r="C3277" s="34" t="s">
        <v>546</v>
      </c>
    </row>
    <row r="3278" customFormat="false" ht="51" hidden="false" customHeight="false" outlineLevel="0" collapsed="false">
      <c r="A3278" s="37" t="s">
        <v>6291</v>
      </c>
      <c r="B3278" s="34" t="s">
        <v>6292</v>
      </c>
      <c r="C3278" s="34" t="s">
        <v>546</v>
      </c>
    </row>
    <row r="3279" customFormat="false" ht="25.5" hidden="false" customHeight="false" outlineLevel="0" collapsed="false">
      <c r="A3279" s="37" t="s">
        <v>6293</v>
      </c>
      <c r="B3279" s="34" t="s">
        <v>6294</v>
      </c>
      <c r="C3279" s="34" t="s">
        <v>634</v>
      </c>
    </row>
    <row r="3280" customFormat="false" ht="25.5" hidden="false" customHeight="false" outlineLevel="0" collapsed="false">
      <c r="A3280" s="37" t="s">
        <v>6295</v>
      </c>
      <c r="B3280" s="34" t="s">
        <v>6296</v>
      </c>
      <c r="C3280" s="34" t="s">
        <v>637</v>
      </c>
    </row>
    <row r="3281" customFormat="false" ht="51" hidden="false" customHeight="false" outlineLevel="0" collapsed="false">
      <c r="A3281" s="37" t="s">
        <v>6297</v>
      </c>
      <c r="B3281" s="34" t="s">
        <v>6298</v>
      </c>
      <c r="C3281" s="34" t="s">
        <v>546</v>
      </c>
    </row>
    <row r="3282" customFormat="false" ht="51" hidden="false" customHeight="false" outlineLevel="0" collapsed="false">
      <c r="A3282" s="37" t="s">
        <v>6299</v>
      </c>
      <c r="B3282" s="34" t="s">
        <v>6300</v>
      </c>
      <c r="C3282" s="34" t="s">
        <v>546</v>
      </c>
    </row>
    <row r="3283" customFormat="false" ht="51" hidden="false" customHeight="false" outlineLevel="0" collapsed="false">
      <c r="A3283" s="37" t="s">
        <v>6301</v>
      </c>
      <c r="B3283" s="34" t="s">
        <v>6302</v>
      </c>
      <c r="C3283" s="34" t="s">
        <v>546</v>
      </c>
    </row>
    <row r="3284" customFormat="false" ht="63.75" hidden="false" customHeight="false" outlineLevel="0" collapsed="false">
      <c r="A3284" s="37" t="s">
        <v>6303</v>
      </c>
      <c r="B3284" s="34" t="s">
        <v>6304</v>
      </c>
      <c r="C3284" s="34" t="s">
        <v>139</v>
      </c>
    </row>
    <row r="3285" customFormat="false" ht="63.75" hidden="false" customHeight="false" outlineLevel="0" collapsed="false">
      <c r="A3285" s="37" t="s">
        <v>6305</v>
      </c>
      <c r="B3285" s="34" t="s">
        <v>6306</v>
      </c>
      <c r="C3285" s="34" t="s">
        <v>139</v>
      </c>
    </row>
    <row r="3286" customFormat="false" ht="63.75" hidden="false" customHeight="false" outlineLevel="0" collapsed="false">
      <c r="A3286" s="37" t="s">
        <v>6307</v>
      </c>
      <c r="B3286" s="34" t="s">
        <v>6308</v>
      </c>
      <c r="C3286" s="34" t="s">
        <v>139</v>
      </c>
    </row>
    <row r="3287" customFormat="false" ht="63.75" hidden="false" customHeight="false" outlineLevel="0" collapsed="false">
      <c r="A3287" s="37" t="s">
        <v>6309</v>
      </c>
      <c r="B3287" s="34" t="s">
        <v>6310</v>
      </c>
      <c r="C3287" s="34" t="s">
        <v>139</v>
      </c>
    </row>
    <row r="3288" customFormat="false" ht="63.75" hidden="false" customHeight="false" outlineLevel="0" collapsed="false">
      <c r="A3288" s="37" t="s">
        <v>6311</v>
      </c>
      <c r="B3288" s="34" t="s">
        <v>6312</v>
      </c>
      <c r="C3288" s="34" t="s">
        <v>139</v>
      </c>
    </row>
    <row r="3289" customFormat="false" ht="63.75" hidden="false" customHeight="false" outlineLevel="0" collapsed="false">
      <c r="A3289" s="37" t="s">
        <v>6313</v>
      </c>
      <c r="B3289" s="34" t="s">
        <v>6314</v>
      </c>
      <c r="C3289" s="34" t="s">
        <v>139</v>
      </c>
    </row>
    <row r="3290" customFormat="false" ht="63.75" hidden="false" customHeight="false" outlineLevel="0" collapsed="false">
      <c r="A3290" s="37" t="s">
        <v>6315</v>
      </c>
      <c r="B3290" s="34" t="s">
        <v>6316</v>
      </c>
      <c r="C3290" s="34" t="s">
        <v>139</v>
      </c>
    </row>
    <row r="3291" customFormat="false" ht="63.75" hidden="false" customHeight="false" outlineLevel="0" collapsed="false">
      <c r="A3291" s="37" t="s">
        <v>6317</v>
      </c>
      <c r="B3291" s="34" t="s">
        <v>6318</v>
      </c>
      <c r="C3291" s="34" t="s">
        <v>139</v>
      </c>
    </row>
    <row r="3292" customFormat="false" ht="102" hidden="false" customHeight="false" outlineLevel="0" collapsed="false">
      <c r="A3292" s="37" t="s">
        <v>6319</v>
      </c>
      <c r="B3292" s="34" t="s">
        <v>6320</v>
      </c>
      <c r="C3292" s="34" t="s">
        <v>97</v>
      </c>
    </row>
    <row r="3293" customFormat="false" ht="102" hidden="false" customHeight="false" outlineLevel="0" collapsed="false">
      <c r="A3293" s="37" t="s">
        <v>6321</v>
      </c>
      <c r="B3293" s="34" t="s">
        <v>6322</v>
      </c>
      <c r="C3293" s="34" t="s">
        <v>97</v>
      </c>
    </row>
    <row r="3294" customFormat="false" ht="102" hidden="false" customHeight="false" outlineLevel="0" collapsed="false">
      <c r="A3294" s="37" t="s">
        <v>6323</v>
      </c>
      <c r="B3294" s="34" t="s">
        <v>6324</v>
      </c>
      <c r="C3294" s="34" t="s">
        <v>887</v>
      </c>
    </row>
    <row r="3295" customFormat="false" ht="114.75" hidden="false" customHeight="false" outlineLevel="0" collapsed="false">
      <c r="A3295" s="37" t="s">
        <v>6325</v>
      </c>
      <c r="B3295" s="34" t="s">
        <v>6326</v>
      </c>
      <c r="C3295" s="34" t="s">
        <v>849</v>
      </c>
    </row>
    <row r="3296" customFormat="false" ht="89.25" hidden="false" customHeight="false" outlineLevel="0" collapsed="false">
      <c r="A3296" s="37" t="s">
        <v>6327</v>
      </c>
      <c r="B3296" s="34" t="s">
        <v>6328</v>
      </c>
      <c r="C3296" s="34" t="s">
        <v>891</v>
      </c>
    </row>
    <row r="3297" customFormat="false" ht="114.75" hidden="false" customHeight="false" outlineLevel="0" collapsed="false">
      <c r="A3297" s="37" t="s">
        <v>6329</v>
      </c>
      <c r="B3297" s="34" t="s">
        <v>6330</v>
      </c>
      <c r="C3297" s="34" t="s">
        <v>849</v>
      </c>
    </row>
    <row r="3298" customFormat="false" ht="114.75" hidden="false" customHeight="false" outlineLevel="0" collapsed="false">
      <c r="A3298" s="37" t="s">
        <v>6329</v>
      </c>
      <c r="B3298" s="34" t="s">
        <v>6330</v>
      </c>
      <c r="C3298" s="34" t="s">
        <v>2241</v>
      </c>
    </row>
    <row r="3299" customFormat="false" ht="76.5" hidden="false" customHeight="false" outlineLevel="0" collapsed="false">
      <c r="A3299" s="37" t="s">
        <v>6331</v>
      </c>
      <c r="B3299" s="34" t="s">
        <v>6332</v>
      </c>
      <c r="C3299" s="34" t="s">
        <v>108</v>
      </c>
    </row>
    <row r="3300" customFormat="false" ht="89.25" hidden="false" customHeight="false" outlineLevel="0" collapsed="false">
      <c r="A3300" s="37" t="s">
        <v>6333</v>
      </c>
      <c r="B3300" s="34" t="s">
        <v>6334</v>
      </c>
      <c r="C3300" s="34" t="s">
        <v>871</v>
      </c>
    </row>
    <row r="3301" customFormat="false" ht="102" hidden="false" customHeight="false" outlineLevel="0" collapsed="false">
      <c r="A3301" s="37" t="s">
        <v>6335</v>
      </c>
      <c r="B3301" s="34" t="s">
        <v>6336</v>
      </c>
      <c r="C3301" s="34" t="s">
        <v>783</v>
      </c>
    </row>
    <row r="3302" customFormat="false" ht="89.25" hidden="false" customHeight="false" outlineLevel="0" collapsed="false">
      <c r="A3302" s="37" t="s">
        <v>6337</v>
      </c>
      <c r="B3302" s="34" t="s">
        <v>6338</v>
      </c>
      <c r="C3302" s="34" t="s">
        <v>858</v>
      </c>
    </row>
    <row r="3303" customFormat="false" ht="89.25" hidden="false" customHeight="false" outlineLevel="0" collapsed="false">
      <c r="A3303" s="37" t="s">
        <v>6339</v>
      </c>
      <c r="B3303" s="34" t="s">
        <v>6340</v>
      </c>
      <c r="C3303" s="34" t="s">
        <v>902</v>
      </c>
    </row>
    <row r="3304" customFormat="false" ht="89.25" hidden="false" customHeight="false" outlineLevel="0" collapsed="false">
      <c r="A3304" s="37" t="s">
        <v>6341</v>
      </c>
      <c r="B3304" s="34" t="s">
        <v>6342</v>
      </c>
      <c r="C3304" s="34" t="s">
        <v>902</v>
      </c>
    </row>
    <row r="3305" customFormat="false" ht="89.25" hidden="false" customHeight="false" outlineLevel="0" collapsed="false">
      <c r="A3305" s="37" t="s">
        <v>6343</v>
      </c>
      <c r="B3305" s="34" t="s">
        <v>6344</v>
      </c>
      <c r="C3305" s="34" t="s">
        <v>122</v>
      </c>
    </row>
    <row r="3306" customFormat="false" ht="89.25" hidden="false" customHeight="false" outlineLevel="0" collapsed="false">
      <c r="A3306" s="37" t="s">
        <v>6345</v>
      </c>
      <c r="B3306" s="34" t="s">
        <v>6346</v>
      </c>
      <c r="C3306" s="34" t="s">
        <v>874</v>
      </c>
    </row>
    <row r="3307" customFormat="false" ht="89.25" hidden="false" customHeight="false" outlineLevel="0" collapsed="false">
      <c r="A3307" s="37" t="s">
        <v>6347</v>
      </c>
      <c r="B3307" s="34" t="s">
        <v>6348</v>
      </c>
      <c r="C3307" s="34" t="s">
        <v>874</v>
      </c>
    </row>
    <row r="3308" customFormat="false" ht="89.25" hidden="false" customHeight="false" outlineLevel="0" collapsed="false">
      <c r="A3308" s="37" t="s">
        <v>6349</v>
      </c>
      <c r="B3308" s="34" t="s">
        <v>6350</v>
      </c>
      <c r="C3308" s="34" t="s">
        <v>874</v>
      </c>
    </row>
    <row r="3309" customFormat="false" ht="89.25" hidden="false" customHeight="false" outlineLevel="0" collapsed="false">
      <c r="A3309" s="37" t="s">
        <v>6351</v>
      </c>
      <c r="B3309" s="34" t="s">
        <v>6352</v>
      </c>
      <c r="C3309" s="34" t="s">
        <v>874</v>
      </c>
    </row>
    <row r="3310" customFormat="false" ht="102" hidden="false" customHeight="false" outlineLevel="0" collapsed="false">
      <c r="A3310" s="37" t="s">
        <v>6353</v>
      </c>
      <c r="B3310" s="34" t="s">
        <v>6354</v>
      </c>
      <c r="C3310" s="34" t="s">
        <v>883</v>
      </c>
    </row>
    <row r="3311" customFormat="false" ht="63.75" hidden="false" customHeight="false" outlineLevel="0" collapsed="false">
      <c r="A3311" s="37" t="s">
        <v>6355</v>
      </c>
      <c r="B3311" s="34" t="s">
        <v>6356</v>
      </c>
      <c r="C3311" s="34" t="s">
        <v>1033</v>
      </c>
    </row>
    <row r="3312" customFormat="false" ht="38.25" hidden="false" customHeight="false" outlineLevel="0" collapsed="false">
      <c r="A3312" s="37" t="s">
        <v>6357</v>
      </c>
      <c r="B3312" s="34" t="s">
        <v>6358</v>
      </c>
      <c r="C3312" s="34" t="s">
        <v>687</v>
      </c>
    </row>
    <row r="3313" customFormat="false" ht="51" hidden="false" customHeight="false" outlineLevel="0" collapsed="false">
      <c r="A3313" s="37" t="s">
        <v>6359</v>
      </c>
      <c r="B3313" s="34" t="s">
        <v>6360</v>
      </c>
      <c r="C3313" s="34" t="s">
        <v>1038</v>
      </c>
    </row>
    <row r="3314" customFormat="false" ht="38.25" hidden="false" customHeight="false" outlineLevel="0" collapsed="false">
      <c r="A3314" s="37" t="s">
        <v>6361</v>
      </c>
      <c r="B3314" s="34" t="s">
        <v>6362</v>
      </c>
      <c r="C3314" s="34" t="s">
        <v>1041</v>
      </c>
    </row>
    <row r="3315" customFormat="false" ht="51" hidden="false" customHeight="false" outlineLevel="0" collapsed="false">
      <c r="A3315" s="37" t="s">
        <v>6363</v>
      </c>
      <c r="B3315" s="34" t="s">
        <v>6364</v>
      </c>
      <c r="C3315" s="34" t="s">
        <v>696</v>
      </c>
    </row>
    <row r="3316" customFormat="false" ht="51" hidden="false" customHeight="false" outlineLevel="0" collapsed="false">
      <c r="A3316" s="37" t="s">
        <v>6365</v>
      </c>
      <c r="B3316" s="34" t="s">
        <v>6366</v>
      </c>
      <c r="C3316" s="34" t="s">
        <v>1050</v>
      </c>
    </row>
    <row r="3317" customFormat="false" ht="89.25" hidden="false" customHeight="false" outlineLevel="0" collapsed="false">
      <c r="A3317" s="37" t="s">
        <v>6367</v>
      </c>
      <c r="B3317" s="34" t="s">
        <v>6368</v>
      </c>
      <c r="C3317" s="34" t="s">
        <v>702</v>
      </c>
    </row>
    <row r="3318" customFormat="false" ht="89.25" hidden="false" customHeight="false" outlineLevel="0" collapsed="false">
      <c r="A3318" s="37" t="s">
        <v>6369</v>
      </c>
      <c r="B3318" s="34" t="s">
        <v>6370</v>
      </c>
      <c r="C3318" s="34" t="s">
        <v>702</v>
      </c>
    </row>
    <row r="3319" customFormat="false" ht="38.25" hidden="false" customHeight="false" outlineLevel="0" collapsed="false">
      <c r="A3319" s="37" t="s">
        <v>6371</v>
      </c>
      <c r="B3319" s="34" t="s">
        <v>6372</v>
      </c>
      <c r="C3319" s="34" t="s">
        <v>707</v>
      </c>
    </row>
    <row r="3320" customFormat="false" ht="76.5" hidden="false" customHeight="false" outlineLevel="0" collapsed="false">
      <c r="A3320" s="37" t="s">
        <v>6373</v>
      </c>
      <c r="B3320" s="34" t="s">
        <v>6374</v>
      </c>
      <c r="C3320" s="34" t="s">
        <v>2297</v>
      </c>
    </row>
    <row r="3321" customFormat="false" ht="76.5" hidden="false" customHeight="false" outlineLevel="0" collapsed="false">
      <c r="A3321" s="37" t="s">
        <v>6375</v>
      </c>
      <c r="B3321" s="34" t="s">
        <v>6376</v>
      </c>
      <c r="C3321" s="34" t="s">
        <v>2297</v>
      </c>
    </row>
    <row r="3322" customFormat="false" ht="76.5" hidden="false" customHeight="false" outlineLevel="0" collapsed="false">
      <c r="A3322" s="37" t="s">
        <v>6377</v>
      </c>
      <c r="B3322" s="34" t="s">
        <v>6378</v>
      </c>
      <c r="C3322" s="34" t="s">
        <v>2297</v>
      </c>
    </row>
    <row r="3323" customFormat="false" ht="76.5" hidden="false" customHeight="false" outlineLevel="0" collapsed="false">
      <c r="A3323" s="37" t="s">
        <v>6379</v>
      </c>
      <c r="B3323" s="34" t="s">
        <v>6380</v>
      </c>
      <c r="C3323" s="34" t="s">
        <v>2297</v>
      </c>
    </row>
    <row r="3324" customFormat="false" ht="63.75" hidden="false" customHeight="false" outlineLevel="0" collapsed="false">
      <c r="A3324" s="37" t="s">
        <v>6381</v>
      </c>
      <c r="B3324" s="34" t="s">
        <v>6382</v>
      </c>
      <c r="C3324" s="34" t="s">
        <v>139</v>
      </c>
    </row>
    <row r="3325" customFormat="false" ht="63.75" hidden="false" customHeight="false" outlineLevel="0" collapsed="false">
      <c r="A3325" s="37" t="s">
        <v>6383</v>
      </c>
      <c r="B3325" s="34" t="s">
        <v>6384</v>
      </c>
      <c r="C3325" s="34" t="s">
        <v>139</v>
      </c>
    </row>
    <row r="3326" customFormat="false" ht="63.75" hidden="false" customHeight="false" outlineLevel="0" collapsed="false">
      <c r="A3326" s="37" t="s">
        <v>6385</v>
      </c>
      <c r="B3326" s="34" t="s">
        <v>6386</v>
      </c>
      <c r="C3326" s="34" t="s">
        <v>139</v>
      </c>
    </row>
    <row r="3327" customFormat="false" ht="63.75" hidden="false" customHeight="false" outlineLevel="0" collapsed="false">
      <c r="A3327" s="37" t="s">
        <v>6387</v>
      </c>
      <c r="B3327" s="34" t="s">
        <v>6388</v>
      </c>
      <c r="C3327" s="34" t="s">
        <v>139</v>
      </c>
    </row>
    <row r="3328" customFormat="false" ht="63.75" hidden="false" customHeight="false" outlineLevel="0" collapsed="false">
      <c r="A3328" s="37" t="s">
        <v>6387</v>
      </c>
      <c r="B3328" s="34" t="s">
        <v>6388</v>
      </c>
      <c r="C3328" s="34" t="s">
        <v>142</v>
      </c>
    </row>
    <row r="3329" customFormat="false" ht="51" hidden="false" customHeight="false" outlineLevel="0" collapsed="false">
      <c r="A3329" s="37" t="s">
        <v>6389</v>
      </c>
      <c r="B3329" s="34" t="s">
        <v>6390</v>
      </c>
      <c r="C3329" s="34" t="s">
        <v>965</v>
      </c>
    </row>
    <row r="3330" customFormat="false" ht="63.75" hidden="false" customHeight="false" outlineLevel="0" collapsed="false">
      <c r="A3330" s="37" t="s">
        <v>6391</v>
      </c>
      <c r="B3330" s="34" t="s">
        <v>6392</v>
      </c>
      <c r="C3330" s="34" t="s">
        <v>139</v>
      </c>
    </row>
    <row r="3331" customFormat="false" ht="63.75" hidden="false" customHeight="false" outlineLevel="0" collapsed="false">
      <c r="A3331" s="37" t="s">
        <v>6393</v>
      </c>
      <c r="B3331" s="34" t="s">
        <v>6394</v>
      </c>
      <c r="C3331" s="34" t="s">
        <v>139</v>
      </c>
    </row>
    <row r="3332" customFormat="false" ht="63.75" hidden="false" customHeight="false" outlineLevel="0" collapsed="false">
      <c r="A3332" s="37" t="s">
        <v>6395</v>
      </c>
      <c r="B3332" s="34" t="s">
        <v>6396</v>
      </c>
      <c r="C3332" s="34" t="s">
        <v>139</v>
      </c>
    </row>
    <row r="3333" customFormat="false" ht="63.75" hidden="false" customHeight="false" outlineLevel="0" collapsed="false">
      <c r="A3333" s="37" t="s">
        <v>6397</v>
      </c>
      <c r="B3333" s="34" t="s">
        <v>6398</v>
      </c>
      <c r="C3333" s="34" t="s">
        <v>139</v>
      </c>
    </row>
    <row r="3334" customFormat="false" ht="63.75" hidden="false" customHeight="false" outlineLevel="0" collapsed="false">
      <c r="A3334" s="37" t="s">
        <v>6399</v>
      </c>
      <c r="B3334" s="34" t="s">
        <v>6400</v>
      </c>
      <c r="C3334" s="34" t="s">
        <v>139</v>
      </c>
    </row>
    <row r="3335" customFormat="false" ht="63.75" hidden="false" customHeight="false" outlineLevel="0" collapsed="false">
      <c r="A3335" s="37" t="s">
        <v>6401</v>
      </c>
      <c r="B3335" s="34" t="s">
        <v>6402</v>
      </c>
      <c r="C3335" s="34" t="s">
        <v>139</v>
      </c>
    </row>
    <row r="3336" customFormat="false" ht="63.75" hidden="false" customHeight="false" outlineLevel="0" collapsed="false">
      <c r="A3336" s="37" t="s">
        <v>6403</v>
      </c>
      <c r="B3336" s="34" t="s">
        <v>6404</v>
      </c>
      <c r="C3336" s="34" t="s">
        <v>139</v>
      </c>
    </row>
    <row r="3337" customFormat="false" ht="63.75" hidden="false" customHeight="false" outlineLevel="0" collapsed="false">
      <c r="A3337" s="37" t="s">
        <v>6405</v>
      </c>
      <c r="B3337" s="34" t="s">
        <v>6406</v>
      </c>
      <c r="C3337" s="34" t="s">
        <v>139</v>
      </c>
    </row>
    <row r="3338" customFormat="false" ht="51" hidden="false" customHeight="false" outlineLevel="0" collapsed="false">
      <c r="A3338" s="37" t="s">
        <v>6407</v>
      </c>
      <c r="B3338" s="34" t="s">
        <v>6408</v>
      </c>
      <c r="C3338" s="34" t="s">
        <v>965</v>
      </c>
    </row>
    <row r="3339" customFormat="false" ht="63.75" hidden="false" customHeight="false" outlineLevel="0" collapsed="false">
      <c r="A3339" s="37" t="s">
        <v>6409</v>
      </c>
      <c r="B3339" s="34" t="s">
        <v>6410</v>
      </c>
      <c r="C3339" s="34" t="s">
        <v>139</v>
      </c>
    </row>
    <row r="3340" customFormat="false" ht="63.75" hidden="false" customHeight="false" outlineLevel="0" collapsed="false">
      <c r="A3340" s="37" t="s">
        <v>6411</v>
      </c>
      <c r="B3340" s="34" t="s">
        <v>6412</v>
      </c>
      <c r="C3340" s="34" t="s">
        <v>139</v>
      </c>
    </row>
    <row r="3341" customFormat="false" ht="63.75" hidden="false" customHeight="false" outlineLevel="0" collapsed="false">
      <c r="A3341" s="37" t="s">
        <v>6413</v>
      </c>
      <c r="B3341" s="34" t="s">
        <v>6414</v>
      </c>
      <c r="C3341" s="34" t="s">
        <v>139</v>
      </c>
    </row>
    <row r="3342" customFormat="false" ht="38.25" hidden="false" customHeight="false" outlineLevel="0" collapsed="false">
      <c r="A3342" s="37" t="s">
        <v>6415</v>
      </c>
      <c r="B3342" s="34" t="s">
        <v>6416</v>
      </c>
      <c r="C3342" s="34" t="s">
        <v>73</v>
      </c>
    </row>
    <row r="3343" customFormat="false" ht="38.25" hidden="false" customHeight="false" outlineLevel="0" collapsed="false">
      <c r="A3343" s="37" t="s">
        <v>6417</v>
      </c>
      <c r="B3343" s="34" t="s">
        <v>6418</v>
      </c>
      <c r="C3343" s="34" t="s">
        <v>2412</v>
      </c>
    </row>
    <row r="3344" customFormat="false" ht="102" hidden="false" customHeight="false" outlineLevel="0" collapsed="false">
      <c r="A3344" s="37" t="s">
        <v>6419</v>
      </c>
      <c r="B3344" s="34" t="s">
        <v>6420</v>
      </c>
      <c r="C3344" s="34" t="s">
        <v>95</v>
      </c>
    </row>
    <row r="3345" customFormat="false" ht="102" hidden="false" customHeight="false" outlineLevel="0" collapsed="false">
      <c r="A3345" s="37" t="s">
        <v>6421</v>
      </c>
      <c r="B3345" s="34" t="s">
        <v>6422</v>
      </c>
      <c r="C3345" s="34" t="s">
        <v>1506</v>
      </c>
    </row>
    <row r="3346" customFormat="false" ht="89.25" hidden="false" customHeight="false" outlineLevel="0" collapsed="false">
      <c r="A3346" s="37" t="s">
        <v>6423</v>
      </c>
      <c r="B3346" s="34" t="s">
        <v>6424</v>
      </c>
      <c r="C3346" s="34" t="s">
        <v>1508</v>
      </c>
    </row>
    <row r="3347" customFormat="false" ht="102" hidden="false" customHeight="false" outlineLevel="0" collapsed="false">
      <c r="A3347" s="37" t="s">
        <v>6425</v>
      </c>
      <c r="B3347" s="34" t="s">
        <v>6426</v>
      </c>
      <c r="C3347" s="34" t="s">
        <v>1510</v>
      </c>
    </row>
    <row r="3348" customFormat="false" ht="76.5" hidden="false" customHeight="false" outlineLevel="0" collapsed="false">
      <c r="A3348" s="37" t="s">
        <v>6427</v>
      </c>
      <c r="B3348" s="34" t="s">
        <v>6428</v>
      </c>
      <c r="C3348" s="34" t="s">
        <v>1512</v>
      </c>
    </row>
    <row r="3349" customFormat="false" ht="102" hidden="false" customHeight="false" outlineLevel="0" collapsed="false">
      <c r="A3349" s="37" t="s">
        <v>6429</v>
      </c>
      <c r="B3349" s="34" t="s">
        <v>6430</v>
      </c>
      <c r="C3349" s="34" t="s">
        <v>1514</v>
      </c>
    </row>
    <row r="3350" customFormat="false" ht="89.25" hidden="false" customHeight="false" outlineLevel="0" collapsed="false">
      <c r="A3350" s="37" t="s">
        <v>6431</v>
      </c>
      <c r="B3350" s="34" t="s">
        <v>6432</v>
      </c>
      <c r="C3350" s="34" t="s">
        <v>1517</v>
      </c>
    </row>
    <row r="3351" customFormat="false" ht="51" hidden="false" customHeight="false" outlineLevel="0" collapsed="false">
      <c r="A3351" s="37" t="s">
        <v>6433</v>
      </c>
      <c r="B3351" s="34" t="s">
        <v>6434</v>
      </c>
      <c r="C3351" s="34" t="s">
        <v>1520</v>
      </c>
    </row>
    <row r="3352" customFormat="false" ht="51" hidden="false" customHeight="false" outlineLevel="0" collapsed="false">
      <c r="A3352" s="37" t="s">
        <v>6435</v>
      </c>
      <c r="B3352" s="34" t="s">
        <v>6436</v>
      </c>
      <c r="C3352" s="34" t="s">
        <v>1520</v>
      </c>
    </row>
    <row r="3353" customFormat="false" ht="51" hidden="false" customHeight="false" outlineLevel="0" collapsed="false">
      <c r="A3353" s="37" t="s">
        <v>6437</v>
      </c>
      <c r="B3353" s="34" t="s">
        <v>6438</v>
      </c>
      <c r="C3353" s="34" t="s">
        <v>1520</v>
      </c>
    </row>
    <row r="3354" customFormat="false" ht="51" hidden="false" customHeight="false" outlineLevel="0" collapsed="false">
      <c r="A3354" s="37" t="s">
        <v>6439</v>
      </c>
      <c r="B3354" s="34" t="s">
        <v>6440</v>
      </c>
      <c r="C3354" s="34" t="s">
        <v>1520</v>
      </c>
    </row>
    <row r="3355" customFormat="false" ht="51" hidden="false" customHeight="false" outlineLevel="0" collapsed="false">
      <c r="A3355" s="37" t="s">
        <v>6441</v>
      </c>
      <c r="B3355" s="34" t="s">
        <v>6442</v>
      </c>
      <c r="C3355" s="34" t="s">
        <v>1520</v>
      </c>
    </row>
    <row r="3356" customFormat="false" ht="102" hidden="false" customHeight="false" outlineLevel="0" collapsed="false">
      <c r="A3356" s="37" t="s">
        <v>6443</v>
      </c>
      <c r="B3356" s="34" t="s">
        <v>6444</v>
      </c>
      <c r="C3356" s="34" t="s">
        <v>1530</v>
      </c>
    </row>
    <row r="3357" customFormat="false" ht="102" hidden="false" customHeight="false" outlineLevel="0" collapsed="false">
      <c r="A3357" s="37" t="s">
        <v>6445</v>
      </c>
      <c r="B3357" s="34" t="s">
        <v>6446</v>
      </c>
      <c r="C3357" s="34" t="s">
        <v>97</v>
      </c>
    </row>
    <row r="3358" customFormat="false" ht="102" hidden="false" customHeight="false" outlineLevel="0" collapsed="false">
      <c r="A3358" s="37" t="s">
        <v>6447</v>
      </c>
      <c r="B3358" s="34" t="s">
        <v>6448</v>
      </c>
      <c r="C3358" s="34" t="s">
        <v>97</v>
      </c>
    </row>
    <row r="3359" customFormat="false" ht="102" hidden="false" customHeight="false" outlineLevel="0" collapsed="false">
      <c r="A3359" s="37" t="s">
        <v>6449</v>
      </c>
      <c r="B3359" s="34" t="s">
        <v>6450</v>
      </c>
      <c r="C3359" s="34" t="s">
        <v>786</v>
      </c>
    </row>
    <row r="3360" customFormat="false" ht="114.75" hidden="false" customHeight="false" outlineLevel="0" collapsed="false">
      <c r="A3360" s="37" t="s">
        <v>6451</v>
      </c>
      <c r="B3360" s="34" t="s">
        <v>6452</v>
      </c>
      <c r="C3360" s="34" t="s">
        <v>849</v>
      </c>
    </row>
    <row r="3361" customFormat="false" ht="89.25" hidden="false" customHeight="false" outlineLevel="0" collapsed="false">
      <c r="A3361" s="37" t="s">
        <v>6453</v>
      </c>
      <c r="B3361" s="34" t="s">
        <v>6454</v>
      </c>
      <c r="C3361" s="34" t="s">
        <v>891</v>
      </c>
    </row>
    <row r="3362" customFormat="false" ht="114.75" hidden="false" customHeight="false" outlineLevel="0" collapsed="false">
      <c r="A3362" s="37" t="s">
        <v>6455</v>
      </c>
      <c r="B3362" s="34" t="s">
        <v>6456</v>
      </c>
      <c r="C3362" s="34" t="s">
        <v>853</v>
      </c>
    </row>
    <row r="3363" customFormat="false" ht="76.5" hidden="false" customHeight="false" outlineLevel="0" collapsed="false">
      <c r="A3363" s="37" t="s">
        <v>6457</v>
      </c>
      <c r="B3363" s="34" t="s">
        <v>6458</v>
      </c>
      <c r="C3363" s="34" t="s">
        <v>108</v>
      </c>
    </row>
    <row r="3364" customFormat="false" ht="89.25" hidden="false" customHeight="false" outlineLevel="0" collapsed="false">
      <c r="A3364" s="37" t="s">
        <v>6459</v>
      </c>
      <c r="B3364" s="34" t="s">
        <v>6460</v>
      </c>
      <c r="C3364" s="34" t="s">
        <v>871</v>
      </c>
    </row>
    <row r="3365" customFormat="false" ht="89.25" hidden="false" customHeight="false" outlineLevel="0" collapsed="false">
      <c r="A3365" s="37" t="s">
        <v>6461</v>
      </c>
      <c r="B3365" s="34" t="s">
        <v>6462</v>
      </c>
      <c r="C3365" s="34" t="s">
        <v>1543</v>
      </c>
    </row>
    <row r="3366" customFormat="false" ht="89.25" hidden="false" customHeight="false" outlineLevel="0" collapsed="false">
      <c r="A3366" s="37" t="s">
        <v>6463</v>
      </c>
      <c r="B3366" s="34" t="s">
        <v>6464</v>
      </c>
      <c r="C3366" s="34" t="s">
        <v>1546</v>
      </c>
    </row>
    <row r="3367" customFormat="false" ht="89.25" hidden="false" customHeight="false" outlineLevel="0" collapsed="false">
      <c r="A3367" s="37" t="s">
        <v>6465</v>
      </c>
      <c r="B3367" s="34" t="s">
        <v>6466</v>
      </c>
      <c r="C3367" s="34" t="s">
        <v>1546</v>
      </c>
    </row>
    <row r="3368" customFormat="false" ht="89.25" hidden="false" customHeight="false" outlineLevel="0" collapsed="false">
      <c r="A3368" s="37" t="s">
        <v>6467</v>
      </c>
      <c r="B3368" s="34" t="s">
        <v>6468</v>
      </c>
      <c r="C3368" s="34" t="s">
        <v>122</v>
      </c>
    </row>
    <row r="3369" customFormat="false" ht="89.25" hidden="false" customHeight="false" outlineLevel="0" collapsed="false">
      <c r="A3369" s="37" t="s">
        <v>6469</v>
      </c>
      <c r="B3369" s="34" t="s">
        <v>6470</v>
      </c>
      <c r="C3369" s="34" t="s">
        <v>874</v>
      </c>
    </row>
    <row r="3370" customFormat="false" ht="89.25" hidden="false" customHeight="false" outlineLevel="0" collapsed="false">
      <c r="A3370" s="37" t="s">
        <v>6471</v>
      </c>
      <c r="B3370" s="34" t="s">
        <v>6472</v>
      </c>
      <c r="C3370" s="34" t="s">
        <v>874</v>
      </c>
    </row>
    <row r="3371" customFormat="false" ht="89.25" hidden="false" customHeight="false" outlineLevel="0" collapsed="false">
      <c r="A3371" s="37" t="s">
        <v>6473</v>
      </c>
      <c r="B3371" s="34" t="s">
        <v>6474</v>
      </c>
      <c r="C3371" s="34" t="s">
        <v>874</v>
      </c>
    </row>
    <row r="3372" customFormat="false" ht="89.25" hidden="false" customHeight="false" outlineLevel="0" collapsed="false">
      <c r="A3372" s="37" t="s">
        <v>6475</v>
      </c>
      <c r="B3372" s="34" t="s">
        <v>6476</v>
      </c>
      <c r="C3372" s="34" t="s">
        <v>874</v>
      </c>
    </row>
    <row r="3373" customFormat="false" ht="102" hidden="false" customHeight="false" outlineLevel="0" collapsed="false">
      <c r="A3373" s="37" t="s">
        <v>6477</v>
      </c>
      <c r="B3373" s="34" t="s">
        <v>6478</v>
      </c>
      <c r="C3373" s="34" t="s">
        <v>883</v>
      </c>
    </row>
    <row r="3374" customFormat="false" ht="102" hidden="false" customHeight="false" outlineLevel="0" collapsed="false">
      <c r="A3374" s="37" t="s">
        <v>6479</v>
      </c>
      <c r="B3374" s="34" t="s">
        <v>6480</v>
      </c>
      <c r="C3374" s="34" t="s">
        <v>97</v>
      </c>
    </row>
    <row r="3375" customFormat="false" ht="102" hidden="false" customHeight="false" outlineLevel="0" collapsed="false">
      <c r="A3375" s="37" t="s">
        <v>6481</v>
      </c>
      <c r="B3375" s="34" t="s">
        <v>6482</v>
      </c>
      <c r="C3375" s="34" t="s">
        <v>97</v>
      </c>
    </row>
    <row r="3376" customFormat="false" ht="102" hidden="false" customHeight="false" outlineLevel="0" collapsed="false">
      <c r="A3376" s="37" t="s">
        <v>6483</v>
      </c>
      <c r="B3376" s="34" t="s">
        <v>6484</v>
      </c>
      <c r="C3376" s="34" t="s">
        <v>887</v>
      </c>
    </row>
    <row r="3377" customFormat="false" ht="114.75" hidden="false" customHeight="false" outlineLevel="0" collapsed="false">
      <c r="A3377" s="37" t="s">
        <v>6485</v>
      </c>
      <c r="B3377" s="34" t="s">
        <v>6486</v>
      </c>
      <c r="C3377" s="34" t="s">
        <v>849</v>
      </c>
    </row>
    <row r="3378" customFormat="false" ht="89.25" hidden="false" customHeight="false" outlineLevel="0" collapsed="false">
      <c r="A3378" s="37" t="s">
        <v>6487</v>
      </c>
      <c r="B3378" s="34" t="s">
        <v>6488</v>
      </c>
      <c r="C3378" s="34" t="s">
        <v>891</v>
      </c>
    </row>
    <row r="3379" customFormat="false" ht="114.75" hidden="false" customHeight="false" outlineLevel="0" collapsed="false">
      <c r="A3379" s="37" t="s">
        <v>6489</v>
      </c>
      <c r="B3379" s="34" t="s">
        <v>6490</v>
      </c>
      <c r="C3379" s="34" t="s">
        <v>853</v>
      </c>
    </row>
    <row r="3380" customFormat="false" ht="76.5" hidden="false" customHeight="false" outlineLevel="0" collapsed="false">
      <c r="A3380" s="37" t="s">
        <v>6491</v>
      </c>
      <c r="B3380" s="34" t="s">
        <v>6492</v>
      </c>
      <c r="C3380" s="34" t="s">
        <v>108</v>
      </c>
    </row>
    <row r="3381" customFormat="false" ht="89.25" hidden="false" customHeight="false" outlineLevel="0" collapsed="false">
      <c r="A3381" s="37" t="s">
        <v>6493</v>
      </c>
      <c r="B3381" s="34" t="s">
        <v>6494</v>
      </c>
      <c r="C3381" s="34" t="s">
        <v>871</v>
      </c>
    </row>
    <row r="3382" customFormat="false" ht="89.25" hidden="false" customHeight="false" outlineLevel="0" collapsed="false">
      <c r="A3382" s="37" t="s">
        <v>6495</v>
      </c>
      <c r="B3382" s="34" t="s">
        <v>6496</v>
      </c>
      <c r="C3382" s="34" t="s">
        <v>858</v>
      </c>
    </row>
    <row r="3383" customFormat="false" ht="89.25" hidden="false" customHeight="false" outlineLevel="0" collapsed="false">
      <c r="A3383" s="37" t="s">
        <v>6497</v>
      </c>
      <c r="B3383" s="34" t="s">
        <v>6498</v>
      </c>
      <c r="C3383" s="34" t="s">
        <v>902</v>
      </c>
    </row>
    <row r="3384" customFormat="false" ht="89.25" hidden="false" customHeight="false" outlineLevel="0" collapsed="false">
      <c r="A3384" s="37" t="s">
        <v>6499</v>
      </c>
      <c r="B3384" s="34" t="s">
        <v>6500</v>
      </c>
      <c r="C3384" s="34" t="s">
        <v>902</v>
      </c>
    </row>
    <row r="3385" customFormat="false" ht="89.25" hidden="false" customHeight="false" outlineLevel="0" collapsed="false">
      <c r="A3385" s="37" t="s">
        <v>6501</v>
      </c>
      <c r="B3385" s="34" t="s">
        <v>6502</v>
      </c>
      <c r="C3385" s="34" t="s">
        <v>122</v>
      </c>
    </row>
    <row r="3386" customFormat="false" ht="89.25" hidden="false" customHeight="false" outlineLevel="0" collapsed="false">
      <c r="A3386" s="37" t="s">
        <v>6503</v>
      </c>
      <c r="B3386" s="34" t="s">
        <v>6504</v>
      </c>
      <c r="C3386" s="34" t="s">
        <v>874</v>
      </c>
    </row>
    <row r="3387" customFormat="false" ht="89.25" hidden="false" customHeight="false" outlineLevel="0" collapsed="false">
      <c r="A3387" s="37" t="s">
        <v>6505</v>
      </c>
      <c r="B3387" s="34" t="s">
        <v>6506</v>
      </c>
      <c r="C3387" s="34" t="s">
        <v>874</v>
      </c>
    </row>
    <row r="3388" customFormat="false" ht="89.25" hidden="false" customHeight="false" outlineLevel="0" collapsed="false">
      <c r="A3388" s="37" t="s">
        <v>6507</v>
      </c>
      <c r="B3388" s="34" t="s">
        <v>6508</v>
      </c>
      <c r="C3388" s="34" t="s">
        <v>874</v>
      </c>
    </row>
    <row r="3389" customFormat="false" ht="89.25" hidden="false" customHeight="false" outlineLevel="0" collapsed="false">
      <c r="A3389" s="37" t="s">
        <v>6509</v>
      </c>
      <c r="B3389" s="34" t="s">
        <v>6510</v>
      </c>
      <c r="C3389" s="34" t="s">
        <v>874</v>
      </c>
    </row>
    <row r="3390" customFormat="false" ht="102" hidden="false" customHeight="false" outlineLevel="0" collapsed="false">
      <c r="A3390" s="37" t="s">
        <v>6511</v>
      </c>
      <c r="B3390" s="34" t="s">
        <v>6512</v>
      </c>
      <c r="C3390" s="34" t="s">
        <v>883</v>
      </c>
    </row>
    <row r="3391" customFormat="false" ht="102" hidden="false" customHeight="false" outlineLevel="0" collapsed="false">
      <c r="A3391" s="37" t="s">
        <v>6513</v>
      </c>
      <c r="B3391" s="34" t="s">
        <v>6514</v>
      </c>
      <c r="C3391" s="34" t="s">
        <v>883</v>
      </c>
    </row>
    <row r="3392" customFormat="false" ht="102" hidden="false" customHeight="false" outlineLevel="0" collapsed="false">
      <c r="A3392" s="37" t="s">
        <v>6515</v>
      </c>
      <c r="B3392" s="34" t="s">
        <v>6516</v>
      </c>
      <c r="C3392" s="34" t="s">
        <v>97</v>
      </c>
    </row>
    <row r="3393" customFormat="false" ht="102" hidden="false" customHeight="false" outlineLevel="0" collapsed="false">
      <c r="A3393" s="37" t="s">
        <v>6517</v>
      </c>
      <c r="B3393" s="34" t="s">
        <v>6518</v>
      </c>
      <c r="C3393" s="34" t="s">
        <v>887</v>
      </c>
    </row>
    <row r="3394" customFormat="false" ht="114.75" hidden="false" customHeight="false" outlineLevel="0" collapsed="false">
      <c r="A3394" s="37" t="s">
        <v>6519</v>
      </c>
      <c r="B3394" s="34" t="s">
        <v>6520</v>
      </c>
      <c r="C3394" s="34" t="s">
        <v>6521</v>
      </c>
    </row>
    <row r="3395" customFormat="false" ht="114.75" hidden="false" customHeight="false" outlineLevel="0" collapsed="false">
      <c r="A3395" s="37" t="s">
        <v>6522</v>
      </c>
      <c r="B3395" s="34" t="s">
        <v>6523</v>
      </c>
      <c r="C3395" s="34" t="s">
        <v>1596</v>
      </c>
    </row>
    <row r="3396" customFormat="false" ht="76.5" hidden="false" customHeight="false" outlineLevel="0" collapsed="false">
      <c r="A3396" s="37" t="s">
        <v>6524</v>
      </c>
      <c r="B3396" s="34" t="s">
        <v>6525</v>
      </c>
      <c r="C3396" s="34" t="s">
        <v>108</v>
      </c>
    </row>
    <row r="3397" customFormat="false" ht="89.25" hidden="false" customHeight="false" outlineLevel="0" collapsed="false">
      <c r="A3397" s="37" t="s">
        <v>6526</v>
      </c>
      <c r="B3397" s="34" t="s">
        <v>6527</v>
      </c>
      <c r="C3397" s="34" t="s">
        <v>871</v>
      </c>
    </row>
    <row r="3398" customFormat="false" ht="89.25" hidden="false" customHeight="false" outlineLevel="0" collapsed="false">
      <c r="A3398" s="37" t="s">
        <v>6528</v>
      </c>
      <c r="B3398" s="34" t="s">
        <v>6529</v>
      </c>
      <c r="C3398" s="34" t="s">
        <v>874</v>
      </c>
    </row>
    <row r="3399" customFormat="false" ht="89.25" hidden="false" customHeight="false" outlineLevel="0" collapsed="false">
      <c r="A3399" s="37" t="s">
        <v>6530</v>
      </c>
      <c r="B3399" s="34" t="s">
        <v>6531</v>
      </c>
      <c r="C3399" s="34" t="s">
        <v>874</v>
      </c>
    </row>
    <row r="3400" customFormat="false" ht="89.25" hidden="false" customHeight="false" outlineLevel="0" collapsed="false">
      <c r="A3400" s="37" t="s">
        <v>6532</v>
      </c>
      <c r="B3400" s="34" t="s">
        <v>6533</v>
      </c>
      <c r="C3400" s="34" t="s">
        <v>874</v>
      </c>
    </row>
    <row r="3401" customFormat="false" ht="89.25" hidden="false" customHeight="false" outlineLevel="0" collapsed="false">
      <c r="A3401" s="37" t="s">
        <v>6534</v>
      </c>
      <c r="B3401" s="34" t="s">
        <v>6535</v>
      </c>
      <c r="C3401" s="34" t="s">
        <v>874</v>
      </c>
    </row>
    <row r="3402" customFormat="false" ht="102" hidden="false" customHeight="false" outlineLevel="0" collapsed="false">
      <c r="A3402" s="37" t="s">
        <v>6536</v>
      </c>
      <c r="B3402" s="34" t="s">
        <v>6537</v>
      </c>
      <c r="C3402" s="34" t="s">
        <v>883</v>
      </c>
    </row>
    <row r="3403" customFormat="false" ht="89.25" hidden="false" customHeight="false" outlineLevel="0" collapsed="false">
      <c r="A3403" s="37" t="s">
        <v>6538</v>
      </c>
      <c r="B3403" s="34" t="s">
        <v>6539</v>
      </c>
      <c r="C3403" s="34" t="s">
        <v>858</v>
      </c>
    </row>
    <row r="3404" customFormat="false" ht="89.25" hidden="false" customHeight="false" outlineLevel="0" collapsed="false">
      <c r="A3404" s="37" t="s">
        <v>6540</v>
      </c>
      <c r="B3404" s="34" t="s">
        <v>6541</v>
      </c>
      <c r="C3404" s="34" t="s">
        <v>902</v>
      </c>
    </row>
    <row r="3405" customFormat="false" ht="89.25" hidden="false" customHeight="false" outlineLevel="0" collapsed="false">
      <c r="A3405" s="37" t="s">
        <v>6542</v>
      </c>
      <c r="B3405" s="34" t="s">
        <v>6543</v>
      </c>
      <c r="C3405" s="34" t="s">
        <v>902</v>
      </c>
    </row>
    <row r="3406" customFormat="false" ht="102" hidden="false" customHeight="false" outlineLevel="0" collapsed="false">
      <c r="A3406" s="37" t="s">
        <v>6544</v>
      </c>
      <c r="B3406" s="34" t="s">
        <v>6545</v>
      </c>
      <c r="C3406" s="34" t="s">
        <v>97</v>
      </c>
    </row>
    <row r="3407" customFormat="false" ht="89.25" hidden="false" customHeight="false" outlineLevel="0" collapsed="false">
      <c r="A3407" s="37" t="s">
        <v>6546</v>
      </c>
      <c r="B3407" s="34" t="s">
        <v>6547</v>
      </c>
      <c r="C3407" s="34" t="s">
        <v>2531</v>
      </c>
    </row>
    <row r="3408" customFormat="false" ht="102" hidden="false" customHeight="false" outlineLevel="0" collapsed="false">
      <c r="A3408" s="37" t="s">
        <v>6548</v>
      </c>
      <c r="B3408" s="34" t="s">
        <v>6549</v>
      </c>
      <c r="C3408" s="34" t="s">
        <v>887</v>
      </c>
    </row>
    <row r="3409" customFormat="false" ht="114.75" hidden="false" customHeight="false" outlineLevel="0" collapsed="false">
      <c r="A3409" s="37" t="s">
        <v>6550</v>
      </c>
      <c r="B3409" s="34" t="s">
        <v>6551</v>
      </c>
      <c r="C3409" s="34" t="s">
        <v>849</v>
      </c>
    </row>
    <row r="3410" customFormat="false" ht="89.25" hidden="false" customHeight="false" outlineLevel="0" collapsed="false">
      <c r="A3410" s="37" t="s">
        <v>6552</v>
      </c>
      <c r="B3410" s="34" t="s">
        <v>6553</v>
      </c>
      <c r="C3410" s="34" t="s">
        <v>891</v>
      </c>
    </row>
    <row r="3411" customFormat="false" ht="114.75" hidden="false" customHeight="false" outlineLevel="0" collapsed="false">
      <c r="A3411" s="37" t="s">
        <v>6554</v>
      </c>
      <c r="B3411" s="34" t="s">
        <v>6555</v>
      </c>
      <c r="C3411" s="34" t="s">
        <v>853</v>
      </c>
    </row>
    <row r="3412" customFormat="false" ht="76.5" hidden="false" customHeight="false" outlineLevel="0" collapsed="false">
      <c r="A3412" s="37" t="s">
        <v>6556</v>
      </c>
      <c r="B3412" s="34" t="s">
        <v>6557</v>
      </c>
      <c r="C3412" s="34" t="s">
        <v>108</v>
      </c>
    </row>
    <row r="3413" customFormat="false" ht="89.25" hidden="false" customHeight="false" outlineLevel="0" collapsed="false">
      <c r="A3413" s="37" t="s">
        <v>6558</v>
      </c>
      <c r="B3413" s="34" t="s">
        <v>6559</v>
      </c>
      <c r="C3413" s="34" t="s">
        <v>871</v>
      </c>
    </row>
    <row r="3414" customFormat="false" ht="89.25" hidden="false" customHeight="false" outlineLevel="0" collapsed="false">
      <c r="A3414" s="37" t="s">
        <v>6560</v>
      </c>
      <c r="B3414" s="34" t="s">
        <v>6561</v>
      </c>
      <c r="C3414" s="34" t="s">
        <v>858</v>
      </c>
    </row>
    <row r="3415" customFormat="false" ht="89.25" hidden="false" customHeight="false" outlineLevel="0" collapsed="false">
      <c r="A3415" s="37" t="s">
        <v>6562</v>
      </c>
      <c r="B3415" s="34" t="s">
        <v>6563</v>
      </c>
      <c r="C3415" s="34" t="s">
        <v>902</v>
      </c>
    </row>
    <row r="3416" customFormat="false" ht="89.25" hidden="false" customHeight="false" outlineLevel="0" collapsed="false">
      <c r="A3416" s="37" t="s">
        <v>6564</v>
      </c>
      <c r="B3416" s="34" t="s">
        <v>6565</v>
      </c>
      <c r="C3416" s="34" t="s">
        <v>902</v>
      </c>
    </row>
    <row r="3417" customFormat="false" ht="89.25" hidden="false" customHeight="false" outlineLevel="0" collapsed="false">
      <c r="A3417" s="37" t="s">
        <v>6566</v>
      </c>
      <c r="B3417" s="34" t="s">
        <v>6567</v>
      </c>
      <c r="C3417" s="34" t="s">
        <v>122</v>
      </c>
    </row>
    <row r="3418" customFormat="false" ht="89.25" hidden="false" customHeight="false" outlineLevel="0" collapsed="false">
      <c r="A3418" s="37" t="s">
        <v>6568</v>
      </c>
      <c r="B3418" s="34" t="s">
        <v>6569</v>
      </c>
      <c r="C3418" s="34" t="s">
        <v>874</v>
      </c>
    </row>
    <row r="3419" customFormat="false" ht="89.25" hidden="false" customHeight="false" outlineLevel="0" collapsed="false">
      <c r="A3419" s="37" t="s">
        <v>6570</v>
      </c>
      <c r="B3419" s="34" t="s">
        <v>6571</v>
      </c>
      <c r="C3419" s="34" t="s">
        <v>874</v>
      </c>
    </row>
    <row r="3420" customFormat="false" ht="89.25" hidden="false" customHeight="false" outlineLevel="0" collapsed="false">
      <c r="A3420" s="37" t="s">
        <v>6572</v>
      </c>
      <c r="B3420" s="34" t="s">
        <v>6573</v>
      </c>
      <c r="C3420" s="34" t="s">
        <v>874</v>
      </c>
    </row>
    <row r="3421" customFormat="false" ht="89.25" hidden="false" customHeight="false" outlineLevel="0" collapsed="false">
      <c r="A3421" s="37" t="s">
        <v>6574</v>
      </c>
      <c r="B3421" s="34" t="s">
        <v>6575</v>
      </c>
      <c r="C3421" s="34" t="s">
        <v>874</v>
      </c>
    </row>
    <row r="3422" customFormat="false" ht="102" hidden="false" customHeight="false" outlineLevel="0" collapsed="false">
      <c r="A3422" s="37" t="s">
        <v>6576</v>
      </c>
      <c r="B3422" s="34" t="s">
        <v>6577</v>
      </c>
      <c r="C3422" s="34" t="s">
        <v>883</v>
      </c>
    </row>
    <row r="3423" customFormat="false" ht="25.5" hidden="false" customHeight="false" outlineLevel="0" collapsed="false">
      <c r="A3423" s="37" t="s">
        <v>6578</v>
      </c>
      <c r="B3423" s="34" t="s">
        <v>6579</v>
      </c>
      <c r="C3423" s="34" t="s">
        <v>965</v>
      </c>
    </row>
    <row r="3424" customFormat="false" ht="25.5" hidden="false" customHeight="false" outlineLevel="0" collapsed="false">
      <c r="A3424" s="37" t="s">
        <v>6580</v>
      </c>
      <c r="B3424" s="34" t="s">
        <v>6579</v>
      </c>
      <c r="C3424" s="34" t="s">
        <v>965</v>
      </c>
    </row>
    <row r="3425" customFormat="false" ht="25.5" hidden="false" customHeight="false" outlineLevel="0" collapsed="false">
      <c r="A3425" s="37" t="s">
        <v>6581</v>
      </c>
      <c r="B3425" s="34" t="s">
        <v>6579</v>
      </c>
      <c r="C3425" s="34" t="s">
        <v>965</v>
      </c>
    </row>
    <row r="3426" customFormat="false" ht="25.5" hidden="false" customHeight="false" outlineLevel="0" collapsed="false">
      <c r="A3426" s="37" t="s">
        <v>6582</v>
      </c>
      <c r="B3426" s="34" t="s">
        <v>6579</v>
      </c>
      <c r="C3426" s="34" t="s">
        <v>965</v>
      </c>
    </row>
    <row r="3427" customFormat="false" ht="25.5" hidden="false" customHeight="false" outlineLevel="0" collapsed="false">
      <c r="A3427" s="37" t="s">
        <v>6583</v>
      </c>
      <c r="B3427" s="34" t="s">
        <v>6579</v>
      </c>
      <c r="C3427" s="34" t="s">
        <v>965</v>
      </c>
    </row>
    <row r="3428" customFormat="false" ht="25.5" hidden="false" customHeight="false" outlineLevel="0" collapsed="false">
      <c r="A3428" s="37" t="s">
        <v>6584</v>
      </c>
      <c r="B3428" s="34" t="s">
        <v>6579</v>
      </c>
      <c r="C3428" s="34" t="s">
        <v>965</v>
      </c>
    </row>
    <row r="3429" customFormat="false" ht="25.5" hidden="false" customHeight="false" outlineLevel="0" collapsed="false">
      <c r="A3429" s="37" t="s">
        <v>6585</v>
      </c>
      <c r="B3429" s="34" t="s">
        <v>6579</v>
      </c>
      <c r="C3429" s="34" t="s">
        <v>965</v>
      </c>
    </row>
    <row r="3430" customFormat="false" ht="25.5" hidden="false" customHeight="false" outlineLevel="0" collapsed="false">
      <c r="A3430" s="37" t="s">
        <v>6586</v>
      </c>
      <c r="B3430" s="34" t="s">
        <v>6579</v>
      </c>
      <c r="C3430" s="34" t="s">
        <v>965</v>
      </c>
    </row>
    <row r="3431" customFormat="false" ht="89.25" hidden="false" customHeight="false" outlineLevel="0" collapsed="false">
      <c r="A3431" s="37" t="s">
        <v>6587</v>
      </c>
      <c r="B3431" s="34" t="s">
        <v>6588</v>
      </c>
      <c r="C3431" s="34" t="s">
        <v>985</v>
      </c>
    </row>
    <row r="3432" customFormat="false" ht="89.25" hidden="false" customHeight="false" outlineLevel="0" collapsed="false">
      <c r="A3432" s="37" t="s">
        <v>6589</v>
      </c>
      <c r="B3432" s="34" t="s">
        <v>6590</v>
      </c>
      <c r="C3432" s="34" t="s">
        <v>988</v>
      </c>
    </row>
    <row r="3433" customFormat="false" ht="76.5" hidden="false" customHeight="false" outlineLevel="0" collapsed="false">
      <c r="A3433" s="37" t="s">
        <v>6591</v>
      </c>
      <c r="B3433" s="34" t="s">
        <v>6592</v>
      </c>
      <c r="C3433" s="34" t="s">
        <v>1661</v>
      </c>
    </row>
    <row r="3434" customFormat="false" ht="38.25" hidden="false" customHeight="false" outlineLevel="0" collapsed="false">
      <c r="A3434" s="37" t="s">
        <v>6593</v>
      </c>
      <c r="B3434" s="34" t="s">
        <v>6594</v>
      </c>
      <c r="C3434" s="34" t="s">
        <v>965</v>
      </c>
    </row>
    <row r="3435" customFormat="false" ht="38.25" hidden="false" customHeight="false" outlineLevel="0" collapsed="false">
      <c r="A3435" s="37" t="s">
        <v>6595</v>
      </c>
      <c r="B3435" s="34" t="s">
        <v>6596</v>
      </c>
      <c r="C3435" s="34" t="s">
        <v>965</v>
      </c>
    </row>
    <row r="3436" customFormat="false" ht="38.25" hidden="false" customHeight="false" outlineLevel="0" collapsed="false">
      <c r="A3436" s="37" t="s">
        <v>6597</v>
      </c>
      <c r="B3436" s="34" t="s">
        <v>6598</v>
      </c>
      <c r="C3436" s="34" t="s">
        <v>965</v>
      </c>
    </row>
    <row r="3437" customFormat="false" ht="89.25" hidden="false" customHeight="false" outlineLevel="0" collapsed="false">
      <c r="A3437" s="37" t="s">
        <v>6599</v>
      </c>
      <c r="B3437" s="34" t="s">
        <v>6600</v>
      </c>
      <c r="C3437" s="34" t="s">
        <v>997</v>
      </c>
    </row>
    <row r="3438" customFormat="false" ht="89.25" hidden="false" customHeight="false" outlineLevel="0" collapsed="false">
      <c r="A3438" s="37" t="s">
        <v>6601</v>
      </c>
      <c r="B3438" s="34" t="s">
        <v>6602</v>
      </c>
      <c r="C3438" s="34" t="s">
        <v>997</v>
      </c>
    </row>
    <row r="3439" customFormat="false" ht="38.25" hidden="false" customHeight="false" outlineLevel="0" collapsed="false">
      <c r="A3439" s="37" t="s">
        <v>6603</v>
      </c>
      <c r="B3439" s="34" t="s">
        <v>6604</v>
      </c>
      <c r="C3439" s="34" t="s">
        <v>1002</v>
      </c>
    </row>
    <row r="3440" customFormat="false" ht="102" hidden="false" customHeight="false" outlineLevel="0" collapsed="false">
      <c r="A3440" s="37" t="s">
        <v>6605</v>
      </c>
      <c r="B3440" s="34" t="s">
        <v>6606</v>
      </c>
      <c r="C3440" s="34" t="s">
        <v>1453</v>
      </c>
    </row>
    <row r="3441" customFormat="false" ht="102" hidden="false" customHeight="false" outlineLevel="0" collapsed="false">
      <c r="A3441" s="37" t="s">
        <v>6605</v>
      </c>
      <c r="B3441" s="34" t="s">
        <v>6606</v>
      </c>
      <c r="C3441" s="34" t="s">
        <v>1453</v>
      </c>
    </row>
    <row r="3442" customFormat="false" ht="38.25" hidden="false" customHeight="false" outlineLevel="0" collapsed="false">
      <c r="A3442" s="37" t="s">
        <v>6607</v>
      </c>
      <c r="B3442" s="34" t="s">
        <v>6608</v>
      </c>
      <c r="C3442" s="34" t="s">
        <v>965</v>
      </c>
    </row>
    <row r="3443" customFormat="false" ht="38.25" hidden="false" customHeight="false" outlineLevel="0" collapsed="false">
      <c r="A3443" s="37" t="s">
        <v>6609</v>
      </c>
      <c r="B3443" s="34" t="s">
        <v>6610</v>
      </c>
      <c r="C3443" s="34" t="s">
        <v>965</v>
      </c>
    </row>
    <row r="3444" customFormat="false" ht="63.75" hidden="false" customHeight="false" outlineLevel="0" collapsed="false">
      <c r="A3444" s="37" t="s">
        <v>6611</v>
      </c>
      <c r="B3444" s="34" t="s">
        <v>6612</v>
      </c>
      <c r="C3444" s="34" t="s">
        <v>139</v>
      </c>
    </row>
    <row r="3445" customFormat="false" ht="63.75" hidden="false" customHeight="false" outlineLevel="0" collapsed="false">
      <c r="A3445" s="37" t="s">
        <v>6613</v>
      </c>
      <c r="B3445" s="34" t="s">
        <v>6614</v>
      </c>
      <c r="C3445" s="34" t="s">
        <v>142</v>
      </c>
    </row>
    <row r="3446" customFormat="false" ht="63.75" hidden="false" customHeight="false" outlineLevel="0" collapsed="false">
      <c r="A3446" s="37" t="s">
        <v>6615</v>
      </c>
      <c r="B3446" s="34" t="s">
        <v>6616</v>
      </c>
      <c r="C3446" s="34" t="s">
        <v>1033</v>
      </c>
    </row>
    <row r="3447" customFormat="false" ht="38.25" hidden="false" customHeight="false" outlineLevel="0" collapsed="false">
      <c r="A3447" s="37" t="s">
        <v>6617</v>
      </c>
      <c r="B3447" s="34" t="s">
        <v>6618</v>
      </c>
      <c r="C3447" s="34" t="s">
        <v>687</v>
      </c>
    </row>
    <row r="3448" customFormat="false" ht="51" hidden="false" customHeight="false" outlineLevel="0" collapsed="false">
      <c r="A3448" s="37" t="s">
        <v>6619</v>
      </c>
      <c r="B3448" s="34" t="s">
        <v>6620</v>
      </c>
      <c r="C3448" s="34" t="s">
        <v>1038</v>
      </c>
    </row>
    <row r="3449" customFormat="false" ht="38.25" hidden="false" customHeight="false" outlineLevel="0" collapsed="false">
      <c r="A3449" s="37" t="s">
        <v>6621</v>
      </c>
      <c r="B3449" s="34" t="s">
        <v>6622</v>
      </c>
      <c r="C3449" s="34" t="s">
        <v>1041</v>
      </c>
    </row>
    <row r="3450" customFormat="false" ht="25.5" hidden="false" customHeight="false" outlineLevel="0" collapsed="false">
      <c r="A3450" s="37" t="s">
        <v>6623</v>
      </c>
      <c r="B3450" s="34" t="s">
        <v>6624</v>
      </c>
      <c r="C3450" s="34" t="s">
        <v>1044</v>
      </c>
    </row>
    <row r="3451" customFormat="false" ht="51" hidden="false" customHeight="false" outlineLevel="0" collapsed="false">
      <c r="A3451" s="37" t="s">
        <v>6625</v>
      </c>
      <c r="B3451" s="34" t="s">
        <v>6626</v>
      </c>
      <c r="C3451" s="34" t="s">
        <v>1047</v>
      </c>
    </row>
    <row r="3452" customFormat="false" ht="51" hidden="false" customHeight="false" outlineLevel="0" collapsed="false">
      <c r="A3452" s="37" t="s">
        <v>6627</v>
      </c>
      <c r="B3452" s="34" t="s">
        <v>6628</v>
      </c>
      <c r="C3452" s="34" t="s">
        <v>1050</v>
      </c>
    </row>
    <row r="3453" customFormat="false" ht="51" hidden="false" customHeight="false" outlineLevel="0" collapsed="false">
      <c r="A3453" s="37" t="s">
        <v>6629</v>
      </c>
      <c r="B3453" s="34" t="s">
        <v>6630</v>
      </c>
      <c r="C3453" s="34" t="s">
        <v>1053</v>
      </c>
    </row>
    <row r="3454" customFormat="false" ht="38.25" hidden="false" customHeight="false" outlineLevel="0" collapsed="false">
      <c r="A3454" s="37" t="s">
        <v>6631</v>
      </c>
      <c r="B3454" s="34" t="s">
        <v>6632</v>
      </c>
      <c r="C3454" s="34" t="s">
        <v>1056</v>
      </c>
    </row>
    <row r="3455" customFormat="false" ht="63.75" hidden="false" customHeight="false" outlineLevel="0" collapsed="false">
      <c r="A3455" s="37" t="s">
        <v>6633</v>
      </c>
      <c r="B3455" s="34" t="s">
        <v>6634</v>
      </c>
      <c r="C3455" s="34" t="s">
        <v>1059</v>
      </c>
    </row>
    <row r="3456" customFormat="false" ht="63.75" hidden="false" customHeight="false" outlineLevel="0" collapsed="false">
      <c r="A3456" s="37" t="s">
        <v>6635</v>
      </c>
      <c r="B3456" s="34" t="s">
        <v>6636</v>
      </c>
      <c r="C3456" s="34" t="s">
        <v>139</v>
      </c>
    </row>
    <row r="3457" customFormat="false" ht="63.75" hidden="false" customHeight="false" outlineLevel="0" collapsed="false">
      <c r="A3457" s="37" t="s">
        <v>6637</v>
      </c>
      <c r="B3457" s="34" t="s">
        <v>6638</v>
      </c>
      <c r="C3457" s="34" t="s">
        <v>139</v>
      </c>
    </row>
    <row r="3458" customFormat="false" ht="63.75" hidden="false" customHeight="false" outlineLevel="0" collapsed="false">
      <c r="A3458" s="37" t="s">
        <v>6639</v>
      </c>
      <c r="B3458" s="34" t="s">
        <v>6640</v>
      </c>
      <c r="C3458" s="34" t="s">
        <v>139</v>
      </c>
    </row>
    <row r="3459" customFormat="false" ht="89.25" hidden="false" customHeight="false" outlineLevel="0" collapsed="false">
      <c r="A3459" s="37" t="s">
        <v>6641</v>
      </c>
      <c r="B3459" s="34" t="s">
        <v>6642</v>
      </c>
      <c r="C3459" s="34" t="s">
        <v>1717</v>
      </c>
    </row>
    <row r="3460" customFormat="false" ht="127.5" hidden="false" customHeight="false" outlineLevel="0" collapsed="false">
      <c r="A3460" s="37" t="s">
        <v>6643</v>
      </c>
      <c r="B3460" s="34" t="s">
        <v>6644</v>
      </c>
      <c r="C3460" s="34" t="s">
        <v>1069</v>
      </c>
    </row>
    <row r="3461" customFormat="false" ht="127.5" hidden="false" customHeight="false" outlineLevel="0" collapsed="false">
      <c r="A3461" s="37" t="s">
        <v>6645</v>
      </c>
      <c r="B3461" s="34" t="s">
        <v>6646</v>
      </c>
      <c r="C3461" s="34" t="s">
        <v>1069</v>
      </c>
    </row>
    <row r="3462" customFormat="false" ht="127.5" hidden="false" customHeight="false" outlineLevel="0" collapsed="false">
      <c r="A3462" s="37" t="s">
        <v>6647</v>
      </c>
      <c r="B3462" s="34" t="s">
        <v>6648</v>
      </c>
      <c r="C3462" s="34" t="s">
        <v>1069</v>
      </c>
    </row>
    <row r="3463" customFormat="false" ht="127.5" hidden="false" customHeight="false" outlineLevel="0" collapsed="false">
      <c r="A3463" s="37" t="s">
        <v>6649</v>
      </c>
      <c r="B3463" s="34" t="s">
        <v>6650</v>
      </c>
      <c r="C3463" s="34" t="s">
        <v>1069</v>
      </c>
    </row>
    <row r="3464" customFormat="false" ht="127.5" hidden="false" customHeight="false" outlineLevel="0" collapsed="false">
      <c r="A3464" s="37" t="s">
        <v>6651</v>
      </c>
      <c r="B3464" s="34" t="s">
        <v>6652</v>
      </c>
      <c r="C3464" s="34" t="s">
        <v>1069</v>
      </c>
    </row>
    <row r="3465" customFormat="false" ht="127.5" hidden="false" customHeight="false" outlineLevel="0" collapsed="false">
      <c r="A3465" s="37" t="s">
        <v>6653</v>
      </c>
      <c r="B3465" s="34" t="s">
        <v>6654</v>
      </c>
      <c r="C3465" s="34" t="s">
        <v>1069</v>
      </c>
    </row>
    <row r="3466" customFormat="false" ht="127.5" hidden="false" customHeight="false" outlineLevel="0" collapsed="false">
      <c r="A3466" s="37" t="s">
        <v>6655</v>
      </c>
      <c r="B3466" s="34" t="s">
        <v>6656</v>
      </c>
      <c r="C3466" s="34" t="s">
        <v>1069</v>
      </c>
    </row>
    <row r="3467" customFormat="false" ht="127.5" hidden="false" customHeight="false" outlineLevel="0" collapsed="false">
      <c r="A3467" s="37" t="s">
        <v>6657</v>
      </c>
      <c r="B3467" s="34" t="s">
        <v>6658</v>
      </c>
      <c r="C3467" s="34" t="s">
        <v>1069</v>
      </c>
    </row>
    <row r="3468" customFormat="false" ht="127.5" hidden="false" customHeight="false" outlineLevel="0" collapsed="false">
      <c r="A3468" s="37" t="s">
        <v>6659</v>
      </c>
      <c r="B3468" s="34" t="s">
        <v>6660</v>
      </c>
      <c r="C3468" s="34" t="s">
        <v>1069</v>
      </c>
    </row>
    <row r="3469" customFormat="false" ht="127.5" hidden="false" customHeight="false" outlineLevel="0" collapsed="false">
      <c r="A3469" s="37" t="s">
        <v>6661</v>
      </c>
      <c r="B3469" s="34" t="s">
        <v>6662</v>
      </c>
      <c r="C3469" s="34" t="s">
        <v>1069</v>
      </c>
    </row>
    <row r="3470" customFormat="false" ht="127.5" hidden="false" customHeight="false" outlineLevel="0" collapsed="false">
      <c r="A3470" s="37" t="s">
        <v>6663</v>
      </c>
      <c r="B3470" s="34" t="s">
        <v>6664</v>
      </c>
      <c r="C3470" s="34" t="s">
        <v>1732</v>
      </c>
    </row>
    <row r="3471" customFormat="false" ht="127.5" hidden="false" customHeight="false" outlineLevel="0" collapsed="false">
      <c r="A3471" s="37" t="s">
        <v>6665</v>
      </c>
      <c r="B3471" s="34" t="s">
        <v>6666</v>
      </c>
      <c r="C3471" s="34" t="s">
        <v>1732</v>
      </c>
    </row>
    <row r="3472" customFormat="false" ht="102" hidden="false" customHeight="false" outlineLevel="0" collapsed="false">
      <c r="A3472" s="37" t="s">
        <v>6667</v>
      </c>
      <c r="B3472" s="34" t="s">
        <v>6668</v>
      </c>
      <c r="C3472" s="34" t="s">
        <v>1737</v>
      </c>
    </row>
    <row r="3473" customFormat="false" ht="102" hidden="false" customHeight="false" outlineLevel="0" collapsed="false">
      <c r="A3473" s="37" t="s">
        <v>6669</v>
      </c>
      <c r="B3473" s="34" t="s">
        <v>6670</v>
      </c>
      <c r="C3473" s="34" t="s">
        <v>1737</v>
      </c>
    </row>
    <row r="3474" customFormat="false" ht="76.5" hidden="false" customHeight="false" outlineLevel="0" collapsed="false">
      <c r="A3474" s="37" t="s">
        <v>6671</v>
      </c>
      <c r="B3474" s="34" t="s">
        <v>6672</v>
      </c>
      <c r="C3474" s="34" t="s">
        <v>1741</v>
      </c>
    </row>
    <row r="3475" customFormat="false" ht="63.75" hidden="false" customHeight="false" outlineLevel="0" collapsed="false">
      <c r="A3475" s="37" t="s">
        <v>6673</v>
      </c>
      <c r="B3475" s="34" t="s">
        <v>6674</v>
      </c>
      <c r="C3475" s="34" t="s">
        <v>1744</v>
      </c>
    </row>
    <row r="3476" customFormat="false" ht="102" hidden="false" customHeight="false" outlineLevel="0" collapsed="false">
      <c r="A3476" s="37" t="s">
        <v>6675</v>
      </c>
      <c r="B3476" s="34" t="s">
        <v>6676</v>
      </c>
      <c r="C3476" s="34" t="s">
        <v>177</v>
      </c>
    </row>
    <row r="3477" customFormat="false" ht="102" hidden="false" customHeight="false" outlineLevel="0" collapsed="false">
      <c r="A3477" s="37" t="s">
        <v>6677</v>
      </c>
      <c r="B3477" s="34" t="s">
        <v>6678</v>
      </c>
      <c r="C3477" s="34" t="s">
        <v>177</v>
      </c>
    </row>
    <row r="3478" customFormat="false" ht="102" hidden="false" customHeight="false" outlineLevel="0" collapsed="false">
      <c r="A3478" s="37" t="s">
        <v>6679</v>
      </c>
      <c r="B3478" s="34" t="s">
        <v>6680</v>
      </c>
      <c r="C3478" s="34" t="s">
        <v>1751</v>
      </c>
    </row>
    <row r="3479" customFormat="false" ht="102" hidden="false" customHeight="false" outlineLevel="0" collapsed="false">
      <c r="A3479" s="37" t="s">
        <v>6681</v>
      </c>
      <c r="B3479" s="34" t="s">
        <v>6682</v>
      </c>
      <c r="C3479" s="34" t="s">
        <v>1751</v>
      </c>
    </row>
    <row r="3480" customFormat="false" ht="102" hidden="false" customHeight="false" outlineLevel="0" collapsed="false">
      <c r="A3480" s="37" t="s">
        <v>6683</v>
      </c>
      <c r="B3480" s="34" t="s">
        <v>6684</v>
      </c>
      <c r="C3480" s="34" t="s">
        <v>1737</v>
      </c>
    </row>
    <row r="3481" customFormat="false" ht="102" hidden="false" customHeight="false" outlineLevel="0" collapsed="false">
      <c r="A3481" s="37" t="s">
        <v>6685</v>
      </c>
      <c r="B3481" s="34" t="s">
        <v>6686</v>
      </c>
      <c r="C3481" s="34" t="s">
        <v>1737</v>
      </c>
    </row>
    <row r="3482" customFormat="false" ht="127.5" hidden="false" customHeight="false" outlineLevel="0" collapsed="false">
      <c r="A3482" s="37" t="s">
        <v>6687</v>
      </c>
      <c r="B3482" s="34" t="s">
        <v>6688</v>
      </c>
      <c r="C3482" s="34" t="s">
        <v>186</v>
      </c>
    </row>
    <row r="3483" customFormat="false" ht="89.25" hidden="false" customHeight="false" outlineLevel="0" collapsed="false">
      <c r="A3483" s="37" t="s">
        <v>6689</v>
      </c>
      <c r="B3483" s="34" t="s">
        <v>6690</v>
      </c>
      <c r="C3483" s="34" t="s">
        <v>1762</v>
      </c>
    </row>
    <row r="3484" customFormat="false" ht="63.75" hidden="false" customHeight="false" outlineLevel="0" collapsed="false">
      <c r="A3484" s="37" t="s">
        <v>6691</v>
      </c>
      <c r="B3484" s="34" t="s">
        <v>6692</v>
      </c>
      <c r="C3484" s="34" t="s">
        <v>139</v>
      </c>
    </row>
    <row r="3485" customFormat="false" ht="63.75" hidden="false" customHeight="false" outlineLevel="0" collapsed="false">
      <c r="A3485" s="37" t="s">
        <v>6693</v>
      </c>
      <c r="B3485" s="34" t="s">
        <v>6694</v>
      </c>
      <c r="C3485" s="34" t="s">
        <v>139</v>
      </c>
    </row>
    <row r="3486" customFormat="false" ht="63.75" hidden="false" customHeight="false" outlineLevel="0" collapsed="false">
      <c r="A3486" s="37" t="s">
        <v>6695</v>
      </c>
      <c r="B3486" s="34" t="s">
        <v>6696</v>
      </c>
      <c r="C3486" s="34" t="s">
        <v>139</v>
      </c>
    </row>
    <row r="3487" customFormat="false" ht="38.25" hidden="false" customHeight="false" outlineLevel="0" collapsed="false">
      <c r="A3487" s="37" t="s">
        <v>6697</v>
      </c>
      <c r="B3487" s="34" t="s">
        <v>6698</v>
      </c>
      <c r="C3487" s="34" t="s">
        <v>965</v>
      </c>
    </row>
    <row r="3488" customFormat="false" ht="25.5" hidden="false" customHeight="false" outlineLevel="0" collapsed="false">
      <c r="A3488" s="37" t="s">
        <v>6699</v>
      </c>
      <c r="B3488" s="34" t="s">
        <v>6700</v>
      </c>
      <c r="C3488" s="34" t="s">
        <v>965</v>
      </c>
    </row>
    <row r="3489" customFormat="false" ht="89.25" hidden="false" customHeight="false" outlineLevel="0" collapsed="false">
      <c r="A3489" s="37" t="s">
        <v>6701</v>
      </c>
      <c r="B3489" s="34" t="s">
        <v>6702</v>
      </c>
      <c r="C3489" s="34" t="s">
        <v>1774</v>
      </c>
    </row>
    <row r="3490" customFormat="false" ht="127.5" hidden="false" customHeight="false" outlineLevel="0" collapsed="false">
      <c r="A3490" s="37" t="s">
        <v>6703</v>
      </c>
      <c r="B3490" s="34" t="s">
        <v>6704</v>
      </c>
      <c r="C3490" s="34" t="s">
        <v>1079</v>
      </c>
    </row>
    <row r="3491" customFormat="false" ht="127.5" hidden="false" customHeight="false" outlineLevel="0" collapsed="false">
      <c r="A3491" s="37" t="s">
        <v>6705</v>
      </c>
      <c r="B3491" s="34" t="s">
        <v>6706</v>
      </c>
      <c r="C3491" s="34" t="s">
        <v>1079</v>
      </c>
    </row>
    <row r="3492" customFormat="false" ht="127.5" hidden="false" customHeight="false" outlineLevel="0" collapsed="false">
      <c r="A3492" s="37" t="s">
        <v>6707</v>
      </c>
      <c r="B3492" s="34" t="s">
        <v>6708</v>
      </c>
      <c r="C3492" s="34" t="s">
        <v>1079</v>
      </c>
    </row>
    <row r="3493" customFormat="false" ht="127.5" hidden="false" customHeight="false" outlineLevel="0" collapsed="false">
      <c r="A3493" s="37" t="s">
        <v>6709</v>
      </c>
      <c r="B3493" s="34" t="s">
        <v>6710</v>
      </c>
      <c r="C3493" s="34" t="s">
        <v>1079</v>
      </c>
    </row>
    <row r="3494" customFormat="false" ht="127.5" hidden="false" customHeight="false" outlineLevel="0" collapsed="false">
      <c r="A3494" s="37" t="s">
        <v>6711</v>
      </c>
      <c r="B3494" s="34" t="s">
        <v>6712</v>
      </c>
      <c r="C3494" s="34" t="s">
        <v>1079</v>
      </c>
    </row>
    <row r="3495" customFormat="false" ht="127.5" hidden="false" customHeight="false" outlineLevel="0" collapsed="false">
      <c r="A3495" s="37" t="s">
        <v>6713</v>
      </c>
      <c r="B3495" s="34" t="s">
        <v>6714</v>
      </c>
      <c r="C3495" s="34" t="s">
        <v>1079</v>
      </c>
    </row>
    <row r="3496" customFormat="false" ht="127.5" hidden="false" customHeight="false" outlineLevel="0" collapsed="false">
      <c r="A3496" s="37" t="s">
        <v>6715</v>
      </c>
      <c r="B3496" s="34" t="s">
        <v>6716</v>
      </c>
      <c r="C3496" s="34" t="s">
        <v>1079</v>
      </c>
    </row>
    <row r="3497" customFormat="false" ht="127.5" hidden="false" customHeight="false" outlineLevel="0" collapsed="false">
      <c r="A3497" s="37" t="s">
        <v>6717</v>
      </c>
      <c r="B3497" s="34" t="s">
        <v>6718</v>
      </c>
      <c r="C3497" s="34" t="s">
        <v>1079</v>
      </c>
    </row>
    <row r="3498" customFormat="false" ht="127.5" hidden="false" customHeight="false" outlineLevel="0" collapsed="false">
      <c r="A3498" s="37" t="s">
        <v>6719</v>
      </c>
      <c r="B3498" s="34" t="s">
        <v>6720</v>
      </c>
      <c r="C3498" s="34" t="s">
        <v>1079</v>
      </c>
    </row>
    <row r="3499" customFormat="false" ht="127.5" hidden="false" customHeight="false" outlineLevel="0" collapsed="false">
      <c r="A3499" s="37" t="s">
        <v>6721</v>
      </c>
      <c r="B3499" s="34" t="s">
        <v>6722</v>
      </c>
      <c r="C3499" s="34" t="s">
        <v>1079</v>
      </c>
    </row>
    <row r="3500" customFormat="false" ht="127.5" hidden="false" customHeight="false" outlineLevel="0" collapsed="false">
      <c r="A3500" s="37" t="s">
        <v>6723</v>
      </c>
      <c r="B3500" s="34" t="s">
        <v>6724</v>
      </c>
      <c r="C3500" s="34" t="s">
        <v>1788</v>
      </c>
    </row>
    <row r="3501" customFormat="false" ht="127.5" hidden="false" customHeight="false" outlineLevel="0" collapsed="false">
      <c r="A3501" s="37" t="s">
        <v>6725</v>
      </c>
      <c r="B3501" s="34" t="s">
        <v>6726</v>
      </c>
      <c r="C3501" s="34" t="s">
        <v>1788</v>
      </c>
    </row>
    <row r="3502" customFormat="false" ht="102" hidden="false" customHeight="false" outlineLevel="0" collapsed="false">
      <c r="A3502" s="37" t="s">
        <v>6727</v>
      </c>
      <c r="B3502" s="34" t="s">
        <v>6728</v>
      </c>
      <c r="C3502" s="34" t="s">
        <v>1793</v>
      </c>
    </row>
    <row r="3503" customFormat="false" ht="102" hidden="false" customHeight="false" outlineLevel="0" collapsed="false">
      <c r="A3503" s="37" t="s">
        <v>6729</v>
      </c>
      <c r="B3503" s="34" t="s">
        <v>6730</v>
      </c>
      <c r="C3503" s="34" t="s">
        <v>1793</v>
      </c>
    </row>
    <row r="3504" customFormat="false" ht="76.5" hidden="false" customHeight="false" outlineLevel="0" collapsed="false">
      <c r="A3504" s="37" t="s">
        <v>6731</v>
      </c>
      <c r="B3504" s="34" t="s">
        <v>6732</v>
      </c>
      <c r="C3504" s="34" t="s">
        <v>1798</v>
      </c>
    </row>
    <row r="3505" customFormat="false" ht="63.75" hidden="false" customHeight="false" outlineLevel="0" collapsed="false">
      <c r="A3505" s="37" t="s">
        <v>6733</v>
      </c>
      <c r="B3505" s="34" t="s">
        <v>6734</v>
      </c>
      <c r="C3505" s="34" t="s">
        <v>1801</v>
      </c>
    </row>
    <row r="3506" customFormat="false" ht="102" hidden="false" customHeight="false" outlineLevel="0" collapsed="false">
      <c r="A3506" s="37" t="s">
        <v>6735</v>
      </c>
      <c r="B3506" s="34" t="s">
        <v>6736</v>
      </c>
      <c r="C3506" s="34" t="s">
        <v>221</v>
      </c>
    </row>
    <row r="3507" customFormat="false" ht="102" hidden="false" customHeight="false" outlineLevel="0" collapsed="false">
      <c r="A3507" s="37" t="s">
        <v>6737</v>
      </c>
      <c r="B3507" s="34" t="s">
        <v>6738</v>
      </c>
      <c r="C3507" s="34" t="s">
        <v>221</v>
      </c>
    </row>
    <row r="3508" customFormat="false" ht="102" hidden="false" customHeight="false" outlineLevel="0" collapsed="false">
      <c r="A3508" s="37" t="s">
        <v>6739</v>
      </c>
      <c r="B3508" s="34" t="s">
        <v>6740</v>
      </c>
      <c r="C3508" s="34" t="s">
        <v>1808</v>
      </c>
    </row>
    <row r="3509" customFormat="false" ht="102" hidden="false" customHeight="false" outlineLevel="0" collapsed="false">
      <c r="A3509" s="37" t="s">
        <v>6741</v>
      </c>
      <c r="B3509" s="34" t="s">
        <v>6742</v>
      </c>
      <c r="C3509" s="34" t="s">
        <v>1808</v>
      </c>
    </row>
    <row r="3510" customFormat="false" ht="102" hidden="false" customHeight="false" outlineLevel="0" collapsed="false">
      <c r="A3510" s="37" t="s">
        <v>6743</v>
      </c>
      <c r="B3510" s="34" t="s">
        <v>6744</v>
      </c>
      <c r="C3510" s="34" t="s">
        <v>1793</v>
      </c>
    </row>
    <row r="3511" customFormat="false" ht="89.25" hidden="false" customHeight="false" outlineLevel="0" collapsed="false">
      <c r="A3511" s="37" t="s">
        <v>6745</v>
      </c>
      <c r="B3511" s="34" t="s">
        <v>6746</v>
      </c>
      <c r="C3511" s="34" t="s">
        <v>210</v>
      </c>
    </row>
    <row r="3512" customFormat="false" ht="127.5" hidden="false" customHeight="false" outlineLevel="0" collapsed="false">
      <c r="A3512" s="37" t="s">
        <v>6747</v>
      </c>
      <c r="B3512" s="34" t="s">
        <v>6748</v>
      </c>
      <c r="C3512" s="34" t="s">
        <v>230</v>
      </c>
    </row>
    <row r="3513" customFormat="false" ht="89.25" hidden="false" customHeight="false" outlineLevel="0" collapsed="false">
      <c r="A3513" s="37" t="s">
        <v>6749</v>
      </c>
      <c r="B3513" s="34" t="s">
        <v>6750</v>
      </c>
      <c r="C3513" s="34" t="s">
        <v>1819</v>
      </c>
    </row>
    <row r="3514" customFormat="false" ht="63.75" hidden="false" customHeight="false" outlineLevel="0" collapsed="false">
      <c r="A3514" s="37" t="s">
        <v>6751</v>
      </c>
      <c r="B3514" s="34" t="s">
        <v>6752</v>
      </c>
      <c r="C3514" s="34" t="s">
        <v>139</v>
      </c>
    </row>
    <row r="3515" customFormat="false" ht="63.75" hidden="false" customHeight="false" outlineLevel="0" collapsed="false">
      <c r="A3515" s="37" t="s">
        <v>6753</v>
      </c>
      <c r="B3515" s="34" t="s">
        <v>6754</v>
      </c>
      <c r="C3515" s="34" t="s">
        <v>139</v>
      </c>
    </row>
    <row r="3516" customFormat="false" ht="63.75" hidden="false" customHeight="false" outlineLevel="0" collapsed="false">
      <c r="A3516" s="37" t="s">
        <v>6755</v>
      </c>
      <c r="B3516" s="34" t="s">
        <v>6756</v>
      </c>
      <c r="C3516" s="34" t="s">
        <v>139</v>
      </c>
    </row>
    <row r="3517" customFormat="false" ht="38.25" hidden="false" customHeight="false" outlineLevel="0" collapsed="false">
      <c r="A3517" s="37" t="s">
        <v>6757</v>
      </c>
      <c r="B3517" s="34" t="s">
        <v>6758</v>
      </c>
      <c r="C3517" s="34" t="s">
        <v>965</v>
      </c>
    </row>
    <row r="3518" customFormat="false" ht="25.5" hidden="false" customHeight="false" outlineLevel="0" collapsed="false">
      <c r="A3518" s="37" t="s">
        <v>6759</v>
      </c>
      <c r="B3518" s="34" t="s">
        <v>6760</v>
      </c>
      <c r="C3518" s="34" t="s">
        <v>965</v>
      </c>
    </row>
    <row r="3519" customFormat="false" ht="89.25" hidden="false" customHeight="false" outlineLevel="0" collapsed="false">
      <c r="A3519" s="37" t="s">
        <v>6761</v>
      </c>
      <c r="B3519" s="34" t="s">
        <v>6762</v>
      </c>
      <c r="C3519" s="34" t="s">
        <v>1831</v>
      </c>
    </row>
    <row r="3520" customFormat="false" ht="127.5" hidden="false" customHeight="false" outlineLevel="0" collapsed="false">
      <c r="A3520" s="37" t="s">
        <v>6763</v>
      </c>
      <c r="B3520" s="34" t="s">
        <v>6764</v>
      </c>
      <c r="C3520" s="34" t="s">
        <v>1089</v>
      </c>
    </row>
    <row r="3521" customFormat="false" ht="127.5" hidden="false" customHeight="false" outlineLevel="0" collapsed="false">
      <c r="A3521" s="37" t="s">
        <v>6765</v>
      </c>
      <c r="B3521" s="34" t="s">
        <v>6766</v>
      </c>
      <c r="C3521" s="34" t="s">
        <v>1089</v>
      </c>
    </row>
    <row r="3522" customFormat="false" ht="127.5" hidden="false" customHeight="false" outlineLevel="0" collapsed="false">
      <c r="A3522" s="37" t="s">
        <v>6767</v>
      </c>
      <c r="B3522" s="34" t="s">
        <v>6768</v>
      </c>
      <c r="C3522" s="34" t="s">
        <v>1089</v>
      </c>
    </row>
    <row r="3523" customFormat="false" ht="127.5" hidden="false" customHeight="false" outlineLevel="0" collapsed="false">
      <c r="A3523" s="37" t="s">
        <v>6769</v>
      </c>
      <c r="B3523" s="34" t="s">
        <v>6770</v>
      </c>
      <c r="C3523" s="34" t="s">
        <v>1089</v>
      </c>
    </row>
    <row r="3524" customFormat="false" ht="127.5" hidden="false" customHeight="false" outlineLevel="0" collapsed="false">
      <c r="A3524" s="37" t="s">
        <v>6771</v>
      </c>
      <c r="B3524" s="34" t="s">
        <v>6772</v>
      </c>
      <c r="C3524" s="34" t="s">
        <v>1089</v>
      </c>
    </row>
    <row r="3525" customFormat="false" ht="127.5" hidden="false" customHeight="false" outlineLevel="0" collapsed="false">
      <c r="A3525" s="37" t="s">
        <v>6773</v>
      </c>
      <c r="B3525" s="34" t="s">
        <v>6774</v>
      </c>
      <c r="C3525" s="34" t="s">
        <v>1089</v>
      </c>
    </row>
    <row r="3526" customFormat="false" ht="127.5" hidden="false" customHeight="false" outlineLevel="0" collapsed="false">
      <c r="A3526" s="37" t="s">
        <v>6775</v>
      </c>
      <c r="B3526" s="34" t="s">
        <v>6776</v>
      </c>
      <c r="C3526" s="34" t="s">
        <v>1089</v>
      </c>
    </row>
    <row r="3527" customFormat="false" ht="127.5" hidden="false" customHeight="false" outlineLevel="0" collapsed="false">
      <c r="A3527" s="37" t="s">
        <v>6777</v>
      </c>
      <c r="B3527" s="34" t="s">
        <v>6778</v>
      </c>
      <c r="C3527" s="34" t="s">
        <v>1089</v>
      </c>
    </row>
    <row r="3528" customFormat="false" ht="127.5" hidden="false" customHeight="false" outlineLevel="0" collapsed="false">
      <c r="A3528" s="37" t="s">
        <v>6779</v>
      </c>
      <c r="B3528" s="34" t="s">
        <v>6780</v>
      </c>
      <c r="C3528" s="34" t="s">
        <v>1089</v>
      </c>
    </row>
    <row r="3529" customFormat="false" ht="127.5" hidden="false" customHeight="false" outlineLevel="0" collapsed="false">
      <c r="A3529" s="37" t="s">
        <v>6781</v>
      </c>
      <c r="B3529" s="34" t="s">
        <v>6782</v>
      </c>
      <c r="C3529" s="34" t="s">
        <v>1089</v>
      </c>
    </row>
    <row r="3530" customFormat="false" ht="127.5" hidden="false" customHeight="false" outlineLevel="0" collapsed="false">
      <c r="A3530" s="37" t="s">
        <v>6783</v>
      </c>
      <c r="B3530" s="34" t="s">
        <v>6784</v>
      </c>
      <c r="C3530" s="34" t="s">
        <v>1846</v>
      </c>
    </row>
    <row r="3531" customFormat="false" ht="127.5" hidden="false" customHeight="false" outlineLevel="0" collapsed="false">
      <c r="A3531" s="37" t="s">
        <v>6785</v>
      </c>
      <c r="B3531" s="34" t="s">
        <v>6786</v>
      </c>
      <c r="C3531" s="34" t="s">
        <v>1846</v>
      </c>
    </row>
    <row r="3532" customFormat="false" ht="102" hidden="false" customHeight="false" outlineLevel="0" collapsed="false">
      <c r="A3532" s="37" t="s">
        <v>6787</v>
      </c>
      <c r="B3532" s="34" t="s">
        <v>6788</v>
      </c>
      <c r="C3532" s="34" t="s">
        <v>1851</v>
      </c>
    </row>
    <row r="3533" customFormat="false" ht="102" hidden="false" customHeight="false" outlineLevel="0" collapsed="false">
      <c r="A3533" s="37" t="s">
        <v>6789</v>
      </c>
      <c r="B3533" s="34" t="s">
        <v>6790</v>
      </c>
      <c r="C3533" s="34" t="s">
        <v>1851</v>
      </c>
    </row>
    <row r="3534" customFormat="false" ht="76.5" hidden="false" customHeight="false" outlineLevel="0" collapsed="false">
      <c r="A3534" s="37" t="s">
        <v>6791</v>
      </c>
      <c r="B3534" s="34" t="s">
        <v>6792</v>
      </c>
      <c r="C3534" s="34" t="s">
        <v>1856</v>
      </c>
    </row>
    <row r="3535" customFormat="false" ht="63.75" hidden="false" customHeight="false" outlineLevel="0" collapsed="false">
      <c r="A3535" s="37" t="s">
        <v>6793</v>
      </c>
      <c r="B3535" s="34" t="s">
        <v>6794</v>
      </c>
      <c r="C3535" s="34" t="s">
        <v>1859</v>
      </c>
    </row>
    <row r="3536" customFormat="false" ht="102" hidden="false" customHeight="false" outlineLevel="0" collapsed="false">
      <c r="A3536" s="37" t="s">
        <v>6795</v>
      </c>
      <c r="B3536" s="34" t="s">
        <v>6796</v>
      </c>
      <c r="C3536" s="34" t="s">
        <v>265</v>
      </c>
    </row>
    <row r="3537" customFormat="false" ht="102" hidden="false" customHeight="false" outlineLevel="0" collapsed="false">
      <c r="A3537" s="37" t="s">
        <v>6797</v>
      </c>
      <c r="B3537" s="34" t="s">
        <v>6798</v>
      </c>
      <c r="C3537" s="34" t="s">
        <v>265</v>
      </c>
    </row>
    <row r="3538" customFormat="false" ht="102" hidden="false" customHeight="false" outlineLevel="0" collapsed="false">
      <c r="A3538" s="37" t="s">
        <v>6799</v>
      </c>
      <c r="B3538" s="34" t="s">
        <v>6800</v>
      </c>
      <c r="C3538" s="34" t="s">
        <v>1866</v>
      </c>
    </row>
    <row r="3539" customFormat="false" ht="102" hidden="false" customHeight="false" outlineLevel="0" collapsed="false">
      <c r="A3539" s="37" t="s">
        <v>6801</v>
      </c>
      <c r="B3539" s="34" t="s">
        <v>6802</v>
      </c>
      <c r="C3539" s="34" t="s">
        <v>1866</v>
      </c>
    </row>
    <row r="3540" customFormat="false" ht="102" hidden="false" customHeight="false" outlineLevel="0" collapsed="false">
      <c r="A3540" s="37" t="s">
        <v>6803</v>
      </c>
      <c r="B3540" s="34" t="s">
        <v>6804</v>
      </c>
      <c r="C3540" s="34" t="s">
        <v>1851</v>
      </c>
    </row>
    <row r="3541" customFormat="false" ht="89.25" hidden="false" customHeight="false" outlineLevel="0" collapsed="false">
      <c r="A3541" s="37" t="s">
        <v>6805</v>
      </c>
      <c r="B3541" s="34" t="s">
        <v>6806</v>
      </c>
      <c r="C3541" s="34" t="s">
        <v>254</v>
      </c>
    </row>
    <row r="3542" customFormat="false" ht="127.5" hidden="false" customHeight="false" outlineLevel="0" collapsed="false">
      <c r="A3542" s="37" t="s">
        <v>6807</v>
      </c>
      <c r="B3542" s="34" t="s">
        <v>6808</v>
      </c>
      <c r="C3542" s="34" t="s">
        <v>274</v>
      </c>
    </row>
    <row r="3543" customFormat="false" ht="89.25" hidden="false" customHeight="false" outlineLevel="0" collapsed="false">
      <c r="A3543" s="37" t="s">
        <v>6809</v>
      </c>
      <c r="B3543" s="34" t="s">
        <v>6810</v>
      </c>
      <c r="C3543" s="34" t="s">
        <v>1877</v>
      </c>
    </row>
    <row r="3544" customFormat="false" ht="63.75" hidden="false" customHeight="false" outlineLevel="0" collapsed="false">
      <c r="A3544" s="37" t="s">
        <v>6811</v>
      </c>
      <c r="B3544" s="34" t="s">
        <v>6812</v>
      </c>
      <c r="C3544" s="34" t="s">
        <v>139</v>
      </c>
    </row>
    <row r="3545" customFormat="false" ht="63.75" hidden="false" customHeight="false" outlineLevel="0" collapsed="false">
      <c r="A3545" s="37" t="s">
        <v>6813</v>
      </c>
      <c r="B3545" s="34" t="s">
        <v>6814</v>
      </c>
      <c r="C3545" s="34" t="s">
        <v>139</v>
      </c>
    </row>
    <row r="3546" customFormat="false" ht="63.75" hidden="false" customHeight="false" outlineLevel="0" collapsed="false">
      <c r="A3546" s="37" t="s">
        <v>6815</v>
      </c>
      <c r="B3546" s="34" t="s">
        <v>6816</v>
      </c>
      <c r="C3546" s="34" t="s">
        <v>139</v>
      </c>
    </row>
    <row r="3547" customFormat="false" ht="38.25" hidden="false" customHeight="false" outlineLevel="0" collapsed="false">
      <c r="A3547" s="37" t="s">
        <v>6817</v>
      </c>
      <c r="B3547" s="34" t="s">
        <v>6818</v>
      </c>
      <c r="C3547" s="34" t="s">
        <v>965</v>
      </c>
    </row>
    <row r="3548" customFormat="false" ht="25.5" hidden="false" customHeight="false" outlineLevel="0" collapsed="false">
      <c r="A3548" s="37" t="s">
        <v>6819</v>
      </c>
      <c r="B3548" s="34" t="s">
        <v>6820</v>
      </c>
      <c r="C3548" s="34" t="s">
        <v>965</v>
      </c>
    </row>
    <row r="3549" customFormat="false" ht="89.25" hidden="false" customHeight="false" outlineLevel="0" collapsed="false">
      <c r="A3549" s="37" t="s">
        <v>6821</v>
      </c>
      <c r="B3549" s="34" t="s">
        <v>6822</v>
      </c>
      <c r="C3549" s="34" t="s">
        <v>1889</v>
      </c>
    </row>
    <row r="3550" customFormat="false" ht="127.5" hidden="false" customHeight="false" outlineLevel="0" collapsed="false">
      <c r="A3550" s="37" t="s">
        <v>6823</v>
      </c>
      <c r="B3550" s="34" t="s">
        <v>6824</v>
      </c>
      <c r="C3550" s="34" t="s">
        <v>1099</v>
      </c>
    </row>
    <row r="3551" customFormat="false" ht="127.5" hidden="false" customHeight="false" outlineLevel="0" collapsed="false">
      <c r="A3551" s="37" t="s">
        <v>6825</v>
      </c>
      <c r="B3551" s="34" t="s">
        <v>6826</v>
      </c>
      <c r="C3551" s="34" t="s">
        <v>1099</v>
      </c>
    </row>
    <row r="3552" customFormat="false" ht="127.5" hidden="false" customHeight="false" outlineLevel="0" collapsed="false">
      <c r="A3552" s="37" t="s">
        <v>6827</v>
      </c>
      <c r="B3552" s="34" t="s">
        <v>6828</v>
      </c>
      <c r="C3552" s="34" t="s">
        <v>1099</v>
      </c>
    </row>
    <row r="3553" customFormat="false" ht="127.5" hidden="false" customHeight="false" outlineLevel="0" collapsed="false">
      <c r="A3553" s="37" t="s">
        <v>6829</v>
      </c>
      <c r="B3553" s="34" t="s">
        <v>6830</v>
      </c>
      <c r="C3553" s="34" t="s">
        <v>1099</v>
      </c>
    </row>
    <row r="3554" customFormat="false" ht="127.5" hidden="false" customHeight="false" outlineLevel="0" collapsed="false">
      <c r="A3554" s="37" t="s">
        <v>6831</v>
      </c>
      <c r="B3554" s="34" t="s">
        <v>6832</v>
      </c>
      <c r="C3554" s="34" t="s">
        <v>1099</v>
      </c>
    </row>
    <row r="3555" customFormat="false" ht="127.5" hidden="false" customHeight="false" outlineLevel="0" collapsed="false">
      <c r="A3555" s="37" t="s">
        <v>6833</v>
      </c>
      <c r="B3555" s="34" t="s">
        <v>6834</v>
      </c>
      <c r="C3555" s="34" t="s">
        <v>1099</v>
      </c>
    </row>
    <row r="3556" customFormat="false" ht="127.5" hidden="false" customHeight="false" outlineLevel="0" collapsed="false">
      <c r="A3556" s="37" t="s">
        <v>6835</v>
      </c>
      <c r="B3556" s="34" t="s">
        <v>6836</v>
      </c>
      <c r="C3556" s="34" t="s">
        <v>1099</v>
      </c>
    </row>
    <row r="3557" customFormat="false" ht="127.5" hidden="false" customHeight="false" outlineLevel="0" collapsed="false">
      <c r="A3557" s="37" t="s">
        <v>6837</v>
      </c>
      <c r="B3557" s="34" t="s">
        <v>6838</v>
      </c>
      <c r="C3557" s="34" t="s">
        <v>1099</v>
      </c>
    </row>
    <row r="3558" customFormat="false" ht="127.5" hidden="false" customHeight="false" outlineLevel="0" collapsed="false">
      <c r="A3558" s="37" t="s">
        <v>6839</v>
      </c>
      <c r="B3558" s="34" t="s">
        <v>6840</v>
      </c>
      <c r="C3558" s="34" t="s">
        <v>1099</v>
      </c>
    </row>
    <row r="3559" customFormat="false" ht="127.5" hidden="false" customHeight="false" outlineLevel="0" collapsed="false">
      <c r="A3559" s="37" t="s">
        <v>6841</v>
      </c>
      <c r="B3559" s="34" t="s">
        <v>6842</v>
      </c>
      <c r="C3559" s="34" t="s">
        <v>1099</v>
      </c>
    </row>
    <row r="3560" customFormat="false" ht="127.5" hidden="false" customHeight="false" outlineLevel="0" collapsed="false">
      <c r="A3560" s="37" t="s">
        <v>6843</v>
      </c>
      <c r="B3560" s="34" t="s">
        <v>6844</v>
      </c>
      <c r="C3560" s="34" t="s">
        <v>1904</v>
      </c>
    </row>
    <row r="3561" customFormat="false" ht="127.5" hidden="false" customHeight="false" outlineLevel="0" collapsed="false">
      <c r="A3561" s="37" t="s">
        <v>6845</v>
      </c>
      <c r="B3561" s="34" t="s">
        <v>6846</v>
      </c>
      <c r="C3561" s="34" t="s">
        <v>1904</v>
      </c>
    </row>
    <row r="3562" customFormat="false" ht="102" hidden="false" customHeight="false" outlineLevel="0" collapsed="false">
      <c r="A3562" s="37" t="s">
        <v>6847</v>
      </c>
      <c r="B3562" s="34" t="s">
        <v>6848</v>
      </c>
      <c r="C3562" s="34" t="s">
        <v>1909</v>
      </c>
    </row>
    <row r="3563" customFormat="false" ht="102" hidden="false" customHeight="false" outlineLevel="0" collapsed="false">
      <c r="A3563" s="37" t="s">
        <v>6849</v>
      </c>
      <c r="B3563" s="34" t="s">
        <v>6850</v>
      </c>
      <c r="C3563" s="34" t="s">
        <v>1909</v>
      </c>
    </row>
    <row r="3564" customFormat="false" ht="76.5" hidden="false" customHeight="false" outlineLevel="0" collapsed="false">
      <c r="A3564" s="37" t="s">
        <v>6851</v>
      </c>
      <c r="B3564" s="34" t="s">
        <v>6852</v>
      </c>
      <c r="C3564" s="34" t="s">
        <v>1914</v>
      </c>
    </row>
    <row r="3565" customFormat="false" ht="63.75" hidden="false" customHeight="false" outlineLevel="0" collapsed="false">
      <c r="A3565" s="37" t="s">
        <v>6853</v>
      </c>
      <c r="B3565" s="34" t="s">
        <v>6854</v>
      </c>
      <c r="C3565" s="34" t="s">
        <v>1917</v>
      </c>
    </row>
    <row r="3566" customFormat="false" ht="102" hidden="false" customHeight="false" outlineLevel="0" collapsed="false">
      <c r="A3566" s="37" t="s">
        <v>6855</v>
      </c>
      <c r="B3566" s="34" t="s">
        <v>6856</v>
      </c>
      <c r="C3566" s="34" t="s">
        <v>309</v>
      </c>
    </row>
    <row r="3567" customFormat="false" ht="102" hidden="false" customHeight="false" outlineLevel="0" collapsed="false">
      <c r="A3567" s="37" t="s">
        <v>6857</v>
      </c>
      <c r="B3567" s="34" t="s">
        <v>6858</v>
      </c>
      <c r="C3567" s="34" t="s">
        <v>309</v>
      </c>
    </row>
    <row r="3568" customFormat="false" ht="102" hidden="false" customHeight="false" outlineLevel="0" collapsed="false">
      <c r="A3568" s="37" t="s">
        <v>6859</v>
      </c>
      <c r="B3568" s="34" t="s">
        <v>6860</v>
      </c>
      <c r="C3568" s="34" t="s">
        <v>1924</v>
      </c>
    </row>
    <row r="3569" customFormat="false" ht="102" hidden="false" customHeight="false" outlineLevel="0" collapsed="false">
      <c r="A3569" s="37" t="s">
        <v>6861</v>
      </c>
      <c r="B3569" s="34" t="s">
        <v>6862</v>
      </c>
      <c r="C3569" s="34" t="s">
        <v>1924</v>
      </c>
    </row>
    <row r="3570" customFormat="false" ht="102" hidden="false" customHeight="false" outlineLevel="0" collapsed="false">
      <c r="A3570" s="37" t="s">
        <v>6863</v>
      </c>
      <c r="B3570" s="34" t="s">
        <v>6864</v>
      </c>
      <c r="C3570" s="34" t="s">
        <v>1909</v>
      </c>
    </row>
    <row r="3571" customFormat="false" ht="89.25" hidden="false" customHeight="false" outlineLevel="0" collapsed="false">
      <c r="A3571" s="37" t="s">
        <v>6865</v>
      </c>
      <c r="B3571" s="34" t="s">
        <v>6866</v>
      </c>
      <c r="C3571" s="34" t="s">
        <v>298</v>
      </c>
    </row>
    <row r="3572" customFormat="false" ht="127.5" hidden="false" customHeight="false" outlineLevel="0" collapsed="false">
      <c r="A3572" s="37" t="s">
        <v>6867</v>
      </c>
      <c r="B3572" s="34" t="s">
        <v>6868</v>
      </c>
      <c r="C3572" s="34" t="s">
        <v>318</v>
      </c>
    </row>
    <row r="3573" customFormat="false" ht="89.25" hidden="false" customHeight="false" outlineLevel="0" collapsed="false">
      <c r="A3573" s="37" t="s">
        <v>6869</v>
      </c>
      <c r="B3573" s="34" t="s">
        <v>6870</v>
      </c>
      <c r="C3573" s="34" t="s">
        <v>1935</v>
      </c>
    </row>
    <row r="3574" customFormat="false" ht="63.75" hidden="false" customHeight="false" outlineLevel="0" collapsed="false">
      <c r="A3574" s="37" t="s">
        <v>6871</v>
      </c>
      <c r="B3574" s="34" t="s">
        <v>6872</v>
      </c>
      <c r="C3574" s="34" t="s">
        <v>139</v>
      </c>
    </row>
    <row r="3575" customFormat="false" ht="63.75" hidden="false" customHeight="false" outlineLevel="0" collapsed="false">
      <c r="A3575" s="37" t="s">
        <v>6873</v>
      </c>
      <c r="B3575" s="34" t="s">
        <v>6874</v>
      </c>
      <c r="C3575" s="34" t="s">
        <v>139</v>
      </c>
    </row>
    <row r="3576" customFormat="false" ht="63.75" hidden="false" customHeight="false" outlineLevel="0" collapsed="false">
      <c r="A3576" s="37" t="s">
        <v>6875</v>
      </c>
      <c r="B3576" s="34" t="s">
        <v>6876</v>
      </c>
      <c r="C3576" s="34" t="s">
        <v>139</v>
      </c>
    </row>
    <row r="3577" customFormat="false" ht="38.25" hidden="false" customHeight="false" outlineLevel="0" collapsed="false">
      <c r="A3577" s="37" t="s">
        <v>6877</v>
      </c>
      <c r="B3577" s="34" t="s">
        <v>6878</v>
      </c>
      <c r="C3577" s="34" t="s">
        <v>965</v>
      </c>
    </row>
    <row r="3578" customFormat="false" ht="25.5" hidden="false" customHeight="false" outlineLevel="0" collapsed="false">
      <c r="A3578" s="37" t="s">
        <v>6879</v>
      </c>
      <c r="B3578" s="34" t="s">
        <v>6880</v>
      </c>
      <c r="C3578" s="34" t="s">
        <v>965</v>
      </c>
    </row>
    <row r="3579" customFormat="false" ht="89.25" hidden="false" customHeight="false" outlineLevel="0" collapsed="false">
      <c r="A3579" s="37" t="s">
        <v>6881</v>
      </c>
      <c r="B3579" s="34" t="s">
        <v>6882</v>
      </c>
      <c r="C3579" s="34" t="s">
        <v>1948</v>
      </c>
    </row>
    <row r="3580" customFormat="false" ht="127.5" hidden="false" customHeight="false" outlineLevel="0" collapsed="false">
      <c r="A3580" s="37" t="s">
        <v>6883</v>
      </c>
      <c r="B3580" s="34" t="s">
        <v>6884</v>
      </c>
      <c r="C3580" s="34" t="s">
        <v>1108</v>
      </c>
    </row>
    <row r="3581" customFormat="false" ht="127.5" hidden="false" customHeight="false" outlineLevel="0" collapsed="false">
      <c r="A3581" s="37" t="s">
        <v>6885</v>
      </c>
      <c r="B3581" s="34" t="s">
        <v>6886</v>
      </c>
      <c r="C3581" s="34" t="s">
        <v>1108</v>
      </c>
    </row>
    <row r="3582" customFormat="false" ht="127.5" hidden="false" customHeight="false" outlineLevel="0" collapsed="false">
      <c r="A3582" s="37" t="s">
        <v>6887</v>
      </c>
      <c r="B3582" s="34" t="s">
        <v>6888</v>
      </c>
      <c r="C3582" s="34" t="s">
        <v>1108</v>
      </c>
    </row>
    <row r="3583" customFormat="false" ht="127.5" hidden="false" customHeight="false" outlineLevel="0" collapsed="false">
      <c r="A3583" s="37" t="s">
        <v>6889</v>
      </c>
      <c r="B3583" s="34" t="s">
        <v>6890</v>
      </c>
      <c r="C3583" s="34" t="s">
        <v>1108</v>
      </c>
    </row>
    <row r="3584" customFormat="false" ht="127.5" hidden="false" customHeight="false" outlineLevel="0" collapsed="false">
      <c r="A3584" s="37" t="s">
        <v>6891</v>
      </c>
      <c r="B3584" s="34" t="s">
        <v>6892</v>
      </c>
      <c r="C3584" s="34" t="s">
        <v>1108</v>
      </c>
    </row>
    <row r="3585" customFormat="false" ht="127.5" hidden="false" customHeight="false" outlineLevel="0" collapsed="false">
      <c r="A3585" s="37" t="s">
        <v>6893</v>
      </c>
      <c r="B3585" s="34" t="s">
        <v>6894</v>
      </c>
      <c r="C3585" s="34" t="s">
        <v>1108</v>
      </c>
    </row>
    <row r="3586" customFormat="false" ht="127.5" hidden="false" customHeight="false" outlineLevel="0" collapsed="false">
      <c r="A3586" s="37" t="s">
        <v>6895</v>
      </c>
      <c r="B3586" s="34" t="s">
        <v>6896</v>
      </c>
      <c r="C3586" s="34" t="s">
        <v>1108</v>
      </c>
    </row>
    <row r="3587" customFormat="false" ht="127.5" hidden="false" customHeight="false" outlineLevel="0" collapsed="false">
      <c r="A3587" s="37" t="s">
        <v>6897</v>
      </c>
      <c r="B3587" s="34" t="s">
        <v>6898</v>
      </c>
      <c r="C3587" s="34" t="s">
        <v>1108</v>
      </c>
    </row>
    <row r="3588" customFormat="false" ht="127.5" hidden="false" customHeight="false" outlineLevel="0" collapsed="false">
      <c r="A3588" s="37" t="s">
        <v>6899</v>
      </c>
      <c r="B3588" s="34" t="s">
        <v>6900</v>
      </c>
      <c r="C3588" s="34" t="s">
        <v>1108</v>
      </c>
    </row>
    <row r="3589" customFormat="false" ht="127.5" hidden="false" customHeight="false" outlineLevel="0" collapsed="false">
      <c r="A3589" s="37" t="s">
        <v>6901</v>
      </c>
      <c r="B3589" s="34" t="s">
        <v>6902</v>
      </c>
      <c r="C3589" s="34" t="s">
        <v>1108</v>
      </c>
    </row>
    <row r="3590" customFormat="false" ht="127.5" hidden="false" customHeight="false" outlineLevel="0" collapsed="false">
      <c r="A3590" s="37" t="s">
        <v>6903</v>
      </c>
      <c r="B3590" s="34" t="s">
        <v>6904</v>
      </c>
      <c r="C3590" s="34" t="s">
        <v>1967</v>
      </c>
    </row>
    <row r="3591" customFormat="false" ht="127.5" hidden="false" customHeight="false" outlineLevel="0" collapsed="false">
      <c r="A3591" s="37" t="s">
        <v>6905</v>
      </c>
      <c r="B3591" s="34" t="s">
        <v>6906</v>
      </c>
      <c r="C3591" s="34" t="s">
        <v>1967</v>
      </c>
    </row>
    <row r="3592" customFormat="false" ht="102" hidden="false" customHeight="false" outlineLevel="0" collapsed="false">
      <c r="A3592" s="37" t="s">
        <v>6907</v>
      </c>
      <c r="B3592" s="34" t="s">
        <v>6908</v>
      </c>
      <c r="C3592" s="34" t="s">
        <v>1972</v>
      </c>
    </row>
    <row r="3593" customFormat="false" ht="102" hidden="false" customHeight="false" outlineLevel="0" collapsed="false">
      <c r="A3593" s="37" t="s">
        <v>6909</v>
      </c>
      <c r="B3593" s="34" t="s">
        <v>6910</v>
      </c>
      <c r="C3593" s="34" t="s">
        <v>1972</v>
      </c>
    </row>
    <row r="3594" customFormat="false" ht="76.5" hidden="false" customHeight="false" outlineLevel="0" collapsed="false">
      <c r="A3594" s="37" t="s">
        <v>6911</v>
      </c>
      <c r="B3594" s="34" t="s">
        <v>6912</v>
      </c>
      <c r="C3594" s="34" t="s">
        <v>1977</v>
      </c>
    </row>
    <row r="3595" customFormat="false" ht="63.75" hidden="false" customHeight="false" outlineLevel="0" collapsed="false">
      <c r="A3595" s="37" t="s">
        <v>6913</v>
      </c>
      <c r="B3595" s="34" t="s">
        <v>6914</v>
      </c>
      <c r="C3595" s="34" t="s">
        <v>1980</v>
      </c>
    </row>
    <row r="3596" customFormat="false" ht="102" hidden="false" customHeight="false" outlineLevel="0" collapsed="false">
      <c r="A3596" s="37" t="s">
        <v>6915</v>
      </c>
      <c r="B3596" s="34" t="s">
        <v>6916</v>
      </c>
      <c r="C3596" s="34" t="s">
        <v>351</v>
      </c>
    </row>
    <row r="3597" customFormat="false" ht="102" hidden="false" customHeight="false" outlineLevel="0" collapsed="false">
      <c r="A3597" s="37" t="s">
        <v>6917</v>
      </c>
      <c r="B3597" s="34" t="s">
        <v>6918</v>
      </c>
      <c r="C3597" s="34" t="s">
        <v>351</v>
      </c>
    </row>
    <row r="3598" customFormat="false" ht="102" hidden="false" customHeight="false" outlineLevel="0" collapsed="false">
      <c r="A3598" s="37" t="s">
        <v>6919</v>
      </c>
      <c r="B3598" s="34" t="s">
        <v>6920</v>
      </c>
      <c r="C3598" s="34" t="s">
        <v>1987</v>
      </c>
    </row>
    <row r="3599" customFormat="false" ht="102" hidden="false" customHeight="false" outlineLevel="0" collapsed="false">
      <c r="A3599" s="37" t="s">
        <v>6921</v>
      </c>
      <c r="B3599" s="34" t="s">
        <v>6922</v>
      </c>
      <c r="C3599" s="34" t="s">
        <v>1987</v>
      </c>
    </row>
    <row r="3600" customFormat="false" ht="102" hidden="false" customHeight="false" outlineLevel="0" collapsed="false">
      <c r="A3600" s="37" t="s">
        <v>6923</v>
      </c>
      <c r="B3600" s="34" t="s">
        <v>6924</v>
      </c>
      <c r="C3600" s="34" t="s">
        <v>1972</v>
      </c>
    </row>
    <row r="3601" customFormat="false" ht="89.25" hidden="false" customHeight="false" outlineLevel="0" collapsed="false">
      <c r="A3601" s="37" t="s">
        <v>6925</v>
      </c>
      <c r="B3601" s="34" t="s">
        <v>6926</v>
      </c>
      <c r="C3601" s="34" t="s">
        <v>340</v>
      </c>
    </row>
    <row r="3602" customFormat="false" ht="127.5" hidden="false" customHeight="false" outlineLevel="0" collapsed="false">
      <c r="A3602" s="37" t="s">
        <v>6927</v>
      </c>
      <c r="B3602" s="34" t="s">
        <v>6928</v>
      </c>
      <c r="C3602" s="34" t="s">
        <v>360</v>
      </c>
    </row>
    <row r="3603" customFormat="false" ht="89.25" hidden="false" customHeight="false" outlineLevel="0" collapsed="false">
      <c r="A3603" s="37" t="s">
        <v>6929</v>
      </c>
      <c r="B3603" s="34" t="s">
        <v>6930</v>
      </c>
      <c r="C3603" s="34" t="s">
        <v>1998</v>
      </c>
    </row>
    <row r="3604" customFormat="false" ht="63.75" hidden="false" customHeight="false" outlineLevel="0" collapsed="false">
      <c r="A3604" s="37" t="s">
        <v>6931</v>
      </c>
      <c r="B3604" s="34" t="s">
        <v>6932</v>
      </c>
      <c r="C3604" s="34" t="s">
        <v>139</v>
      </c>
    </row>
    <row r="3605" customFormat="false" ht="63.75" hidden="false" customHeight="false" outlineLevel="0" collapsed="false">
      <c r="A3605" s="37" t="s">
        <v>6933</v>
      </c>
      <c r="B3605" s="34" t="s">
        <v>6934</v>
      </c>
      <c r="C3605" s="34" t="s">
        <v>139</v>
      </c>
    </row>
    <row r="3606" customFormat="false" ht="63.75" hidden="false" customHeight="false" outlineLevel="0" collapsed="false">
      <c r="A3606" s="37" t="s">
        <v>6935</v>
      </c>
      <c r="B3606" s="34" t="s">
        <v>6936</v>
      </c>
      <c r="C3606" s="34" t="s">
        <v>139</v>
      </c>
    </row>
    <row r="3607" customFormat="false" ht="38.25" hidden="false" customHeight="false" outlineLevel="0" collapsed="false">
      <c r="A3607" s="37" t="s">
        <v>6937</v>
      </c>
      <c r="B3607" s="34" t="s">
        <v>6938</v>
      </c>
      <c r="C3607" s="34" t="s">
        <v>965</v>
      </c>
    </row>
    <row r="3608" customFormat="false" ht="25.5" hidden="false" customHeight="false" outlineLevel="0" collapsed="false">
      <c r="A3608" s="37" t="s">
        <v>6939</v>
      </c>
      <c r="B3608" s="34" t="s">
        <v>6940</v>
      </c>
      <c r="C3608" s="34" t="s">
        <v>965</v>
      </c>
    </row>
    <row r="3609" customFormat="false" ht="63.75" hidden="false" customHeight="false" outlineLevel="0" collapsed="false">
      <c r="A3609" s="37" t="s">
        <v>6941</v>
      </c>
      <c r="B3609" s="34" t="s">
        <v>6942</v>
      </c>
      <c r="C3609" s="34" t="s">
        <v>139</v>
      </c>
    </row>
    <row r="3610" customFormat="false" ht="63.75" hidden="false" customHeight="false" outlineLevel="0" collapsed="false">
      <c r="A3610" s="37" t="s">
        <v>6943</v>
      </c>
      <c r="B3610" s="34" t="s">
        <v>6944</v>
      </c>
      <c r="C3610" s="34" t="s">
        <v>139</v>
      </c>
    </row>
    <row r="3611" customFormat="false" ht="63.75" hidden="false" customHeight="false" outlineLevel="0" collapsed="false">
      <c r="A3611" s="37" t="s">
        <v>6945</v>
      </c>
      <c r="B3611" s="34" t="s">
        <v>6946</v>
      </c>
      <c r="C3611" s="34" t="s">
        <v>139</v>
      </c>
    </row>
    <row r="3612" customFormat="false" ht="89.25" hidden="false" customHeight="false" outlineLevel="0" collapsed="false">
      <c r="A3612" s="37" t="s">
        <v>6947</v>
      </c>
      <c r="B3612" s="34" t="s">
        <v>6948</v>
      </c>
      <c r="C3612" s="34" t="s">
        <v>122</v>
      </c>
    </row>
    <row r="3613" customFormat="false" ht="89.25" hidden="false" customHeight="false" outlineLevel="0" collapsed="false">
      <c r="A3613" s="37" t="s">
        <v>6949</v>
      </c>
      <c r="B3613" s="34" t="s">
        <v>6950</v>
      </c>
      <c r="C3613" s="34" t="s">
        <v>122</v>
      </c>
    </row>
    <row r="3614" customFormat="false" ht="89.25" hidden="false" customHeight="false" outlineLevel="0" collapsed="false">
      <c r="A3614" s="37" t="s">
        <v>6951</v>
      </c>
      <c r="B3614" s="34" t="s">
        <v>6952</v>
      </c>
      <c r="C3614" s="34" t="s">
        <v>122</v>
      </c>
    </row>
    <row r="3615" customFormat="false" ht="89.25" hidden="false" customHeight="false" outlineLevel="0" collapsed="false">
      <c r="A3615" s="37" t="s">
        <v>6953</v>
      </c>
      <c r="B3615" s="34" t="s">
        <v>6502</v>
      </c>
      <c r="C3615" s="34" t="s">
        <v>122</v>
      </c>
    </row>
    <row r="3616" customFormat="false" ht="89.25" hidden="false" customHeight="false" outlineLevel="0" collapsed="false">
      <c r="A3616" s="37" t="s">
        <v>6954</v>
      </c>
      <c r="B3616" s="34" t="s">
        <v>6955</v>
      </c>
      <c r="C3616" s="34" t="s">
        <v>122</v>
      </c>
    </row>
    <row r="3617" customFormat="false" ht="51" hidden="false" customHeight="false" outlineLevel="0" collapsed="false">
      <c r="A3617" s="37" t="s">
        <v>6956</v>
      </c>
      <c r="B3617" s="34" t="s">
        <v>6957</v>
      </c>
      <c r="C3617" s="34" t="s">
        <v>437</v>
      </c>
    </row>
    <row r="3618" customFormat="false" ht="51" hidden="false" customHeight="false" outlineLevel="0" collapsed="false">
      <c r="A3618" s="37" t="s">
        <v>6958</v>
      </c>
      <c r="B3618" s="34" t="s">
        <v>6959</v>
      </c>
      <c r="C3618" s="34" t="s">
        <v>437</v>
      </c>
    </row>
    <row r="3619" customFormat="false" ht="51" hidden="false" customHeight="false" outlineLevel="0" collapsed="false">
      <c r="A3619" s="37" t="s">
        <v>6960</v>
      </c>
      <c r="B3619" s="34" t="s">
        <v>6961</v>
      </c>
      <c r="C3619" s="34" t="s">
        <v>437</v>
      </c>
    </row>
    <row r="3620" customFormat="false" ht="89.25" hidden="false" customHeight="false" outlineLevel="0" collapsed="false">
      <c r="A3620" s="37" t="s">
        <v>6962</v>
      </c>
      <c r="B3620" s="34" t="s">
        <v>6963</v>
      </c>
      <c r="C3620" s="34" t="s">
        <v>444</v>
      </c>
    </row>
    <row r="3621" customFormat="false" ht="89.25" hidden="false" customHeight="false" outlineLevel="0" collapsed="false">
      <c r="A3621" s="37" t="s">
        <v>6964</v>
      </c>
      <c r="B3621" s="34" t="s">
        <v>6965</v>
      </c>
      <c r="C3621" s="34" t="s">
        <v>444</v>
      </c>
    </row>
    <row r="3622" customFormat="false" ht="89.25" hidden="false" customHeight="false" outlineLevel="0" collapsed="false">
      <c r="A3622" s="37" t="s">
        <v>6966</v>
      </c>
      <c r="B3622" s="34" t="s">
        <v>6967</v>
      </c>
      <c r="C3622" s="34" t="s">
        <v>449</v>
      </c>
    </row>
    <row r="3623" customFormat="false" ht="89.25" hidden="false" customHeight="false" outlineLevel="0" collapsed="false">
      <c r="A3623" s="37" t="s">
        <v>6968</v>
      </c>
      <c r="B3623" s="34" t="s">
        <v>6969</v>
      </c>
      <c r="C3623" s="34" t="s">
        <v>449</v>
      </c>
    </row>
    <row r="3624" customFormat="false" ht="63.75" hidden="false" customHeight="false" outlineLevel="0" collapsed="false">
      <c r="A3624" s="37" t="s">
        <v>6970</v>
      </c>
      <c r="B3624" s="34" t="s">
        <v>6971</v>
      </c>
      <c r="C3624" s="34" t="s">
        <v>452</v>
      </c>
    </row>
    <row r="3625" customFormat="false" ht="76.5" hidden="false" customHeight="false" outlineLevel="0" collapsed="false">
      <c r="A3625" s="37" t="s">
        <v>6972</v>
      </c>
      <c r="B3625" s="34" t="s">
        <v>6973</v>
      </c>
      <c r="C3625" s="34" t="s">
        <v>2036</v>
      </c>
    </row>
    <row r="3626" customFormat="false" ht="38.25" hidden="false" customHeight="false" outlineLevel="0" collapsed="false">
      <c r="A3626" s="37" t="s">
        <v>6974</v>
      </c>
      <c r="B3626" s="34" t="s">
        <v>6975</v>
      </c>
      <c r="C3626" s="34" t="s">
        <v>965</v>
      </c>
    </row>
    <row r="3627" customFormat="false" ht="63.75" hidden="false" customHeight="false" outlineLevel="0" collapsed="false">
      <c r="A3627" s="37" t="s">
        <v>6976</v>
      </c>
      <c r="B3627" s="34" t="s">
        <v>6977</v>
      </c>
      <c r="C3627" s="34" t="s">
        <v>139</v>
      </c>
    </row>
    <row r="3628" customFormat="false" ht="63.75" hidden="false" customHeight="false" outlineLevel="0" collapsed="false">
      <c r="A3628" s="37" t="s">
        <v>6978</v>
      </c>
      <c r="B3628" s="34" t="s">
        <v>6979</v>
      </c>
      <c r="C3628" s="34" t="s">
        <v>139</v>
      </c>
    </row>
    <row r="3629" customFormat="false" ht="63.75" hidden="false" customHeight="false" outlineLevel="0" collapsed="false">
      <c r="A3629" s="37" t="s">
        <v>6980</v>
      </c>
      <c r="B3629" s="34" t="s">
        <v>6981</v>
      </c>
      <c r="C3629" s="34" t="s">
        <v>139</v>
      </c>
    </row>
    <row r="3630" customFormat="false" ht="38.25" hidden="false" customHeight="false" outlineLevel="0" collapsed="false">
      <c r="A3630" s="37" t="s">
        <v>6982</v>
      </c>
      <c r="B3630" s="34" t="s">
        <v>6983</v>
      </c>
      <c r="C3630" s="34" t="s">
        <v>463</v>
      </c>
    </row>
    <row r="3631" customFormat="false" ht="38.25" hidden="false" customHeight="false" outlineLevel="0" collapsed="false">
      <c r="A3631" s="37" t="s">
        <v>6984</v>
      </c>
      <c r="B3631" s="34" t="s">
        <v>6985</v>
      </c>
      <c r="C3631" s="34" t="s">
        <v>466</v>
      </c>
    </row>
    <row r="3632" customFormat="false" ht="38.25" hidden="false" customHeight="false" outlineLevel="0" collapsed="false">
      <c r="A3632" s="37" t="s">
        <v>6986</v>
      </c>
      <c r="B3632" s="34" t="s">
        <v>6987</v>
      </c>
      <c r="C3632" s="34" t="s">
        <v>469</v>
      </c>
    </row>
    <row r="3633" customFormat="false" ht="38.25" hidden="false" customHeight="false" outlineLevel="0" collapsed="false">
      <c r="A3633" s="37" t="s">
        <v>6988</v>
      </c>
      <c r="B3633" s="34" t="s">
        <v>6989</v>
      </c>
      <c r="C3633" s="34" t="s">
        <v>472</v>
      </c>
    </row>
    <row r="3634" customFormat="false" ht="38.25" hidden="false" customHeight="false" outlineLevel="0" collapsed="false">
      <c r="A3634" s="37" t="s">
        <v>6990</v>
      </c>
      <c r="B3634" s="34" t="s">
        <v>6991</v>
      </c>
      <c r="C3634" s="34" t="s">
        <v>475</v>
      </c>
    </row>
    <row r="3635" customFormat="false" ht="38.25" hidden="false" customHeight="false" outlineLevel="0" collapsed="false">
      <c r="A3635" s="37" t="s">
        <v>6992</v>
      </c>
      <c r="B3635" s="34" t="s">
        <v>6993</v>
      </c>
      <c r="C3635" s="34" t="s">
        <v>478</v>
      </c>
    </row>
    <row r="3636" customFormat="false" ht="38.25" hidden="false" customHeight="false" outlineLevel="0" collapsed="false">
      <c r="A3636" s="37" t="s">
        <v>6994</v>
      </c>
      <c r="B3636" s="34" t="s">
        <v>6995</v>
      </c>
      <c r="C3636" s="34" t="s">
        <v>481</v>
      </c>
    </row>
    <row r="3637" customFormat="false" ht="38.25" hidden="false" customHeight="false" outlineLevel="0" collapsed="false">
      <c r="A3637" s="37" t="s">
        <v>6996</v>
      </c>
      <c r="B3637" s="34" t="s">
        <v>6997</v>
      </c>
      <c r="C3637" s="34" t="s">
        <v>484</v>
      </c>
    </row>
    <row r="3638" customFormat="false" ht="38.25" hidden="false" customHeight="false" outlineLevel="0" collapsed="false">
      <c r="A3638" s="37" t="s">
        <v>6998</v>
      </c>
      <c r="B3638" s="34" t="s">
        <v>6999</v>
      </c>
      <c r="C3638" s="34" t="s">
        <v>487</v>
      </c>
    </row>
    <row r="3639" customFormat="false" ht="38.25" hidden="false" customHeight="false" outlineLevel="0" collapsed="false">
      <c r="A3639" s="37" t="s">
        <v>7000</v>
      </c>
      <c r="B3639" s="34" t="s">
        <v>7001</v>
      </c>
      <c r="C3639" s="34" t="s">
        <v>490</v>
      </c>
    </row>
    <row r="3640" customFormat="false" ht="38.25" hidden="false" customHeight="false" outlineLevel="0" collapsed="false">
      <c r="A3640" s="37" t="s">
        <v>7002</v>
      </c>
      <c r="B3640" s="34" t="s">
        <v>7003</v>
      </c>
      <c r="C3640" s="34" t="s">
        <v>493</v>
      </c>
    </row>
    <row r="3641" customFormat="false" ht="38.25" hidden="false" customHeight="false" outlineLevel="0" collapsed="false">
      <c r="A3641" s="37" t="s">
        <v>7004</v>
      </c>
      <c r="B3641" s="34" t="s">
        <v>7005</v>
      </c>
      <c r="C3641" s="34" t="s">
        <v>496</v>
      </c>
    </row>
    <row r="3642" customFormat="false" ht="38.25" hidden="false" customHeight="false" outlineLevel="0" collapsed="false">
      <c r="A3642" s="37" t="s">
        <v>7006</v>
      </c>
      <c r="B3642" s="34" t="s">
        <v>7007</v>
      </c>
      <c r="C3642" s="34" t="s">
        <v>499</v>
      </c>
    </row>
    <row r="3643" customFormat="false" ht="38.25" hidden="false" customHeight="false" outlineLevel="0" collapsed="false">
      <c r="A3643" s="37" t="s">
        <v>7008</v>
      </c>
      <c r="B3643" s="34" t="s">
        <v>7009</v>
      </c>
      <c r="C3643" s="34" t="s">
        <v>502</v>
      </c>
    </row>
    <row r="3644" customFormat="false" ht="38.25" hidden="false" customHeight="false" outlineLevel="0" collapsed="false">
      <c r="A3644" s="37" t="s">
        <v>7010</v>
      </c>
      <c r="B3644" s="34" t="s">
        <v>7011</v>
      </c>
      <c r="C3644" s="34" t="s">
        <v>505</v>
      </c>
    </row>
    <row r="3645" customFormat="false" ht="51" hidden="false" customHeight="false" outlineLevel="0" collapsed="false">
      <c r="A3645" s="37" t="s">
        <v>7012</v>
      </c>
      <c r="B3645" s="34" t="s">
        <v>7013</v>
      </c>
      <c r="C3645" s="34" t="s">
        <v>508</v>
      </c>
    </row>
    <row r="3646" customFormat="false" ht="51" hidden="false" customHeight="false" outlineLevel="0" collapsed="false">
      <c r="A3646" s="37" t="s">
        <v>7014</v>
      </c>
      <c r="B3646" s="34" t="s">
        <v>7015</v>
      </c>
      <c r="C3646" s="34" t="s">
        <v>511</v>
      </c>
    </row>
    <row r="3647" customFormat="false" ht="51" hidden="false" customHeight="false" outlineLevel="0" collapsed="false">
      <c r="A3647" s="37" t="s">
        <v>7016</v>
      </c>
      <c r="B3647" s="34" t="s">
        <v>7017</v>
      </c>
      <c r="C3647" s="34" t="s">
        <v>514</v>
      </c>
    </row>
    <row r="3648" customFormat="false" ht="51" hidden="false" customHeight="false" outlineLevel="0" collapsed="false">
      <c r="A3648" s="37" t="s">
        <v>7018</v>
      </c>
      <c r="B3648" s="34" t="s">
        <v>7019</v>
      </c>
      <c r="C3648" s="34" t="s">
        <v>517</v>
      </c>
    </row>
    <row r="3649" customFormat="false" ht="51" hidden="false" customHeight="false" outlineLevel="0" collapsed="false">
      <c r="A3649" s="37" t="s">
        <v>7020</v>
      </c>
      <c r="B3649" s="34" t="s">
        <v>7021</v>
      </c>
      <c r="C3649" s="34" t="s">
        <v>517</v>
      </c>
    </row>
    <row r="3650" customFormat="false" ht="51" hidden="false" customHeight="false" outlineLevel="0" collapsed="false">
      <c r="A3650" s="37" t="s">
        <v>7022</v>
      </c>
      <c r="B3650" s="34" t="s">
        <v>7023</v>
      </c>
      <c r="C3650" s="34" t="s">
        <v>517</v>
      </c>
    </row>
    <row r="3651" customFormat="false" ht="51" hidden="false" customHeight="false" outlineLevel="0" collapsed="false">
      <c r="A3651" s="37" t="s">
        <v>7024</v>
      </c>
      <c r="B3651" s="34" t="s">
        <v>7025</v>
      </c>
      <c r="C3651" s="34" t="s">
        <v>517</v>
      </c>
    </row>
    <row r="3652" customFormat="false" ht="51" hidden="false" customHeight="false" outlineLevel="0" collapsed="false">
      <c r="A3652" s="37" t="s">
        <v>7026</v>
      </c>
      <c r="B3652" s="34" t="s">
        <v>7027</v>
      </c>
      <c r="C3652" s="34" t="s">
        <v>511</v>
      </c>
    </row>
    <row r="3653" customFormat="false" ht="51" hidden="false" customHeight="false" outlineLevel="0" collapsed="false">
      <c r="A3653" s="37" t="s">
        <v>7028</v>
      </c>
      <c r="B3653" s="34" t="s">
        <v>7029</v>
      </c>
      <c r="C3653" s="34" t="s">
        <v>511</v>
      </c>
    </row>
    <row r="3654" customFormat="false" ht="51" hidden="false" customHeight="false" outlineLevel="0" collapsed="false">
      <c r="A3654" s="37" t="s">
        <v>7030</v>
      </c>
      <c r="B3654" s="34" t="s">
        <v>7031</v>
      </c>
      <c r="C3654" s="34" t="s">
        <v>511</v>
      </c>
    </row>
    <row r="3655" customFormat="false" ht="51" hidden="false" customHeight="false" outlineLevel="0" collapsed="false">
      <c r="A3655" s="37" t="s">
        <v>7032</v>
      </c>
      <c r="B3655" s="34" t="s">
        <v>7033</v>
      </c>
      <c r="C3655" s="34" t="s">
        <v>511</v>
      </c>
    </row>
    <row r="3656" customFormat="false" ht="51" hidden="false" customHeight="false" outlineLevel="0" collapsed="false">
      <c r="A3656" s="37" t="s">
        <v>7034</v>
      </c>
      <c r="B3656" s="34" t="s">
        <v>7035</v>
      </c>
      <c r="C3656" s="34" t="s">
        <v>511</v>
      </c>
    </row>
    <row r="3657" customFormat="false" ht="51" hidden="false" customHeight="false" outlineLevel="0" collapsed="false">
      <c r="A3657" s="37" t="s">
        <v>7036</v>
      </c>
      <c r="B3657" s="34" t="s">
        <v>7037</v>
      </c>
      <c r="C3657" s="34" t="s">
        <v>511</v>
      </c>
    </row>
    <row r="3658" customFormat="false" ht="51" hidden="false" customHeight="false" outlineLevel="0" collapsed="false">
      <c r="A3658" s="37" t="s">
        <v>7038</v>
      </c>
      <c r="B3658" s="34" t="s">
        <v>7039</v>
      </c>
      <c r="C3658" s="34" t="s">
        <v>511</v>
      </c>
    </row>
    <row r="3659" customFormat="false" ht="51" hidden="false" customHeight="false" outlineLevel="0" collapsed="false">
      <c r="A3659" s="37" t="s">
        <v>7040</v>
      </c>
      <c r="B3659" s="34" t="s">
        <v>7041</v>
      </c>
      <c r="C3659" s="34" t="s">
        <v>511</v>
      </c>
    </row>
    <row r="3660" customFormat="false" ht="51" hidden="false" customHeight="false" outlineLevel="0" collapsed="false">
      <c r="A3660" s="37" t="s">
        <v>7042</v>
      </c>
      <c r="B3660" s="34" t="s">
        <v>7043</v>
      </c>
      <c r="C3660" s="34" t="s">
        <v>511</v>
      </c>
    </row>
    <row r="3661" customFormat="false" ht="51" hidden="false" customHeight="false" outlineLevel="0" collapsed="false">
      <c r="A3661" s="37" t="s">
        <v>7044</v>
      </c>
      <c r="B3661" s="34" t="s">
        <v>7045</v>
      </c>
      <c r="C3661" s="34" t="s">
        <v>511</v>
      </c>
    </row>
    <row r="3662" customFormat="false" ht="51" hidden="false" customHeight="false" outlineLevel="0" collapsed="false">
      <c r="A3662" s="37" t="s">
        <v>7046</v>
      </c>
      <c r="B3662" s="34" t="s">
        <v>7047</v>
      </c>
      <c r="C3662" s="34" t="s">
        <v>546</v>
      </c>
    </row>
    <row r="3663" customFormat="false" ht="51" hidden="false" customHeight="false" outlineLevel="0" collapsed="false">
      <c r="A3663" s="37" t="s">
        <v>7048</v>
      </c>
      <c r="B3663" s="34" t="s">
        <v>7049</v>
      </c>
      <c r="C3663" s="34" t="s">
        <v>546</v>
      </c>
    </row>
    <row r="3664" customFormat="false" ht="51" hidden="false" customHeight="false" outlineLevel="0" collapsed="false">
      <c r="A3664" s="37" t="s">
        <v>7050</v>
      </c>
      <c r="B3664" s="34" t="s">
        <v>7051</v>
      </c>
      <c r="C3664" s="34" t="s">
        <v>546</v>
      </c>
    </row>
    <row r="3665" customFormat="false" ht="51" hidden="false" customHeight="false" outlineLevel="0" collapsed="false">
      <c r="A3665" s="37" t="s">
        <v>7052</v>
      </c>
      <c r="B3665" s="34" t="s">
        <v>7053</v>
      </c>
      <c r="C3665" s="34" t="s">
        <v>546</v>
      </c>
    </row>
    <row r="3666" customFormat="false" ht="51" hidden="false" customHeight="false" outlineLevel="0" collapsed="false">
      <c r="A3666" s="37" t="s">
        <v>7054</v>
      </c>
      <c r="B3666" s="34" t="s">
        <v>7055</v>
      </c>
      <c r="C3666" s="34" t="s">
        <v>546</v>
      </c>
    </row>
    <row r="3667" customFormat="false" ht="51" hidden="false" customHeight="false" outlineLevel="0" collapsed="false">
      <c r="A3667" s="37" t="s">
        <v>7056</v>
      </c>
      <c r="B3667" s="34" t="s">
        <v>7057</v>
      </c>
      <c r="C3667" s="34" t="s">
        <v>546</v>
      </c>
    </row>
    <row r="3668" customFormat="false" ht="51" hidden="false" customHeight="false" outlineLevel="0" collapsed="false">
      <c r="A3668" s="37" t="s">
        <v>7058</v>
      </c>
      <c r="B3668" s="34" t="s">
        <v>7059</v>
      </c>
      <c r="C3668" s="34" t="s">
        <v>546</v>
      </c>
    </row>
    <row r="3669" customFormat="false" ht="63.75" hidden="false" customHeight="false" outlineLevel="0" collapsed="false">
      <c r="A3669" s="37" t="s">
        <v>7060</v>
      </c>
      <c r="B3669" s="34" t="s">
        <v>7061</v>
      </c>
      <c r="C3669" s="34" t="s">
        <v>561</v>
      </c>
    </row>
    <row r="3670" customFormat="false" ht="63.75" hidden="false" customHeight="false" outlineLevel="0" collapsed="false">
      <c r="A3670" s="37" t="s">
        <v>7062</v>
      </c>
      <c r="B3670" s="34" t="s">
        <v>7063</v>
      </c>
      <c r="C3670" s="34" t="s">
        <v>561</v>
      </c>
    </row>
    <row r="3671" customFormat="false" ht="89.25" hidden="false" customHeight="false" outlineLevel="0" collapsed="false">
      <c r="A3671" s="37" t="s">
        <v>7064</v>
      </c>
      <c r="B3671" s="34" t="s">
        <v>7065</v>
      </c>
      <c r="C3671" s="34" t="s">
        <v>566</v>
      </c>
    </row>
    <row r="3672" customFormat="false" ht="63.75" hidden="false" customHeight="false" outlineLevel="0" collapsed="false">
      <c r="A3672" s="37" t="s">
        <v>7066</v>
      </c>
      <c r="B3672" s="34" t="s">
        <v>7067</v>
      </c>
      <c r="C3672" s="34" t="s">
        <v>561</v>
      </c>
    </row>
    <row r="3673" customFormat="false" ht="63.75" hidden="false" customHeight="false" outlineLevel="0" collapsed="false">
      <c r="A3673" s="37" t="s">
        <v>7068</v>
      </c>
      <c r="B3673" s="34" t="s">
        <v>7069</v>
      </c>
      <c r="C3673" s="34" t="s">
        <v>571</v>
      </c>
    </row>
    <row r="3674" customFormat="false" ht="89.25" hidden="false" customHeight="false" outlineLevel="0" collapsed="false">
      <c r="A3674" s="37" t="s">
        <v>7070</v>
      </c>
      <c r="B3674" s="34" t="s">
        <v>7071</v>
      </c>
      <c r="C3674" s="34" t="s">
        <v>574</v>
      </c>
    </row>
    <row r="3675" customFormat="false" ht="89.25" hidden="false" customHeight="false" outlineLevel="0" collapsed="false">
      <c r="A3675" s="37" t="s">
        <v>7072</v>
      </c>
      <c r="B3675" s="34" t="s">
        <v>7073</v>
      </c>
      <c r="C3675" s="34" t="s">
        <v>574</v>
      </c>
    </row>
    <row r="3676" customFormat="false" ht="89.25" hidden="false" customHeight="false" outlineLevel="0" collapsed="false">
      <c r="A3676" s="37" t="s">
        <v>7074</v>
      </c>
      <c r="B3676" s="34" t="s">
        <v>7075</v>
      </c>
      <c r="C3676" s="34" t="s">
        <v>574</v>
      </c>
    </row>
    <row r="3677" customFormat="false" ht="89.25" hidden="false" customHeight="false" outlineLevel="0" collapsed="false">
      <c r="A3677" s="37" t="s">
        <v>7076</v>
      </c>
      <c r="B3677" s="34" t="s">
        <v>7077</v>
      </c>
      <c r="C3677" s="34" t="s">
        <v>574</v>
      </c>
    </row>
    <row r="3678" customFormat="false" ht="89.25" hidden="false" customHeight="false" outlineLevel="0" collapsed="false">
      <c r="A3678" s="37" t="s">
        <v>7078</v>
      </c>
      <c r="B3678" s="34" t="s">
        <v>7079</v>
      </c>
      <c r="C3678" s="34" t="s">
        <v>574</v>
      </c>
    </row>
    <row r="3679" customFormat="false" ht="63.75" hidden="false" customHeight="false" outlineLevel="0" collapsed="false">
      <c r="A3679" s="37" t="s">
        <v>7080</v>
      </c>
      <c r="B3679" s="34" t="s">
        <v>7081</v>
      </c>
      <c r="C3679" s="34" t="s">
        <v>585</v>
      </c>
    </row>
    <row r="3680" customFormat="false" ht="63.75" hidden="false" customHeight="false" outlineLevel="0" collapsed="false">
      <c r="A3680" s="37" t="s">
        <v>7082</v>
      </c>
      <c r="B3680" s="34" t="s">
        <v>7083</v>
      </c>
      <c r="C3680" s="34" t="s">
        <v>588</v>
      </c>
    </row>
    <row r="3681" customFormat="false" ht="51" hidden="false" customHeight="false" outlineLevel="0" collapsed="false">
      <c r="A3681" s="37" t="s">
        <v>7084</v>
      </c>
      <c r="B3681" s="34" t="s">
        <v>7085</v>
      </c>
      <c r="C3681" s="34" t="s">
        <v>546</v>
      </c>
    </row>
    <row r="3682" customFormat="false" ht="51" hidden="false" customHeight="false" outlineLevel="0" collapsed="false">
      <c r="A3682" s="37" t="s">
        <v>7086</v>
      </c>
      <c r="B3682" s="34" t="s">
        <v>7087</v>
      </c>
      <c r="C3682" s="34" t="s">
        <v>546</v>
      </c>
    </row>
    <row r="3683" customFormat="false" ht="51" hidden="false" customHeight="false" outlineLevel="0" collapsed="false">
      <c r="A3683" s="37" t="s">
        <v>7088</v>
      </c>
      <c r="B3683" s="34" t="s">
        <v>7089</v>
      </c>
      <c r="C3683" s="34" t="s">
        <v>546</v>
      </c>
    </row>
    <row r="3684" customFormat="false" ht="51" hidden="false" customHeight="false" outlineLevel="0" collapsed="false">
      <c r="A3684" s="37" t="s">
        <v>7090</v>
      </c>
      <c r="B3684" s="34" t="s">
        <v>7091</v>
      </c>
      <c r="C3684" s="34" t="s">
        <v>546</v>
      </c>
    </row>
    <row r="3685" customFormat="false" ht="51" hidden="false" customHeight="false" outlineLevel="0" collapsed="false">
      <c r="A3685" s="37" t="s">
        <v>7092</v>
      </c>
      <c r="B3685" s="34" t="s">
        <v>7093</v>
      </c>
      <c r="C3685" s="34" t="s">
        <v>546</v>
      </c>
    </row>
    <row r="3686" customFormat="false" ht="51" hidden="false" customHeight="false" outlineLevel="0" collapsed="false">
      <c r="A3686" s="37" t="s">
        <v>7094</v>
      </c>
      <c r="B3686" s="34" t="s">
        <v>7095</v>
      </c>
      <c r="C3686" s="34" t="s">
        <v>546</v>
      </c>
    </row>
    <row r="3687" customFormat="false" ht="51" hidden="false" customHeight="false" outlineLevel="0" collapsed="false">
      <c r="A3687" s="37" t="s">
        <v>7096</v>
      </c>
      <c r="B3687" s="34" t="s">
        <v>7097</v>
      </c>
      <c r="C3687" s="34" t="s">
        <v>546</v>
      </c>
    </row>
    <row r="3688" customFormat="false" ht="51" hidden="false" customHeight="false" outlineLevel="0" collapsed="false">
      <c r="A3688" s="37" t="s">
        <v>7098</v>
      </c>
      <c r="B3688" s="34" t="s">
        <v>7099</v>
      </c>
      <c r="C3688" s="34" t="s">
        <v>546</v>
      </c>
    </row>
    <row r="3689" customFormat="false" ht="51" hidden="false" customHeight="false" outlineLevel="0" collapsed="false">
      <c r="A3689" s="37" t="s">
        <v>7100</v>
      </c>
      <c r="B3689" s="34" t="s">
        <v>7101</v>
      </c>
      <c r="C3689" s="34" t="s">
        <v>546</v>
      </c>
    </row>
    <row r="3690" customFormat="false" ht="51" hidden="false" customHeight="false" outlineLevel="0" collapsed="false">
      <c r="A3690" s="37" t="s">
        <v>7102</v>
      </c>
      <c r="B3690" s="34" t="s">
        <v>7103</v>
      </c>
      <c r="C3690" s="34" t="s">
        <v>546</v>
      </c>
    </row>
    <row r="3691" customFormat="false" ht="51" hidden="false" customHeight="false" outlineLevel="0" collapsed="false">
      <c r="A3691" s="37" t="s">
        <v>7104</v>
      </c>
      <c r="B3691" s="34" t="s">
        <v>7105</v>
      </c>
      <c r="C3691" s="34" t="s">
        <v>546</v>
      </c>
    </row>
    <row r="3692" customFormat="false" ht="38.25" hidden="false" customHeight="false" outlineLevel="0" collapsed="false">
      <c r="A3692" s="37" t="s">
        <v>7106</v>
      </c>
      <c r="B3692" s="34" t="s">
        <v>7107</v>
      </c>
      <c r="C3692" s="34" t="s">
        <v>613</v>
      </c>
    </row>
    <row r="3693" customFormat="false" ht="51" hidden="false" customHeight="false" outlineLevel="0" collapsed="false">
      <c r="A3693" s="37" t="s">
        <v>7108</v>
      </c>
      <c r="B3693" s="34" t="s">
        <v>7109</v>
      </c>
      <c r="C3693" s="34" t="s">
        <v>546</v>
      </c>
    </row>
    <row r="3694" customFormat="false" ht="51" hidden="false" customHeight="false" outlineLevel="0" collapsed="false">
      <c r="A3694" s="37" t="s">
        <v>7110</v>
      </c>
      <c r="B3694" s="34" t="s">
        <v>7111</v>
      </c>
      <c r="C3694" s="34" t="s">
        <v>546</v>
      </c>
    </row>
    <row r="3695" customFormat="false" ht="51" hidden="false" customHeight="false" outlineLevel="0" collapsed="false">
      <c r="A3695" s="37" t="s">
        <v>7112</v>
      </c>
      <c r="B3695" s="34" t="s">
        <v>7113</v>
      </c>
      <c r="C3695" s="34" t="s">
        <v>546</v>
      </c>
    </row>
    <row r="3696" customFormat="false" ht="51" hidden="false" customHeight="false" outlineLevel="0" collapsed="false">
      <c r="A3696" s="37" t="s">
        <v>7114</v>
      </c>
      <c r="B3696" s="34" t="s">
        <v>7115</v>
      </c>
      <c r="C3696" s="34" t="s">
        <v>546</v>
      </c>
    </row>
    <row r="3697" customFormat="false" ht="51" hidden="false" customHeight="false" outlineLevel="0" collapsed="false">
      <c r="A3697" s="37" t="s">
        <v>7116</v>
      </c>
      <c r="B3697" s="34" t="s">
        <v>7117</v>
      </c>
      <c r="C3697" s="34" t="s">
        <v>546</v>
      </c>
    </row>
    <row r="3698" customFormat="false" ht="38.25" hidden="false" customHeight="false" outlineLevel="0" collapsed="false">
      <c r="A3698" s="37" t="s">
        <v>7118</v>
      </c>
      <c r="B3698" s="34" t="s">
        <v>7119</v>
      </c>
      <c r="C3698" s="34" t="s">
        <v>613</v>
      </c>
    </row>
    <row r="3699" customFormat="false" ht="51" hidden="false" customHeight="false" outlineLevel="0" collapsed="false">
      <c r="A3699" s="37" t="s">
        <v>7120</v>
      </c>
      <c r="B3699" s="34" t="s">
        <v>7121</v>
      </c>
      <c r="C3699" s="34" t="s">
        <v>546</v>
      </c>
    </row>
    <row r="3700" customFormat="false" ht="51" hidden="false" customHeight="false" outlineLevel="0" collapsed="false">
      <c r="A3700" s="37" t="s">
        <v>7122</v>
      </c>
      <c r="B3700" s="34" t="s">
        <v>7123</v>
      </c>
      <c r="C3700" s="34" t="s">
        <v>546</v>
      </c>
    </row>
    <row r="3701" customFormat="false" ht="51" hidden="false" customHeight="false" outlineLevel="0" collapsed="false">
      <c r="A3701" s="37" t="s">
        <v>7124</v>
      </c>
      <c r="B3701" s="34" t="s">
        <v>7125</v>
      </c>
      <c r="C3701" s="34" t="s">
        <v>546</v>
      </c>
    </row>
    <row r="3702" customFormat="false" ht="25.5" hidden="false" customHeight="false" outlineLevel="0" collapsed="false">
      <c r="A3702" s="37" t="s">
        <v>7126</v>
      </c>
      <c r="B3702" s="34" t="s">
        <v>7127</v>
      </c>
      <c r="C3702" s="34" t="s">
        <v>634</v>
      </c>
    </row>
    <row r="3703" customFormat="false" ht="25.5" hidden="false" customHeight="false" outlineLevel="0" collapsed="false">
      <c r="A3703" s="37" t="s">
        <v>7128</v>
      </c>
      <c r="B3703" s="34" t="s">
        <v>7129</v>
      </c>
      <c r="C3703" s="34" t="s">
        <v>637</v>
      </c>
    </row>
    <row r="3704" customFormat="false" ht="51" hidden="false" customHeight="false" outlineLevel="0" collapsed="false">
      <c r="A3704" s="37" t="s">
        <v>7130</v>
      </c>
      <c r="B3704" s="34" t="s">
        <v>7131</v>
      </c>
      <c r="C3704" s="34" t="s">
        <v>546</v>
      </c>
    </row>
    <row r="3705" customFormat="false" ht="51" hidden="false" customHeight="false" outlineLevel="0" collapsed="false">
      <c r="A3705" s="37" t="s">
        <v>7132</v>
      </c>
      <c r="B3705" s="34" t="s">
        <v>7133</v>
      </c>
      <c r="C3705" s="34" t="s">
        <v>546</v>
      </c>
    </row>
    <row r="3706" customFormat="false" ht="51" hidden="false" customHeight="false" outlineLevel="0" collapsed="false">
      <c r="A3706" s="37" t="s">
        <v>7134</v>
      </c>
      <c r="B3706" s="34" t="s">
        <v>7135</v>
      </c>
      <c r="C3706" s="34" t="s">
        <v>546</v>
      </c>
    </row>
    <row r="3707" customFormat="false" ht="63.75" hidden="false" customHeight="false" outlineLevel="0" collapsed="false">
      <c r="A3707" s="37" t="s">
        <v>7136</v>
      </c>
      <c r="B3707" s="34" t="s">
        <v>7137</v>
      </c>
      <c r="C3707" s="34" t="s">
        <v>139</v>
      </c>
    </row>
    <row r="3708" customFormat="false" ht="63.75" hidden="false" customHeight="false" outlineLevel="0" collapsed="false">
      <c r="A3708" s="37" t="s">
        <v>7138</v>
      </c>
      <c r="B3708" s="34" t="s">
        <v>7139</v>
      </c>
      <c r="C3708" s="34" t="s">
        <v>139</v>
      </c>
    </row>
    <row r="3709" customFormat="false" ht="63.75" hidden="false" customHeight="false" outlineLevel="0" collapsed="false">
      <c r="A3709" s="37" t="s">
        <v>7140</v>
      </c>
      <c r="B3709" s="34" t="s">
        <v>7141</v>
      </c>
      <c r="C3709" s="34" t="s">
        <v>139</v>
      </c>
    </row>
    <row r="3710" customFormat="false" ht="63.75" hidden="false" customHeight="false" outlineLevel="0" collapsed="false">
      <c r="A3710" s="37" t="s">
        <v>7142</v>
      </c>
      <c r="B3710" s="34" t="s">
        <v>7143</v>
      </c>
      <c r="C3710" s="34" t="s">
        <v>139</v>
      </c>
    </row>
    <row r="3711" customFormat="false" ht="63.75" hidden="false" customHeight="false" outlineLevel="0" collapsed="false">
      <c r="A3711" s="37" t="s">
        <v>7144</v>
      </c>
      <c r="B3711" s="34" t="s">
        <v>7145</v>
      </c>
      <c r="C3711" s="34" t="s">
        <v>139</v>
      </c>
    </row>
    <row r="3712" customFormat="false" ht="63.75" hidden="false" customHeight="false" outlineLevel="0" collapsed="false">
      <c r="A3712" s="37" t="s">
        <v>7146</v>
      </c>
      <c r="B3712" s="34" t="s">
        <v>7147</v>
      </c>
      <c r="C3712" s="34" t="s">
        <v>139</v>
      </c>
    </row>
    <row r="3713" customFormat="false" ht="63.75" hidden="false" customHeight="false" outlineLevel="0" collapsed="false">
      <c r="A3713" s="37" t="s">
        <v>7148</v>
      </c>
      <c r="B3713" s="34" t="s">
        <v>7149</v>
      </c>
      <c r="C3713" s="34" t="s">
        <v>139</v>
      </c>
    </row>
    <row r="3714" customFormat="false" ht="63.75" hidden="false" customHeight="false" outlineLevel="0" collapsed="false">
      <c r="A3714" s="37" t="s">
        <v>7150</v>
      </c>
      <c r="B3714" s="34" t="s">
        <v>7151</v>
      </c>
      <c r="C3714" s="34" t="s">
        <v>139</v>
      </c>
    </row>
    <row r="3715" customFormat="false" ht="102" hidden="false" customHeight="false" outlineLevel="0" collapsed="false">
      <c r="A3715" s="37" t="s">
        <v>7152</v>
      </c>
      <c r="B3715" s="34" t="s">
        <v>7153</v>
      </c>
      <c r="C3715" s="34" t="s">
        <v>2216</v>
      </c>
    </row>
    <row r="3716" customFormat="false" ht="102" hidden="false" customHeight="false" outlineLevel="0" collapsed="false">
      <c r="A3716" s="37" t="s">
        <v>7154</v>
      </c>
      <c r="B3716" s="34" t="s">
        <v>7155</v>
      </c>
      <c r="C3716" s="34" t="s">
        <v>2216</v>
      </c>
    </row>
    <row r="3717" customFormat="false" ht="89.25" hidden="false" customHeight="false" outlineLevel="0" collapsed="false">
      <c r="A3717" s="37" t="s">
        <v>7156</v>
      </c>
      <c r="B3717" s="34" t="s">
        <v>7157</v>
      </c>
      <c r="C3717" s="34" t="s">
        <v>1450</v>
      </c>
    </row>
    <row r="3718" customFormat="false" ht="76.5" hidden="false" customHeight="false" outlineLevel="0" collapsed="false">
      <c r="A3718" s="37" t="s">
        <v>7158</v>
      </c>
      <c r="B3718" s="34" t="s">
        <v>7159</v>
      </c>
      <c r="C3718" s="34" t="s">
        <v>2222</v>
      </c>
    </row>
    <row r="3719" customFormat="false" ht="63.75" hidden="false" customHeight="false" outlineLevel="0" collapsed="false">
      <c r="A3719" s="37" t="s">
        <v>7160</v>
      </c>
      <c r="B3719" s="34" t="s">
        <v>7161</v>
      </c>
      <c r="C3719" s="34" t="s">
        <v>139</v>
      </c>
    </row>
    <row r="3720" customFormat="false" ht="63.75" hidden="false" customHeight="false" outlineLevel="0" collapsed="false">
      <c r="A3720" s="37" t="s">
        <v>7162</v>
      </c>
      <c r="B3720" s="34" t="s">
        <v>7163</v>
      </c>
      <c r="C3720" s="34" t="s">
        <v>139</v>
      </c>
    </row>
    <row r="3721" customFormat="false" ht="63.75" hidden="false" customHeight="false" outlineLevel="0" collapsed="false">
      <c r="A3721" s="37" t="s">
        <v>7164</v>
      </c>
      <c r="B3721" s="34" t="s">
        <v>7165</v>
      </c>
      <c r="C3721" s="34" t="s">
        <v>139</v>
      </c>
    </row>
    <row r="3722" customFormat="false" ht="102" hidden="false" customHeight="false" outlineLevel="0" collapsed="false">
      <c r="A3722" s="37" t="s">
        <v>7166</v>
      </c>
      <c r="B3722" s="34" t="s">
        <v>7167</v>
      </c>
      <c r="C3722" s="34" t="s">
        <v>97</v>
      </c>
    </row>
    <row r="3723" customFormat="false" ht="102" hidden="false" customHeight="false" outlineLevel="0" collapsed="false">
      <c r="A3723" s="37" t="s">
        <v>7168</v>
      </c>
      <c r="B3723" s="34" t="s">
        <v>7169</v>
      </c>
      <c r="C3723" s="34" t="s">
        <v>97</v>
      </c>
    </row>
    <row r="3724" customFormat="false" ht="102" hidden="false" customHeight="false" outlineLevel="0" collapsed="false">
      <c r="A3724" s="37" t="s">
        <v>7170</v>
      </c>
      <c r="B3724" s="34" t="s">
        <v>7171</v>
      </c>
      <c r="C3724" s="34" t="s">
        <v>887</v>
      </c>
    </row>
    <row r="3725" customFormat="false" ht="114.75" hidden="false" customHeight="false" outlineLevel="0" collapsed="false">
      <c r="A3725" s="37" t="s">
        <v>7172</v>
      </c>
      <c r="B3725" s="34" t="s">
        <v>7173</v>
      </c>
      <c r="C3725" s="34" t="s">
        <v>849</v>
      </c>
    </row>
    <row r="3726" customFormat="false" ht="89.25" hidden="false" customHeight="false" outlineLevel="0" collapsed="false">
      <c r="A3726" s="37" t="s">
        <v>7174</v>
      </c>
      <c r="B3726" s="34" t="s">
        <v>7175</v>
      </c>
      <c r="C3726" s="34" t="s">
        <v>891</v>
      </c>
    </row>
    <row r="3727" customFormat="false" ht="114.75" hidden="false" customHeight="false" outlineLevel="0" collapsed="false">
      <c r="A3727" s="37" t="s">
        <v>7176</v>
      </c>
      <c r="B3727" s="34" t="s">
        <v>7177</v>
      </c>
      <c r="C3727" s="34" t="s">
        <v>849</v>
      </c>
    </row>
    <row r="3728" customFormat="false" ht="114.75" hidden="false" customHeight="false" outlineLevel="0" collapsed="false">
      <c r="A3728" s="37" t="s">
        <v>7176</v>
      </c>
      <c r="B3728" s="34" t="s">
        <v>7177</v>
      </c>
      <c r="C3728" s="34" t="s">
        <v>2241</v>
      </c>
    </row>
    <row r="3729" customFormat="false" ht="76.5" hidden="false" customHeight="false" outlineLevel="0" collapsed="false">
      <c r="A3729" s="37" t="s">
        <v>7178</v>
      </c>
      <c r="B3729" s="34" t="s">
        <v>7179</v>
      </c>
      <c r="C3729" s="34" t="s">
        <v>108</v>
      </c>
    </row>
    <row r="3730" customFormat="false" ht="89.25" hidden="false" customHeight="false" outlineLevel="0" collapsed="false">
      <c r="A3730" s="37" t="s">
        <v>7180</v>
      </c>
      <c r="B3730" s="34" t="s">
        <v>7181</v>
      </c>
      <c r="C3730" s="34" t="s">
        <v>871</v>
      </c>
    </row>
    <row r="3731" customFormat="false" ht="102" hidden="false" customHeight="false" outlineLevel="0" collapsed="false">
      <c r="A3731" s="37" t="s">
        <v>7182</v>
      </c>
      <c r="B3731" s="34" t="s">
        <v>7183</v>
      </c>
      <c r="C3731" s="34" t="s">
        <v>783</v>
      </c>
    </row>
    <row r="3732" customFormat="false" ht="89.25" hidden="false" customHeight="false" outlineLevel="0" collapsed="false">
      <c r="A3732" s="37" t="s">
        <v>7184</v>
      </c>
      <c r="B3732" s="34" t="s">
        <v>7185</v>
      </c>
      <c r="C3732" s="34" t="s">
        <v>858</v>
      </c>
    </row>
    <row r="3733" customFormat="false" ht="89.25" hidden="false" customHeight="false" outlineLevel="0" collapsed="false">
      <c r="A3733" s="37" t="s">
        <v>7186</v>
      </c>
      <c r="B3733" s="34" t="s">
        <v>7187</v>
      </c>
      <c r="C3733" s="34" t="s">
        <v>902</v>
      </c>
    </row>
    <row r="3734" customFormat="false" ht="89.25" hidden="false" customHeight="false" outlineLevel="0" collapsed="false">
      <c r="A3734" s="37" t="s">
        <v>7188</v>
      </c>
      <c r="B3734" s="34" t="s">
        <v>7189</v>
      </c>
      <c r="C3734" s="34" t="s">
        <v>902</v>
      </c>
    </row>
    <row r="3735" customFormat="false" ht="89.25" hidden="false" customHeight="false" outlineLevel="0" collapsed="false">
      <c r="A3735" s="37" t="s">
        <v>7190</v>
      </c>
      <c r="B3735" s="34" t="s">
        <v>7191</v>
      </c>
      <c r="C3735" s="34" t="s">
        <v>122</v>
      </c>
    </row>
    <row r="3736" customFormat="false" ht="89.25" hidden="false" customHeight="false" outlineLevel="0" collapsed="false">
      <c r="A3736" s="37" t="s">
        <v>7192</v>
      </c>
      <c r="B3736" s="34" t="s">
        <v>7193</v>
      </c>
      <c r="C3736" s="34" t="s">
        <v>874</v>
      </c>
    </row>
    <row r="3737" customFormat="false" ht="89.25" hidden="false" customHeight="false" outlineLevel="0" collapsed="false">
      <c r="A3737" s="37" t="s">
        <v>7194</v>
      </c>
      <c r="B3737" s="34" t="s">
        <v>7195</v>
      </c>
      <c r="C3737" s="34" t="s">
        <v>874</v>
      </c>
    </row>
    <row r="3738" customFormat="false" ht="89.25" hidden="false" customHeight="false" outlineLevel="0" collapsed="false">
      <c r="A3738" s="37" t="s">
        <v>7196</v>
      </c>
      <c r="B3738" s="34" t="s">
        <v>7197</v>
      </c>
      <c r="C3738" s="34" t="s">
        <v>874</v>
      </c>
    </row>
    <row r="3739" customFormat="false" ht="89.25" hidden="false" customHeight="false" outlineLevel="0" collapsed="false">
      <c r="A3739" s="37" t="s">
        <v>7198</v>
      </c>
      <c r="B3739" s="34" t="s">
        <v>7199</v>
      </c>
      <c r="C3739" s="34" t="s">
        <v>874</v>
      </c>
    </row>
    <row r="3740" customFormat="false" ht="102" hidden="false" customHeight="false" outlineLevel="0" collapsed="false">
      <c r="A3740" s="37" t="s">
        <v>7200</v>
      </c>
      <c r="B3740" s="34" t="s">
        <v>7201</v>
      </c>
      <c r="C3740" s="34" t="s">
        <v>883</v>
      </c>
    </row>
    <row r="3741" customFormat="false" ht="63.75" hidden="false" customHeight="false" outlineLevel="0" collapsed="false">
      <c r="A3741" s="37" t="s">
        <v>7202</v>
      </c>
      <c r="B3741" s="34" t="s">
        <v>7203</v>
      </c>
      <c r="C3741" s="34" t="s">
        <v>1033</v>
      </c>
    </row>
    <row r="3742" customFormat="false" ht="38.25" hidden="false" customHeight="false" outlineLevel="0" collapsed="false">
      <c r="A3742" s="37" t="s">
        <v>7204</v>
      </c>
      <c r="B3742" s="34" t="s">
        <v>7205</v>
      </c>
      <c r="C3742" s="34" t="s">
        <v>687</v>
      </c>
    </row>
    <row r="3743" customFormat="false" ht="51" hidden="false" customHeight="false" outlineLevel="0" collapsed="false">
      <c r="A3743" s="37" t="s">
        <v>7206</v>
      </c>
      <c r="B3743" s="34" t="s">
        <v>7207</v>
      </c>
      <c r="C3743" s="34" t="s">
        <v>1038</v>
      </c>
    </row>
    <row r="3744" customFormat="false" ht="38.25" hidden="false" customHeight="false" outlineLevel="0" collapsed="false">
      <c r="A3744" s="37" t="s">
        <v>7208</v>
      </c>
      <c r="B3744" s="34" t="s">
        <v>7209</v>
      </c>
      <c r="C3744" s="34" t="s">
        <v>1041</v>
      </c>
    </row>
    <row r="3745" customFormat="false" ht="51" hidden="false" customHeight="false" outlineLevel="0" collapsed="false">
      <c r="A3745" s="37" t="s">
        <v>7210</v>
      </c>
      <c r="B3745" s="34" t="s">
        <v>7211</v>
      </c>
      <c r="C3745" s="34" t="s">
        <v>696</v>
      </c>
    </row>
    <row r="3746" customFormat="false" ht="51" hidden="false" customHeight="false" outlineLevel="0" collapsed="false">
      <c r="A3746" s="37" t="s">
        <v>7212</v>
      </c>
      <c r="B3746" s="34" t="s">
        <v>7213</v>
      </c>
      <c r="C3746" s="34" t="s">
        <v>1050</v>
      </c>
    </row>
    <row r="3747" customFormat="false" ht="89.25" hidden="false" customHeight="false" outlineLevel="0" collapsed="false">
      <c r="A3747" s="37" t="s">
        <v>7214</v>
      </c>
      <c r="B3747" s="34" t="s">
        <v>7215</v>
      </c>
      <c r="C3747" s="34" t="s">
        <v>702</v>
      </c>
    </row>
    <row r="3748" customFormat="false" ht="89.25" hidden="false" customHeight="false" outlineLevel="0" collapsed="false">
      <c r="A3748" s="37" t="s">
        <v>7216</v>
      </c>
      <c r="B3748" s="34" t="s">
        <v>7217</v>
      </c>
      <c r="C3748" s="34" t="s">
        <v>702</v>
      </c>
    </row>
    <row r="3749" customFormat="false" ht="38.25" hidden="false" customHeight="false" outlineLevel="0" collapsed="false">
      <c r="A3749" s="37" t="s">
        <v>7218</v>
      </c>
      <c r="B3749" s="34" t="s">
        <v>7219</v>
      </c>
      <c r="C3749" s="34" t="s">
        <v>707</v>
      </c>
    </row>
    <row r="3750" customFormat="false" ht="89.25" hidden="false" customHeight="false" outlineLevel="0" collapsed="false">
      <c r="A3750" s="37" t="s">
        <v>7220</v>
      </c>
      <c r="B3750" s="34" t="s">
        <v>7221</v>
      </c>
      <c r="C3750" s="34" t="s">
        <v>1447</v>
      </c>
    </row>
    <row r="3751" customFormat="false" ht="89.25" hidden="false" customHeight="false" outlineLevel="0" collapsed="false">
      <c r="A3751" s="37" t="s">
        <v>7222</v>
      </c>
      <c r="B3751" s="34" t="s">
        <v>7223</v>
      </c>
      <c r="C3751" s="34" t="s">
        <v>1450</v>
      </c>
    </row>
    <row r="3752" customFormat="false" ht="102" hidden="false" customHeight="false" outlineLevel="0" collapsed="false">
      <c r="A3752" s="37" t="s">
        <v>7224</v>
      </c>
      <c r="B3752" s="34" t="s">
        <v>7225</v>
      </c>
      <c r="C3752" s="34" t="s">
        <v>1453</v>
      </c>
    </row>
    <row r="3753" customFormat="false" ht="76.5" hidden="false" customHeight="false" outlineLevel="0" collapsed="false">
      <c r="A3753" s="37" t="s">
        <v>7226</v>
      </c>
      <c r="B3753" s="34" t="s">
        <v>7227</v>
      </c>
      <c r="C3753" s="34" t="s">
        <v>719</v>
      </c>
    </row>
    <row r="3754" customFormat="false" ht="63.75" hidden="false" customHeight="false" outlineLevel="0" collapsed="false">
      <c r="A3754" s="37" t="s">
        <v>7228</v>
      </c>
      <c r="B3754" s="34" t="s">
        <v>7229</v>
      </c>
      <c r="C3754" s="34" t="s">
        <v>1458</v>
      </c>
    </row>
    <row r="3755" customFormat="false" ht="102" hidden="false" customHeight="false" outlineLevel="0" collapsed="false">
      <c r="A3755" s="37" t="s">
        <v>7230</v>
      </c>
      <c r="B3755" s="34" t="s">
        <v>7231</v>
      </c>
      <c r="C3755" s="34" t="s">
        <v>7232</v>
      </c>
    </row>
    <row r="3756" customFormat="false" ht="102" hidden="false" customHeight="false" outlineLevel="0" collapsed="false">
      <c r="A3756" s="37" t="s">
        <v>7233</v>
      </c>
      <c r="B3756" s="34" t="s">
        <v>7234</v>
      </c>
      <c r="C3756" s="34" t="s">
        <v>7235</v>
      </c>
    </row>
    <row r="3757" customFormat="false" ht="51" hidden="false" customHeight="false" outlineLevel="0" collapsed="false">
      <c r="A3757" s="37" t="s">
        <v>7236</v>
      </c>
      <c r="B3757" s="34" t="s">
        <v>7237</v>
      </c>
      <c r="C3757" s="34" t="s">
        <v>3186</v>
      </c>
    </row>
    <row r="3758" customFormat="false" ht="89.25" hidden="false" customHeight="false" outlineLevel="0" collapsed="false">
      <c r="A3758" s="37" t="s">
        <v>7238</v>
      </c>
      <c r="B3758" s="34" t="s">
        <v>7239</v>
      </c>
      <c r="C3758" s="34" t="s">
        <v>7240</v>
      </c>
    </row>
    <row r="3759" customFormat="false" ht="76.5" hidden="false" customHeight="false" outlineLevel="0" collapsed="false">
      <c r="A3759" s="37" t="s">
        <v>7241</v>
      </c>
      <c r="B3759" s="34" t="s">
        <v>7242</v>
      </c>
      <c r="C3759" s="34" t="s">
        <v>2297</v>
      </c>
    </row>
    <row r="3760" customFormat="false" ht="76.5" hidden="false" customHeight="false" outlineLevel="0" collapsed="false">
      <c r="A3760" s="37" t="s">
        <v>7243</v>
      </c>
      <c r="B3760" s="34" t="s">
        <v>7244</v>
      </c>
      <c r="C3760" s="34" t="s">
        <v>2297</v>
      </c>
    </row>
    <row r="3761" customFormat="false" ht="76.5" hidden="false" customHeight="false" outlineLevel="0" collapsed="false">
      <c r="A3761" s="37" t="s">
        <v>7245</v>
      </c>
      <c r="B3761" s="34" t="s">
        <v>7246</v>
      </c>
      <c r="C3761" s="34" t="s">
        <v>2297</v>
      </c>
    </row>
    <row r="3762" customFormat="false" ht="76.5" hidden="false" customHeight="false" outlineLevel="0" collapsed="false">
      <c r="A3762" s="37" t="s">
        <v>7247</v>
      </c>
      <c r="B3762" s="34" t="s">
        <v>7248</v>
      </c>
      <c r="C3762" s="34" t="s">
        <v>2297</v>
      </c>
    </row>
    <row r="3763" customFormat="false" ht="63.75" hidden="false" customHeight="false" outlineLevel="0" collapsed="false">
      <c r="A3763" s="37" t="s">
        <v>7249</v>
      </c>
      <c r="B3763" s="34" t="s">
        <v>7250</v>
      </c>
      <c r="C3763" s="34" t="s">
        <v>139</v>
      </c>
    </row>
    <row r="3764" customFormat="false" ht="63.75" hidden="false" customHeight="false" outlineLevel="0" collapsed="false">
      <c r="A3764" s="37" t="s">
        <v>7251</v>
      </c>
      <c r="B3764" s="34" t="s">
        <v>7252</v>
      </c>
      <c r="C3764" s="34" t="s">
        <v>139</v>
      </c>
    </row>
    <row r="3765" customFormat="false" ht="63.75" hidden="false" customHeight="false" outlineLevel="0" collapsed="false">
      <c r="A3765" s="37" t="s">
        <v>7253</v>
      </c>
      <c r="B3765" s="34" t="s">
        <v>7254</v>
      </c>
      <c r="C3765" s="34" t="s">
        <v>139</v>
      </c>
    </row>
    <row r="3766" customFormat="false" ht="63.75" hidden="false" customHeight="false" outlineLevel="0" collapsed="false">
      <c r="A3766" s="37" t="s">
        <v>7255</v>
      </c>
      <c r="B3766" s="34" t="s">
        <v>7256</v>
      </c>
      <c r="C3766" s="34" t="s">
        <v>139</v>
      </c>
    </row>
    <row r="3767" customFormat="false" ht="63.75" hidden="false" customHeight="false" outlineLevel="0" collapsed="false">
      <c r="A3767" s="37" t="s">
        <v>7255</v>
      </c>
      <c r="B3767" s="34" t="s">
        <v>7256</v>
      </c>
      <c r="C3767" s="34" t="s">
        <v>142</v>
      </c>
    </row>
    <row r="3768" customFormat="false" ht="63.75" hidden="false" customHeight="false" outlineLevel="0" collapsed="false">
      <c r="A3768" s="37" t="s">
        <v>7257</v>
      </c>
      <c r="B3768" s="34" t="s">
        <v>3206</v>
      </c>
      <c r="C3768" s="34" t="s">
        <v>965</v>
      </c>
    </row>
    <row r="3769" customFormat="false" ht="38.25" hidden="false" customHeight="false" outlineLevel="0" collapsed="false">
      <c r="A3769" s="37" t="s">
        <v>7258</v>
      </c>
      <c r="B3769" s="34" t="s">
        <v>7259</v>
      </c>
      <c r="C3769" s="34" t="s">
        <v>965</v>
      </c>
    </row>
    <row r="3770" customFormat="false" ht="63.75" hidden="false" customHeight="false" outlineLevel="0" collapsed="false">
      <c r="A3770" s="37" t="s">
        <v>7260</v>
      </c>
      <c r="B3770" s="34" t="s">
        <v>7261</v>
      </c>
      <c r="C3770" s="34" t="s">
        <v>965</v>
      </c>
    </row>
    <row r="3771" customFormat="false" ht="38.25" hidden="false" customHeight="false" outlineLevel="0" collapsed="false">
      <c r="A3771" s="37" t="s">
        <v>7262</v>
      </c>
      <c r="B3771" s="34" t="s">
        <v>7263</v>
      </c>
      <c r="C3771" s="34" t="s">
        <v>965</v>
      </c>
    </row>
    <row r="3772" customFormat="false" ht="63.75" hidden="false" customHeight="false" outlineLevel="0" collapsed="false">
      <c r="A3772" s="37" t="s">
        <v>7264</v>
      </c>
      <c r="B3772" s="34" t="s">
        <v>7265</v>
      </c>
      <c r="C3772" s="34" t="s">
        <v>139</v>
      </c>
    </row>
    <row r="3773" customFormat="false" ht="63.75" hidden="false" customHeight="false" outlineLevel="0" collapsed="false">
      <c r="A3773" s="37" t="s">
        <v>7266</v>
      </c>
      <c r="B3773" s="34" t="s">
        <v>7267</v>
      </c>
      <c r="C3773" s="34" t="s">
        <v>139</v>
      </c>
    </row>
    <row r="3774" customFormat="false" ht="63.75" hidden="false" customHeight="false" outlineLevel="0" collapsed="false">
      <c r="A3774" s="37" t="s">
        <v>7268</v>
      </c>
      <c r="B3774" s="34" t="s">
        <v>7269</v>
      </c>
      <c r="C3774" s="34" t="s">
        <v>139</v>
      </c>
    </row>
    <row r="3775" customFormat="false" ht="63.75" hidden="false" customHeight="false" outlineLevel="0" collapsed="false">
      <c r="A3775" s="37" t="s">
        <v>7270</v>
      </c>
      <c r="B3775" s="34" t="s">
        <v>7271</v>
      </c>
      <c r="C3775" s="34" t="s">
        <v>139</v>
      </c>
    </row>
    <row r="3776" customFormat="false" ht="63.75" hidden="false" customHeight="false" outlineLevel="0" collapsed="false">
      <c r="A3776" s="37" t="s">
        <v>7272</v>
      </c>
      <c r="B3776" s="34" t="s">
        <v>7273</v>
      </c>
      <c r="C3776" s="34" t="s">
        <v>139</v>
      </c>
    </row>
    <row r="3777" customFormat="false" ht="63.75" hidden="false" customHeight="false" outlineLevel="0" collapsed="false">
      <c r="A3777" s="37" t="s">
        <v>7274</v>
      </c>
      <c r="B3777" s="34" t="s">
        <v>7275</v>
      </c>
      <c r="C3777" s="34" t="s">
        <v>139</v>
      </c>
    </row>
    <row r="3778" customFormat="false" ht="63.75" hidden="false" customHeight="false" outlineLevel="0" collapsed="false">
      <c r="A3778" s="37" t="s">
        <v>7276</v>
      </c>
      <c r="B3778" s="34" t="s">
        <v>7277</v>
      </c>
      <c r="C3778" s="34" t="s">
        <v>139</v>
      </c>
    </row>
    <row r="3779" customFormat="false" ht="63.75" hidden="false" customHeight="false" outlineLevel="0" collapsed="false">
      <c r="A3779" s="37" t="s">
        <v>7278</v>
      </c>
      <c r="B3779" s="34" t="s">
        <v>7279</v>
      </c>
      <c r="C3779" s="34" t="s">
        <v>139</v>
      </c>
    </row>
    <row r="3780" customFormat="false" ht="51" hidden="false" customHeight="false" outlineLevel="0" collapsed="false">
      <c r="A3780" s="37" t="s">
        <v>7280</v>
      </c>
      <c r="B3780" s="34" t="s">
        <v>7281</v>
      </c>
      <c r="C3780" s="34" t="s">
        <v>965</v>
      </c>
    </row>
    <row r="3781" customFormat="false" ht="63.75" hidden="false" customHeight="false" outlineLevel="0" collapsed="false">
      <c r="A3781" s="37" t="s">
        <v>7282</v>
      </c>
      <c r="B3781" s="34" t="s">
        <v>7283</v>
      </c>
      <c r="C3781" s="34" t="s">
        <v>2365</v>
      </c>
    </row>
    <row r="3782" customFormat="false" ht="63.75" hidden="false" customHeight="false" outlineLevel="0" collapsed="false">
      <c r="A3782" s="37" t="s">
        <v>7284</v>
      </c>
      <c r="B3782" s="34" t="s">
        <v>7285</v>
      </c>
      <c r="C3782" s="34" t="s">
        <v>2365</v>
      </c>
    </row>
    <row r="3783" customFormat="false" ht="63.75" hidden="false" customHeight="false" outlineLevel="0" collapsed="false">
      <c r="A3783" s="37" t="s">
        <v>7286</v>
      </c>
      <c r="B3783" s="34" t="s">
        <v>7287</v>
      </c>
      <c r="C3783" s="34" t="s">
        <v>2365</v>
      </c>
    </row>
    <row r="3784" customFormat="false" ht="63.75" hidden="false" customHeight="false" outlineLevel="0" collapsed="false">
      <c r="A3784" s="37" t="s">
        <v>7288</v>
      </c>
      <c r="B3784" s="34" t="s">
        <v>7289</v>
      </c>
      <c r="C3784" s="34" t="s">
        <v>2365</v>
      </c>
    </row>
    <row r="3785" customFormat="false" ht="63.75" hidden="false" customHeight="false" outlineLevel="0" collapsed="false">
      <c r="A3785" s="37" t="s">
        <v>7290</v>
      </c>
      <c r="B3785" s="34" t="s">
        <v>7291</v>
      </c>
      <c r="C3785" s="34" t="s">
        <v>2365</v>
      </c>
    </row>
    <row r="3786" customFormat="false" ht="63.75" hidden="false" customHeight="false" outlineLevel="0" collapsed="false">
      <c r="A3786" s="37" t="s">
        <v>7292</v>
      </c>
      <c r="B3786" s="34" t="s">
        <v>7293</v>
      </c>
      <c r="C3786" s="34" t="s">
        <v>2365</v>
      </c>
    </row>
    <row r="3787" customFormat="false" ht="63.75" hidden="false" customHeight="false" outlineLevel="0" collapsed="false">
      <c r="A3787" s="37" t="s">
        <v>7294</v>
      </c>
      <c r="B3787" s="34" t="s">
        <v>7295</v>
      </c>
      <c r="C3787" s="34" t="s">
        <v>2365</v>
      </c>
    </row>
    <row r="3788" customFormat="false" ht="63.75" hidden="false" customHeight="false" outlineLevel="0" collapsed="false">
      <c r="A3788" s="37" t="s">
        <v>7296</v>
      </c>
      <c r="B3788" s="34" t="s">
        <v>7297</v>
      </c>
      <c r="C3788" s="34" t="s">
        <v>2365</v>
      </c>
    </row>
    <row r="3789" customFormat="false" ht="63.75" hidden="false" customHeight="false" outlineLevel="0" collapsed="false">
      <c r="A3789" s="37" t="s">
        <v>7298</v>
      </c>
      <c r="B3789" s="34" t="s">
        <v>7299</v>
      </c>
      <c r="C3789" s="34" t="s">
        <v>2365</v>
      </c>
    </row>
    <row r="3790" customFormat="false" ht="63.75" hidden="false" customHeight="false" outlineLevel="0" collapsed="false">
      <c r="A3790" s="37" t="s">
        <v>7300</v>
      </c>
      <c r="B3790" s="34" t="s">
        <v>7301</v>
      </c>
      <c r="C3790" s="34" t="s">
        <v>2365</v>
      </c>
    </row>
    <row r="3791" customFormat="false" ht="51" hidden="false" customHeight="false" outlineLevel="0" collapsed="false">
      <c r="A3791" s="37" t="s">
        <v>7302</v>
      </c>
      <c r="B3791" s="34" t="s">
        <v>7303</v>
      </c>
      <c r="C3791" s="34" t="s">
        <v>2386</v>
      </c>
    </row>
    <row r="3792" customFormat="false" ht="51" hidden="false" customHeight="false" outlineLevel="0" collapsed="false">
      <c r="A3792" s="37" t="s">
        <v>7304</v>
      </c>
      <c r="B3792" s="34" t="s">
        <v>7305</v>
      </c>
      <c r="C3792" s="34" t="s">
        <v>2386</v>
      </c>
    </row>
    <row r="3793" customFormat="false" ht="51" hidden="false" customHeight="false" outlineLevel="0" collapsed="false">
      <c r="A3793" s="37" t="s">
        <v>7306</v>
      </c>
      <c r="B3793" s="34" t="s">
        <v>7307</v>
      </c>
      <c r="C3793" s="34" t="s">
        <v>2386</v>
      </c>
    </row>
    <row r="3794" customFormat="false" ht="51" hidden="false" customHeight="false" outlineLevel="0" collapsed="false">
      <c r="A3794" s="37" t="s">
        <v>7308</v>
      </c>
      <c r="B3794" s="34" t="s">
        <v>7309</v>
      </c>
      <c r="C3794" s="34" t="s">
        <v>2386</v>
      </c>
    </row>
    <row r="3795" customFormat="false" ht="51" hidden="false" customHeight="false" outlineLevel="0" collapsed="false">
      <c r="A3795" s="37" t="s">
        <v>7310</v>
      </c>
      <c r="B3795" s="34" t="s">
        <v>7311</v>
      </c>
      <c r="C3795" s="34" t="s">
        <v>2386</v>
      </c>
    </row>
    <row r="3796" customFormat="false" ht="63.75" hidden="false" customHeight="false" outlineLevel="0" collapsed="false">
      <c r="A3796" s="37" t="s">
        <v>7312</v>
      </c>
      <c r="B3796" s="34" t="s">
        <v>7313</v>
      </c>
      <c r="C3796" s="34" t="s">
        <v>2397</v>
      </c>
    </row>
    <row r="3797" customFormat="false" ht="63.75" hidden="false" customHeight="false" outlineLevel="0" collapsed="false">
      <c r="A3797" s="37" t="s">
        <v>7314</v>
      </c>
      <c r="B3797" s="34" t="s">
        <v>7315</v>
      </c>
      <c r="C3797" s="34" t="s">
        <v>139</v>
      </c>
    </row>
    <row r="3798" customFormat="false" ht="63.75" hidden="false" customHeight="false" outlineLevel="0" collapsed="false">
      <c r="A3798" s="37" t="s">
        <v>7316</v>
      </c>
      <c r="B3798" s="34" t="s">
        <v>7271</v>
      </c>
      <c r="C3798" s="34" t="s">
        <v>139</v>
      </c>
    </row>
    <row r="3799" customFormat="false" ht="63.75" hidden="false" customHeight="false" outlineLevel="0" collapsed="false">
      <c r="A3799" s="37" t="s">
        <v>7317</v>
      </c>
      <c r="B3799" s="34" t="s">
        <v>7318</v>
      </c>
      <c r="C3799" s="34" t="s">
        <v>139</v>
      </c>
    </row>
    <row r="3800" customFormat="false" ht="63.75" hidden="false" customHeight="false" outlineLevel="0" collapsed="false">
      <c r="A3800" s="37" t="s">
        <v>7319</v>
      </c>
      <c r="B3800" s="34" t="s">
        <v>7320</v>
      </c>
      <c r="C3800" s="34" t="s">
        <v>139</v>
      </c>
    </row>
    <row r="3801" customFormat="false" ht="63.75" hidden="false" customHeight="false" outlineLevel="0" collapsed="false">
      <c r="A3801" s="37" t="s">
        <v>7321</v>
      </c>
      <c r="B3801" s="34" t="s">
        <v>7322</v>
      </c>
      <c r="C3801" s="34" t="s">
        <v>139</v>
      </c>
    </row>
    <row r="3802" customFormat="false" ht="38.25" hidden="false" customHeight="false" outlineLevel="0" collapsed="false">
      <c r="A3802" s="37" t="s">
        <v>7323</v>
      </c>
      <c r="B3802" s="34" t="s">
        <v>7324</v>
      </c>
      <c r="C3802" s="34" t="s">
        <v>73</v>
      </c>
    </row>
    <row r="3803" customFormat="false" ht="38.25" hidden="false" customHeight="false" outlineLevel="0" collapsed="false">
      <c r="A3803" s="37" t="s">
        <v>7325</v>
      </c>
      <c r="B3803" s="34" t="s">
        <v>7326</v>
      </c>
      <c r="C3803" s="34" t="s">
        <v>2412</v>
      </c>
    </row>
    <row r="3804" customFormat="false" ht="76.5" hidden="false" customHeight="false" outlineLevel="0" collapsed="false">
      <c r="A3804" s="37" t="s">
        <v>7327</v>
      </c>
      <c r="B3804" s="34" t="s">
        <v>7328</v>
      </c>
      <c r="C3804" s="34" t="s">
        <v>7329</v>
      </c>
    </row>
    <row r="3805" customFormat="false" ht="76.5" hidden="false" customHeight="false" outlineLevel="0" collapsed="false">
      <c r="A3805" s="37" t="s">
        <v>7330</v>
      </c>
      <c r="B3805" s="34" t="s">
        <v>7331</v>
      </c>
      <c r="C3805" s="34" t="s">
        <v>7329</v>
      </c>
    </row>
    <row r="3806" customFormat="false" ht="89.25" hidden="false" customHeight="false" outlineLevel="0" collapsed="false">
      <c r="A3806" s="37" t="s">
        <v>7332</v>
      </c>
      <c r="B3806" s="34" t="s">
        <v>7333</v>
      </c>
      <c r="C3806" s="34" t="s">
        <v>7334</v>
      </c>
    </row>
    <row r="3807" customFormat="false" ht="89.25" hidden="false" customHeight="false" outlineLevel="0" collapsed="false">
      <c r="A3807" s="37" t="s">
        <v>7335</v>
      </c>
      <c r="B3807" s="34" t="s">
        <v>7336</v>
      </c>
      <c r="C3807" s="34" t="s">
        <v>7334</v>
      </c>
    </row>
    <row r="3808" customFormat="false" ht="76.5" hidden="false" customHeight="false" outlineLevel="0" collapsed="false">
      <c r="A3808" s="37" t="s">
        <v>7337</v>
      </c>
      <c r="B3808" s="34" t="s">
        <v>7338</v>
      </c>
      <c r="C3808" s="34" t="s">
        <v>2297</v>
      </c>
    </row>
    <row r="3809" customFormat="false" ht="76.5" hidden="false" customHeight="false" outlineLevel="0" collapsed="false">
      <c r="A3809" s="37" t="s">
        <v>7339</v>
      </c>
      <c r="B3809" s="34" t="s">
        <v>7340</v>
      </c>
      <c r="C3809" s="34" t="s">
        <v>2297</v>
      </c>
    </row>
    <row r="3810" customFormat="false" ht="76.5" hidden="false" customHeight="false" outlineLevel="0" collapsed="false">
      <c r="A3810" s="37" t="s">
        <v>7341</v>
      </c>
      <c r="B3810" s="34" t="s">
        <v>7342</v>
      </c>
      <c r="C3810" s="34" t="s">
        <v>2297</v>
      </c>
    </row>
    <row r="3811" customFormat="false" ht="76.5" hidden="false" customHeight="false" outlineLevel="0" collapsed="false">
      <c r="A3811" s="37" t="s">
        <v>7343</v>
      </c>
      <c r="B3811" s="34" t="s">
        <v>7344</v>
      </c>
      <c r="C3811" s="34" t="s">
        <v>2297</v>
      </c>
    </row>
    <row r="3812" customFormat="false" ht="63.75" hidden="false" customHeight="false" outlineLevel="0" collapsed="false">
      <c r="A3812" s="37" t="s">
        <v>7345</v>
      </c>
      <c r="B3812" s="34" t="s">
        <v>7346</v>
      </c>
      <c r="C3812" s="34" t="s">
        <v>139</v>
      </c>
    </row>
    <row r="3813" customFormat="false" ht="63.75" hidden="false" customHeight="false" outlineLevel="0" collapsed="false">
      <c r="A3813" s="37" t="s">
        <v>7347</v>
      </c>
      <c r="B3813" s="34" t="s">
        <v>7348</v>
      </c>
      <c r="C3813" s="34" t="s">
        <v>139</v>
      </c>
    </row>
    <row r="3814" customFormat="false" ht="63.75" hidden="false" customHeight="false" outlineLevel="0" collapsed="false">
      <c r="A3814" s="37" t="s">
        <v>7349</v>
      </c>
      <c r="B3814" s="34" t="s">
        <v>7350</v>
      </c>
      <c r="C3814" s="34" t="s">
        <v>139</v>
      </c>
    </row>
    <row r="3815" customFormat="false" ht="63.75" hidden="false" customHeight="false" outlineLevel="0" collapsed="false">
      <c r="A3815" s="37" t="s">
        <v>7351</v>
      </c>
      <c r="B3815" s="34" t="s">
        <v>7352</v>
      </c>
      <c r="C3815" s="34" t="s">
        <v>139</v>
      </c>
    </row>
    <row r="3816" customFormat="false" ht="63.75" hidden="false" customHeight="false" outlineLevel="0" collapsed="false">
      <c r="A3816" s="37" t="s">
        <v>7351</v>
      </c>
      <c r="B3816" s="34" t="s">
        <v>7352</v>
      </c>
      <c r="C3816" s="34" t="s">
        <v>142</v>
      </c>
    </row>
    <row r="3817" customFormat="false" ht="63.75" hidden="false" customHeight="false" outlineLevel="0" collapsed="false">
      <c r="A3817" s="37" t="s">
        <v>7353</v>
      </c>
      <c r="B3817" s="34" t="s">
        <v>7354</v>
      </c>
      <c r="C3817" s="34" t="s">
        <v>7355</v>
      </c>
    </row>
    <row r="3818" customFormat="false" ht="63.75" hidden="false" customHeight="false" outlineLevel="0" collapsed="false">
      <c r="A3818" s="37" t="s">
        <v>7353</v>
      </c>
      <c r="B3818" s="34" t="s">
        <v>7354</v>
      </c>
      <c r="C3818" s="34" t="s">
        <v>7355</v>
      </c>
    </row>
    <row r="3819" customFormat="false" ht="63.75" hidden="false" customHeight="false" outlineLevel="0" collapsed="false">
      <c r="A3819" s="37" t="s">
        <v>7356</v>
      </c>
      <c r="B3819" s="34" t="s">
        <v>7357</v>
      </c>
      <c r="C3819" s="34" t="s">
        <v>7355</v>
      </c>
    </row>
    <row r="3820" customFormat="false" ht="63.75" hidden="false" customHeight="false" outlineLevel="0" collapsed="false">
      <c r="A3820" s="37" t="s">
        <v>7356</v>
      </c>
      <c r="B3820" s="34" t="s">
        <v>7357</v>
      </c>
      <c r="C3820" s="34" t="s">
        <v>7355</v>
      </c>
    </row>
    <row r="3821" customFormat="false" ht="38.25" hidden="false" customHeight="false" outlineLevel="0" collapsed="false">
      <c r="A3821" s="37" t="s">
        <v>7358</v>
      </c>
      <c r="B3821" s="34" t="s">
        <v>7359</v>
      </c>
      <c r="C3821" s="34" t="s">
        <v>965</v>
      </c>
    </row>
    <row r="3822" customFormat="false" ht="38.25" hidden="false" customHeight="false" outlineLevel="0" collapsed="false">
      <c r="A3822" s="37" t="s">
        <v>7360</v>
      </c>
      <c r="B3822" s="34" t="s">
        <v>7361</v>
      </c>
      <c r="C3822" s="34" t="s">
        <v>965</v>
      </c>
    </row>
    <row r="3823" customFormat="false" ht="63.75" hidden="false" customHeight="false" outlineLevel="0" collapsed="false">
      <c r="A3823" s="37" t="s">
        <v>7362</v>
      </c>
      <c r="B3823" s="34" t="s">
        <v>7363</v>
      </c>
      <c r="C3823" s="34" t="s">
        <v>2365</v>
      </c>
    </row>
    <row r="3824" customFormat="false" ht="63.75" hidden="false" customHeight="false" outlineLevel="0" collapsed="false">
      <c r="A3824" s="37" t="s">
        <v>7364</v>
      </c>
      <c r="B3824" s="34" t="s">
        <v>7365</v>
      </c>
      <c r="C3824" s="34" t="s">
        <v>2365</v>
      </c>
    </row>
    <row r="3825" customFormat="false" ht="63.75" hidden="false" customHeight="false" outlineLevel="0" collapsed="false">
      <c r="A3825" s="37" t="s">
        <v>7366</v>
      </c>
      <c r="B3825" s="34" t="s">
        <v>7367</v>
      </c>
      <c r="C3825" s="34" t="s">
        <v>2365</v>
      </c>
    </row>
    <row r="3826" customFormat="false" ht="63.75" hidden="false" customHeight="false" outlineLevel="0" collapsed="false">
      <c r="A3826" s="37" t="s">
        <v>7368</v>
      </c>
      <c r="B3826" s="34" t="s">
        <v>7369</v>
      </c>
      <c r="C3826" s="34" t="s">
        <v>2365</v>
      </c>
    </row>
    <row r="3827" customFormat="false" ht="63.75" hidden="false" customHeight="false" outlineLevel="0" collapsed="false">
      <c r="A3827" s="37" t="s">
        <v>7370</v>
      </c>
      <c r="B3827" s="34" t="s">
        <v>7371</v>
      </c>
      <c r="C3827" s="34" t="s">
        <v>2365</v>
      </c>
    </row>
    <row r="3828" customFormat="false" ht="63.75" hidden="false" customHeight="false" outlineLevel="0" collapsed="false">
      <c r="A3828" s="37" t="s">
        <v>7372</v>
      </c>
      <c r="B3828" s="34" t="s">
        <v>7373</v>
      </c>
      <c r="C3828" s="34" t="s">
        <v>2365</v>
      </c>
    </row>
    <row r="3829" customFormat="false" ht="63.75" hidden="false" customHeight="false" outlineLevel="0" collapsed="false">
      <c r="A3829" s="37" t="s">
        <v>7374</v>
      </c>
      <c r="B3829" s="34" t="s">
        <v>7375</v>
      </c>
      <c r="C3829" s="34" t="s">
        <v>2365</v>
      </c>
    </row>
    <row r="3830" customFormat="false" ht="63.75" hidden="false" customHeight="false" outlineLevel="0" collapsed="false">
      <c r="A3830" s="37" t="s">
        <v>7376</v>
      </c>
      <c r="B3830" s="34" t="s">
        <v>7377</v>
      </c>
      <c r="C3830" s="34" t="s">
        <v>2365</v>
      </c>
    </row>
    <row r="3831" customFormat="false" ht="63.75" hidden="false" customHeight="false" outlineLevel="0" collapsed="false">
      <c r="A3831" s="37" t="s">
        <v>7378</v>
      </c>
      <c r="B3831" s="34" t="s">
        <v>7379</v>
      </c>
      <c r="C3831" s="34" t="s">
        <v>2365</v>
      </c>
    </row>
    <row r="3832" customFormat="false" ht="63.75" hidden="false" customHeight="false" outlineLevel="0" collapsed="false">
      <c r="A3832" s="37" t="s">
        <v>7380</v>
      </c>
      <c r="B3832" s="34" t="s">
        <v>7381</v>
      </c>
      <c r="C3832" s="34" t="s">
        <v>2365</v>
      </c>
    </row>
    <row r="3833" customFormat="false" ht="51" hidden="false" customHeight="false" outlineLevel="0" collapsed="false">
      <c r="A3833" s="37" t="s">
        <v>7382</v>
      </c>
      <c r="B3833" s="34" t="s">
        <v>7383</v>
      </c>
      <c r="C3833" s="34" t="s">
        <v>2386</v>
      </c>
    </row>
    <row r="3834" customFormat="false" ht="51" hidden="false" customHeight="false" outlineLevel="0" collapsed="false">
      <c r="A3834" s="37" t="s">
        <v>7384</v>
      </c>
      <c r="B3834" s="34" t="s">
        <v>7385</v>
      </c>
      <c r="C3834" s="34" t="s">
        <v>2386</v>
      </c>
    </row>
    <row r="3835" customFormat="false" ht="51" hidden="false" customHeight="false" outlineLevel="0" collapsed="false">
      <c r="A3835" s="37" t="s">
        <v>7386</v>
      </c>
      <c r="B3835" s="34" t="s">
        <v>7387</v>
      </c>
      <c r="C3835" s="34" t="s">
        <v>2386</v>
      </c>
    </row>
    <row r="3836" customFormat="false" ht="51" hidden="false" customHeight="false" outlineLevel="0" collapsed="false">
      <c r="A3836" s="37" t="s">
        <v>7388</v>
      </c>
      <c r="B3836" s="34" t="s">
        <v>7389</v>
      </c>
      <c r="C3836" s="34" t="s">
        <v>2386</v>
      </c>
    </row>
    <row r="3837" customFormat="false" ht="51" hidden="false" customHeight="false" outlineLevel="0" collapsed="false">
      <c r="A3837" s="37" t="s">
        <v>7390</v>
      </c>
      <c r="B3837" s="34" t="s">
        <v>7391</v>
      </c>
      <c r="C3837" s="34" t="s">
        <v>2386</v>
      </c>
    </row>
    <row r="3838" customFormat="false" ht="63.75" hidden="false" customHeight="false" outlineLevel="0" collapsed="false">
      <c r="A3838" s="37" t="s">
        <v>7392</v>
      </c>
      <c r="B3838" s="34" t="s">
        <v>7393</v>
      </c>
      <c r="C3838" s="34" t="s">
        <v>2397</v>
      </c>
    </row>
    <row r="3839" customFormat="false" ht="63.75" hidden="false" customHeight="false" outlineLevel="0" collapsed="false">
      <c r="A3839" s="37" t="s">
        <v>7394</v>
      </c>
      <c r="B3839" s="34" t="s">
        <v>7395</v>
      </c>
      <c r="C3839" s="34" t="s">
        <v>7396</v>
      </c>
    </row>
    <row r="3840" customFormat="false" ht="63.75" hidden="false" customHeight="false" outlineLevel="0" collapsed="false">
      <c r="A3840" s="37" t="s">
        <v>7394</v>
      </c>
      <c r="B3840" s="34" t="s">
        <v>7395</v>
      </c>
      <c r="C3840" s="34" t="s">
        <v>7396</v>
      </c>
    </row>
    <row r="3841" customFormat="false" ht="63.75" hidden="false" customHeight="false" outlineLevel="0" collapsed="false">
      <c r="A3841" s="37" t="s">
        <v>7397</v>
      </c>
      <c r="B3841" s="34" t="s">
        <v>7398</v>
      </c>
      <c r="C3841" s="34" t="s">
        <v>7396</v>
      </c>
    </row>
    <row r="3842" customFormat="false" ht="63.75" hidden="false" customHeight="false" outlineLevel="0" collapsed="false">
      <c r="A3842" s="37" t="s">
        <v>7397</v>
      </c>
      <c r="B3842" s="34" t="s">
        <v>7398</v>
      </c>
      <c r="C3842" s="34" t="s">
        <v>7396</v>
      </c>
    </row>
    <row r="3843" customFormat="false" ht="63.75" hidden="false" customHeight="false" outlineLevel="0" collapsed="false">
      <c r="A3843" s="37" t="s">
        <v>7399</v>
      </c>
      <c r="B3843" s="34" t="s">
        <v>7400</v>
      </c>
      <c r="C3843" s="34" t="s">
        <v>7396</v>
      </c>
    </row>
    <row r="3844" customFormat="false" ht="63.75" hidden="false" customHeight="false" outlineLevel="0" collapsed="false">
      <c r="A3844" s="37" t="s">
        <v>7399</v>
      </c>
      <c r="B3844" s="34" t="s">
        <v>7400</v>
      </c>
      <c r="C3844" s="34" t="s">
        <v>7396</v>
      </c>
    </row>
    <row r="3845" customFormat="false" ht="63.75" hidden="false" customHeight="false" outlineLevel="0" collapsed="false">
      <c r="A3845" s="37" t="s">
        <v>7401</v>
      </c>
      <c r="B3845" s="34" t="s">
        <v>7402</v>
      </c>
      <c r="C3845" s="34" t="s">
        <v>139</v>
      </c>
    </row>
    <row r="3846" customFormat="false" ht="63.75" hidden="false" customHeight="false" outlineLevel="0" collapsed="false">
      <c r="A3846" s="37" t="s">
        <v>7403</v>
      </c>
      <c r="B3846" s="34" t="s">
        <v>7404</v>
      </c>
      <c r="C3846" s="34" t="s">
        <v>139</v>
      </c>
    </row>
    <row r="3847" customFormat="false" ht="63.75" hidden="false" customHeight="false" outlineLevel="0" collapsed="false">
      <c r="A3847" s="37" t="s">
        <v>7405</v>
      </c>
      <c r="B3847" s="34" t="s">
        <v>7406</v>
      </c>
      <c r="C3847" s="34" t="s">
        <v>139</v>
      </c>
    </row>
    <row r="3848" customFormat="false" ht="63.75" hidden="false" customHeight="false" outlineLevel="0" collapsed="false">
      <c r="A3848" s="37" t="s">
        <v>7407</v>
      </c>
      <c r="B3848" s="34" t="s">
        <v>7408</v>
      </c>
      <c r="C3848" s="34" t="s">
        <v>139</v>
      </c>
    </row>
    <row r="3849" customFormat="false" ht="63.75" hidden="false" customHeight="false" outlineLevel="0" collapsed="false">
      <c r="A3849" s="37" t="s">
        <v>7409</v>
      </c>
      <c r="B3849" s="34" t="s">
        <v>7410</v>
      </c>
      <c r="C3849" s="34" t="s">
        <v>139</v>
      </c>
    </row>
    <row r="3850" customFormat="false" ht="63.75" hidden="false" customHeight="false" outlineLevel="0" collapsed="false">
      <c r="A3850" s="37" t="s">
        <v>7411</v>
      </c>
      <c r="B3850" s="34" t="s">
        <v>7412</v>
      </c>
      <c r="C3850" s="34" t="s">
        <v>7413</v>
      </c>
    </row>
    <row r="3851" customFormat="false" ht="63.75" hidden="false" customHeight="false" outlineLevel="0" collapsed="false">
      <c r="A3851" s="37" t="s">
        <v>7414</v>
      </c>
      <c r="B3851" s="34" t="s">
        <v>7415</v>
      </c>
      <c r="C3851" s="34" t="s">
        <v>7413</v>
      </c>
    </row>
    <row r="3852" customFormat="false" ht="38.25" hidden="false" customHeight="false" outlineLevel="0" collapsed="false">
      <c r="A3852" s="37" t="s">
        <v>7416</v>
      </c>
      <c r="B3852" s="34" t="s">
        <v>7417</v>
      </c>
      <c r="C3852" s="34" t="s">
        <v>7418</v>
      </c>
    </row>
    <row r="3853" customFormat="false" ht="51" hidden="false" customHeight="false" outlineLevel="0" collapsed="false">
      <c r="A3853" s="37" t="s">
        <v>7419</v>
      </c>
      <c r="B3853" s="34" t="s">
        <v>7420</v>
      </c>
      <c r="C3853" s="34" t="s">
        <v>7421</v>
      </c>
    </row>
    <row r="3854" customFormat="false" ht="25.5" hidden="false" customHeight="false" outlineLevel="0" collapsed="false">
      <c r="A3854" s="37" t="s">
        <v>7422</v>
      </c>
      <c r="B3854" s="34" t="s">
        <v>7423</v>
      </c>
      <c r="C3854" s="34" t="s">
        <v>7424</v>
      </c>
    </row>
    <row r="3855" customFormat="false" ht="38.25" hidden="false" customHeight="false" outlineLevel="0" collapsed="false">
      <c r="A3855" s="37" t="s">
        <v>7425</v>
      </c>
      <c r="B3855" s="34" t="s">
        <v>7426</v>
      </c>
      <c r="C3855" s="34" t="s">
        <v>73</v>
      </c>
    </row>
    <row r="3856" customFormat="false" ht="38.25" hidden="false" customHeight="false" outlineLevel="0" collapsed="false">
      <c r="A3856" s="37" t="s">
        <v>7427</v>
      </c>
      <c r="B3856" s="34" t="s">
        <v>7428</v>
      </c>
      <c r="C3856" s="34" t="s">
        <v>2412</v>
      </c>
    </row>
    <row r="3857" customFormat="false" ht="102" hidden="false" customHeight="false" outlineLevel="0" collapsed="false">
      <c r="A3857" s="37" t="s">
        <v>7429</v>
      </c>
      <c r="B3857" s="34" t="s">
        <v>7430</v>
      </c>
      <c r="C3857" s="34" t="s">
        <v>95</v>
      </c>
    </row>
    <row r="3858" customFormat="false" ht="102" hidden="false" customHeight="false" outlineLevel="0" collapsed="false">
      <c r="A3858" s="37" t="s">
        <v>7431</v>
      </c>
      <c r="B3858" s="34" t="s">
        <v>7432</v>
      </c>
      <c r="C3858" s="34" t="s">
        <v>1506</v>
      </c>
    </row>
    <row r="3859" customFormat="false" ht="89.25" hidden="false" customHeight="false" outlineLevel="0" collapsed="false">
      <c r="A3859" s="37" t="s">
        <v>7433</v>
      </c>
      <c r="B3859" s="34" t="s">
        <v>7434</v>
      </c>
      <c r="C3859" s="34" t="s">
        <v>1508</v>
      </c>
    </row>
    <row r="3860" customFormat="false" ht="102" hidden="false" customHeight="false" outlineLevel="0" collapsed="false">
      <c r="A3860" s="37" t="s">
        <v>7435</v>
      </c>
      <c r="B3860" s="34" t="s">
        <v>7436</v>
      </c>
      <c r="C3860" s="34" t="s">
        <v>1510</v>
      </c>
    </row>
    <row r="3861" customFormat="false" ht="76.5" hidden="false" customHeight="false" outlineLevel="0" collapsed="false">
      <c r="A3861" s="37" t="s">
        <v>7437</v>
      </c>
      <c r="B3861" s="34" t="s">
        <v>7438</v>
      </c>
      <c r="C3861" s="34" t="s">
        <v>1512</v>
      </c>
    </row>
    <row r="3862" customFormat="false" ht="102" hidden="false" customHeight="false" outlineLevel="0" collapsed="false">
      <c r="A3862" s="37" t="s">
        <v>7439</v>
      </c>
      <c r="B3862" s="34" t="s">
        <v>7440</v>
      </c>
      <c r="C3862" s="34" t="s">
        <v>1514</v>
      </c>
    </row>
    <row r="3863" customFormat="false" ht="89.25" hidden="false" customHeight="false" outlineLevel="0" collapsed="false">
      <c r="A3863" s="37" t="s">
        <v>7441</v>
      </c>
      <c r="B3863" s="34" t="s">
        <v>7442</v>
      </c>
      <c r="C3863" s="34" t="s">
        <v>1517</v>
      </c>
    </row>
    <row r="3864" customFormat="false" ht="51" hidden="false" customHeight="false" outlineLevel="0" collapsed="false">
      <c r="A3864" s="37" t="s">
        <v>7443</v>
      </c>
      <c r="B3864" s="34" t="s">
        <v>7444</v>
      </c>
      <c r="C3864" s="34" t="s">
        <v>1520</v>
      </c>
    </row>
    <row r="3865" customFormat="false" ht="63.75" hidden="false" customHeight="false" outlineLevel="0" collapsed="false">
      <c r="A3865" s="37" t="s">
        <v>7445</v>
      </c>
      <c r="B3865" s="34" t="s">
        <v>7446</v>
      </c>
      <c r="C3865" s="34" t="s">
        <v>2425</v>
      </c>
    </row>
    <row r="3866" customFormat="false" ht="51" hidden="false" customHeight="false" outlineLevel="0" collapsed="false">
      <c r="A3866" s="37" t="s">
        <v>7447</v>
      </c>
      <c r="B3866" s="34" t="s">
        <v>7448</v>
      </c>
      <c r="C3866" s="34" t="s">
        <v>2428</v>
      </c>
    </row>
    <row r="3867" customFormat="false" ht="51" hidden="false" customHeight="false" outlineLevel="0" collapsed="false">
      <c r="A3867" s="37" t="s">
        <v>7449</v>
      </c>
      <c r="B3867" s="34" t="s">
        <v>7450</v>
      </c>
      <c r="C3867" s="34" t="s">
        <v>2428</v>
      </c>
    </row>
    <row r="3868" customFormat="false" ht="51" hidden="false" customHeight="false" outlineLevel="0" collapsed="false">
      <c r="A3868" s="37" t="s">
        <v>7451</v>
      </c>
      <c r="B3868" s="34" t="s">
        <v>7452</v>
      </c>
      <c r="C3868" s="34" t="s">
        <v>1520</v>
      </c>
    </row>
    <row r="3869" customFormat="false" ht="51" hidden="false" customHeight="false" outlineLevel="0" collapsed="false">
      <c r="A3869" s="37" t="s">
        <v>7453</v>
      </c>
      <c r="B3869" s="34" t="s">
        <v>7454</v>
      </c>
      <c r="C3869" s="34" t="s">
        <v>1520</v>
      </c>
    </row>
    <row r="3870" customFormat="false" ht="51" hidden="false" customHeight="false" outlineLevel="0" collapsed="false">
      <c r="A3870" s="37" t="s">
        <v>7455</v>
      </c>
      <c r="B3870" s="34" t="s">
        <v>7456</v>
      </c>
      <c r="C3870" s="34" t="s">
        <v>1520</v>
      </c>
    </row>
    <row r="3871" customFormat="false" ht="51" hidden="false" customHeight="false" outlineLevel="0" collapsed="false">
      <c r="A3871" s="37" t="s">
        <v>7457</v>
      </c>
      <c r="B3871" s="34" t="s">
        <v>7458</v>
      </c>
      <c r="C3871" s="34" t="s">
        <v>1520</v>
      </c>
    </row>
    <row r="3872" customFormat="false" ht="102" hidden="false" customHeight="false" outlineLevel="0" collapsed="false">
      <c r="A3872" s="37" t="s">
        <v>7459</v>
      </c>
      <c r="B3872" s="34" t="s">
        <v>7460</v>
      </c>
      <c r="C3872" s="34" t="s">
        <v>1530</v>
      </c>
    </row>
    <row r="3873" customFormat="false" ht="102" hidden="false" customHeight="false" outlineLevel="0" collapsed="false">
      <c r="A3873" s="37" t="s">
        <v>7461</v>
      </c>
      <c r="B3873" s="34" t="s">
        <v>7462</v>
      </c>
      <c r="C3873" s="34" t="s">
        <v>97</v>
      </c>
    </row>
    <row r="3874" customFormat="false" ht="102" hidden="false" customHeight="false" outlineLevel="0" collapsed="false">
      <c r="A3874" s="37" t="s">
        <v>7463</v>
      </c>
      <c r="B3874" s="34" t="s">
        <v>7464</v>
      </c>
      <c r="C3874" s="34" t="s">
        <v>97</v>
      </c>
    </row>
    <row r="3875" customFormat="false" ht="102" hidden="false" customHeight="false" outlineLevel="0" collapsed="false">
      <c r="A3875" s="37" t="s">
        <v>7465</v>
      </c>
      <c r="B3875" s="34" t="s">
        <v>7466</v>
      </c>
      <c r="C3875" s="34" t="s">
        <v>786</v>
      </c>
    </row>
    <row r="3876" customFormat="false" ht="114.75" hidden="false" customHeight="false" outlineLevel="0" collapsed="false">
      <c r="A3876" s="37" t="s">
        <v>7467</v>
      </c>
      <c r="B3876" s="34" t="s">
        <v>7468</v>
      </c>
      <c r="C3876" s="34" t="s">
        <v>849</v>
      </c>
    </row>
    <row r="3877" customFormat="false" ht="89.25" hidden="false" customHeight="false" outlineLevel="0" collapsed="false">
      <c r="A3877" s="37" t="s">
        <v>7469</v>
      </c>
      <c r="B3877" s="34" t="s">
        <v>7470</v>
      </c>
      <c r="C3877" s="34" t="s">
        <v>891</v>
      </c>
    </row>
    <row r="3878" customFormat="false" ht="114.75" hidden="false" customHeight="false" outlineLevel="0" collapsed="false">
      <c r="A3878" s="37" t="s">
        <v>7471</v>
      </c>
      <c r="B3878" s="34" t="s">
        <v>7472</v>
      </c>
      <c r="C3878" s="34" t="s">
        <v>853</v>
      </c>
    </row>
    <row r="3879" customFormat="false" ht="76.5" hidden="false" customHeight="false" outlineLevel="0" collapsed="false">
      <c r="A3879" s="37" t="s">
        <v>7473</v>
      </c>
      <c r="B3879" s="34" t="s">
        <v>7474</v>
      </c>
      <c r="C3879" s="34" t="s">
        <v>108</v>
      </c>
    </row>
    <row r="3880" customFormat="false" ht="89.25" hidden="false" customHeight="false" outlineLevel="0" collapsed="false">
      <c r="A3880" s="37" t="s">
        <v>7475</v>
      </c>
      <c r="B3880" s="34" t="s">
        <v>7476</v>
      </c>
      <c r="C3880" s="34" t="s">
        <v>871</v>
      </c>
    </row>
    <row r="3881" customFormat="false" ht="89.25" hidden="false" customHeight="false" outlineLevel="0" collapsed="false">
      <c r="A3881" s="37" t="s">
        <v>7477</v>
      </c>
      <c r="B3881" s="34" t="s">
        <v>7478</v>
      </c>
      <c r="C3881" s="34" t="s">
        <v>858</v>
      </c>
    </row>
    <row r="3882" customFormat="false" ht="89.25" hidden="false" customHeight="false" outlineLevel="0" collapsed="false">
      <c r="A3882" s="37" t="s">
        <v>7479</v>
      </c>
      <c r="B3882" s="34" t="s">
        <v>7480</v>
      </c>
      <c r="C3882" s="34" t="s">
        <v>902</v>
      </c>
    </row>
    <row r="3883" customFormat="false" ht="89.25" hidden="false" customHeight="false" outlineLevel="0" collapsed="false">
      <c r="A3883" s="37" t="s">
        <v>7481</v>
      </c>
      <c r="B3883" s="34" t="s">
        <v>7482</v>
      </c>
      <c r="C3883" s="34" t="s">
        <v>902</v>
      </c>
    </row>
    <row r="3884" customFormat="false" ht="89.25" hidden="false" customHeight="false" outlineLevel="0" collapsed="false">
      <c r="A3884" s="37" t="s">
        <v>7483</v>
      </c>
      <c r="B3884" s="34" t="s">
        <v>7484</v>
      </c>
      <c r="C3884" s="34" t="s">
        <v>122</v>
      </c>
    </row>
    <row r="3885" customFormat="false" ht="89.25" hidden="false" customHeight="false" outlineLevel="0" collapsed="false">
      <c r="A3885" s="37" t="s">
        <v>7485</v>
      </c>
      <c r="B3885" s="34" t="s">
        <v>7486</v>
      </c>
      <c r="C3885" s="34" t="s">
        <v>874</v>
      </c>
    </row>
    <row r="3886" customFormat="false" ht="89.25" hidden="false" customHeight="false" outlineLevel="0" collapsed="false">
      <c r="A3886" s="37" t="s">
        <v>7487</v>
      </c>
      <c r="B3886" s="34" t="s">
        <v>7488</v>
      </c>
      <c r="C3886" s="34" t="s">
        <v>874</v>
      </c>
    </row>
    <row r="3887" customFormat="false" ht="89.25" hidden="false" customHeight="false" outlineLevel="0" collapsed="false">
      <c r="A3887" s="37" t="s">
        <v>7489</v>
      </c>
      <c r="B3887" s="34" t="s">
        <v>7490</v>
      </c>
      <c r="C3887" s="34" t="s">
        <v>874</v>
      </c>
    </row>
    <row r="3888" customFormat="false" ht="89.25" hidden="false" customHeight="false" outlineLevel="0" collapsed="false">
      <c r="A3888" s="37" t="s">
        <v>7491</v>
      </c>
      <c r="B3888" s="34" t="s">
        <v>7492</v>
      </c>
      <c r="C3888" s="34" t="s">
        <v>874</v>
      </c>
    </row>
    <row r="3889" customFormat="false" ht="102" hidden="false" customHeight="false" outlineLevel="0" collapsed="false">
      <c r="A3889" s="37" t="s">
        <v>7493</v>
      </c>
      <c r="B3889" s="34" t="s">
        <v>7494</v>
      </c>
      <c r="C3889" s="34" t="s">
        <v>883</v>
      </c>
    </row>
    <row r="3890" customFormat="false" ht="102" hidden="false" customHeight="false" outlineLevel="0" collapsed="false">
      <c r="A3890" s="37" t="s">
        <v>7495</v>
      </c>
      <c r="B3890" s="34" t="s">
        <v>7496</v>
      </c>
      <c r="C3890" s="34" t="s">
        <v>97</v>
      </c>
    </row>
    <row r="3891" customFormat="false" ht="102" hidden="false" customHeight="false" outlineLevel="0" collapsed="false">
      <c r="A3891" s="37" t="s">
        <v>7497</v>
      </c>
      <c r="B3891" s="34" t="s">
        <v>7498</v>
      </c>
      <c r="C3891" s="34" t="s">
        <v>97</v>
      </c>
    </row>
    <row r="3892" customFormat="false" ht="102" hidden="false" customHeight="false" outlineLevel="0" collapsed="false">
      <c r="A3892" s="37" t="s">
        <v>7499</v>
      </c>
      <c r="B3892" s="34" t="s">
        <v>7500</v>
      </c>
      <c r="C3892" s="34" t="s">
        <v>887</v>
      </c>
    </row>
    <row r="3893" customFormat="false" ht="114.75" hidden="false" customHeight="false" outlineLevel="0" collapsed="false">
      <c r="A3893" s="37" t="s">
        <v>7501</v>
      </c>
      <c r="B3893" s="34" t="s">
        <v>7502</v>
      </c>
      <c r="C3893" s="34" t="s">
        <v>849</v>
      </c>
    </row>
    <row r="3894" customFormat="false" ht="89.25" hidden="false" customHeight="false" outlineLevel="0" collapsed="false">
      <c r="A3894" s="37" t="s">
        <v>7503</v>
      </c>
      <c r="B3894" s="34" t="s">
        <v>7504</v>
      </c>
      <c r="C3894" s="34" t="s">
        <v>891</v>
      </c>
    </row>
    <row r="3895" customFormat="false" ht="114.75" hidden="false" customHeight="false" outlineLevel="0" collapsed="false">
      <c r="A3895" s="37" t="s">
        <v>7505</v>
      </c>
      <c r="B3895" s="34" t="s">
        <v>7506</v>
      </c>
      <c r="C3895" s="34" t="s">
        <v>853</v>
      </c>
    </row>
    <row r="3896" customFormat="false" ht="76.5" hidden="false" customHeight="false" outlineLevel="0" collapsed="false">
      <c r="A3896" s="37" t="s">
        <v>7507</v>
      </c>
      <c r="B3896" s="34" t="s">
        <v>7508</v>
      </c>
      <c r="C3896" s="34" t="s">
        <v>108</v>
      </c>
    </row>
    <row r="3897" customFormat="false" ht="89.25" hidden="false" customHeight="false" outlineLevel="0" collapsed="false">
      <c r="A3897" s="37" t="s">
        <v>7509</v>
      </c>
      <c r="B3897" s="34" t="s">
        <v>7510</v>
      </c>
      <c r="C3897" s="34" t="s">
        <v>871</v>
      </c>
    </row>
    <row r="3898" customFormat="false" ht="89.25" hidden="false" customHeight="false" outlineLevel="0" collapsed="false">
      <c r="A3898" s="37" t="s">
        <v>7511</v>
      </c>
      <c r="B3898" s="34" t="s">
        <v>7512</v>
      </c>
      <c r="C3898" s="34" t="s">
        <v>858</v>
      </c>
    </row>
    <row r="3899" customFormat="false" ht="89.25" hidden="false" customHeight="false" outlineLevel="0" collapsed="false">
      <c r="A3899" s="37" t="s">
        <v>7513</v>
      </c>
      <c r="B3899" s="34" t="s">
        <v>7514</v>
      </c>
      <c r="C3899" s="34" t="s">
        <v>902</v>
      </c>
    </row>
    <row r="3900" customFormat="false" ht="89.25" hidden="false" customHeight="false" outlineLevel="0" collapsed="false">
      <c r="A3900" s="37" t="s">
        <v>7515</v>
      </c>
      <c r="B3900" s="34" t="s">
        <v>7516</v>
      </c>
      <c r="C3900" s="34" t="s">
        <v>902</v>
      </c>
    </row>
    <row r="3901" customFormat="false" ht="89.25" hidden="false" customHeight="false" outlineLevel="0" collapsed="false">
      <c r="A3901" s="37" t="s">
        <v>7517</v>
      </c>
      <c r="B3901" s="34" t="s">
        <v>7518</v>
      </c>
      <c r="C3901" s="34" t="s">
        <v>122</v>
      </c>
    </row>
    <row r="3902" customFormat="false" ht="89.25" hidden="false" customHeight="false" outlineLevel="0" collapsed="false">
      <c r="A3902" s="37" t="s">
        <v>7519</v>
      </c>
      <c r="B3902" s="34" t="s">
        <v>7520</v>
      </c>
      <c r="C3902" s="34" t="s">
        <v>874</v>
      </c>
    </row>
    <row r="3903" customFormat="false" ht="89.25" hidden="false" customHeight="false" outlineLevel="0" collapsed="false">
      <c r="A3903" s="37" t="s">
        <v>7521</v>
      </c>
      <c r="B3903" s="34" t="s">
        <v>7522</v>
      </c>
      <c r="C3903" s="34" t="s">
        <v>874</v>
      </c>
    </row>
    <row r="3904" customFormat="false" ht="89.25" hidden="false" customHeight="false" outlineLevel="0" collapsed="false">
      <c r="A3904" s="37" t="s">
        <v>7523</v>
      </c>
      <c r="B3904" s="34" t="s">
        <v>7524</v>
      </c>
      <c r="C3904" s="34" t="s">
        <v>874</v>
      </c>
    </row>
    <row r="3905" customFormat="false" ht="89.25" hidden="false" customHeight="false" outlineLevel="0" collapsed="false">
      <c r="A3905" s="37" t="s">
        <v>7525</v>
      </c>
      <c r="B3905" s="34" t="s">
        <v>7526</v>
      </c>
      <c r="C3905" s="34" t="s">
        <v>874</v>
      </c>
    </row>
    <row r="3906" customFormat="false" ht="102" hidden="false" customHeight="false" outlineLevel="0" collapsed="false">
      <c r="A3906" s="37" t="s">
        <v>7527</v>
      </c>
      <c r="B3906" s="34" t="s">
        <v>7528</v>
      </c>
      <c r="C3906" s="34" t="s">
        <v>883</v>
      </c>
    </row>
    <row r="3907" customFormat="false" ht="102" hidden="false" customHeight="false" outlineLevel="0" collapsed="false">
      <c r="A3907" s="37" t="s">
        <v>7529</v>
      </c>
      <c r="B3907" s="34" t="s">
        <v>7530</v>
      </c>
      <c r="C3907" s="34" t="s">
        <v>883</v>
      </c>
    </row>
    <row r="3908" customFormat="false" ht="102" hidden="false" customHeight="false" outlineLevel="0" collapsed="false">
      <c r="A3908" s="37" t="s">
        <v>7531</v>
      </c>
      <c r="B3908" s="34" t="s">
        <v>7532</v>
      </c>
      <c r="C3908" s="34" t="s">
        <v>97</v>
      </c>
    </row>
    <row r="3909" customFormat="false" ht="102" hidden="false" customHeight="false" outlineLevel="0" collapsed="false">
      <c r="A3909" s="37" t="s">
        <v>7533</v>
      </c>
      <c r="B3909" s="34" t="s">
        <v>7534</v>
      </c>
      <c r="C3909" s="34" t="s">
        <v>887</v>
      </c>
    </row>
    <row r="3910" customFormat="false" ht="114.75" hidden="false" customHeight="false" outlineLevel="0" collapsed="false">
      <c r="A3910" s="37" t="s">
        <v>7535</v>
      </c>
      <c r="B3910" s="34" t="s">
        <v>7536</v>
      </c>
      <c r="C3910" s="34" t="s">
        <v>1593</v>
      </c>
    </row>
    <row r="3911" customFormat="false" ht="102" hidden="false" customHeight="false" outlineLevel="0" collapsed="false">
      <c r="A3911" s="37" t="s">
        <v>7537</v>
      </c>
      <c r="B3911" s="34" t="s">
        <v>7538</v>
      </c>
      <c r="C3911" s="34" t="s">
        <v>851</v>
      </c>
    </row>
    <row r="3912" customFormat="false" ht="114.75" hidden="false" customHeight="false" outlineLevel="0" collapsed="false">
      <c r="A3912" s="37" t="s">
        <v>7539</v>
      </c>
      <c r="B3912" s="34" t="s">
        <v>7540</v>
      </c>
      <c r="C3912" s="34" t="s">
        <v>1596</v>
      </c>
    </row>
    <row r="3913" customFormat="false" ht="76.5" hidden="false" customHeight="false" outlineLevel="0" collapsed="false">
      <c r="A3913" s="37" t="s">
        <v>7541</v>
      </c>
      <c r="B3913" s="34" t="s">
        <v>7542</v>
      </c>
      <c r="C3913" s="34" t="s">
        <v>108</v>
      </c>
    </row>
    <row r="3914" customFormat="false" ht="89.25" hidden="false" customHeight="false" outlineLevel="0" collapsed="false">
      <c r="A3914" s="37" t="s">
        <v>7543</v>
      </c>
      <c r="B3914" s="34" t="s">
        <v>7544</v>
      </c>
      <c r="C3914" s="34" t="s">
        <v>871</v>
      </c>
    </row>
    <row r="3915" customFormat="false" ht="114.75" hidden="false" customHeight="false" outlineLevel="0" collapsed="false">
      <c r="A3915" s="37" t="s">
        <v>7545</v>
      </c>
      <c r="B3915" s="34" t="s">
        <v>7536</v>
      </c>
      <c r="C3915" s="34" t="s">
        <v>1593</v>
      </c>
    </row>
    <row r="3916" customFormat="false" ht="89.25" hidden="false" customHeight="false" outlineLevel="0" collapsed="false">
      <c r="A3916" s="37" t="s">
        <v>7546</v>
      </c>
      <c r="B3916" s="34" t="s">
        <v>7547</v>
      </c>
      <c r="C3916" s="34" t="s">
        <v>858</v>
      </c>
    </row>
    <row r="3917" customFormat="false" ht="102" hidden="false" customHeight="false" outlineLevel="0" collapsed="false">
      <c r="A3917" s="37" t="s">
        <v>7548</v>
      </c>
      <c r="B3917" s="34" t="s">
        <v>7549</v>
      </c>
      <c r="C3917" s="34" t="s">
        <v>851</v>
      </c>
    </row>
    <row r="3918" customFormat="false" ht="102" hidden="false" customHeight="false" outlineLevel="0" collapsed="false">
      <c r="A3918" s="37" t="s">
        <v>7550</v>
      </c>
      <c r="B3918" s="34" t="s">
        <v>7551</v>
      </c>
      <c r="C3918" s="34" t="s">
        <v>851</v>
      </c>
    </row>
    <row r="3919" customFormat="false" ht="89.25" hidden="false" customHeight="false" outlineLevel="0" collapsed="false">
      <c r="A3919" s="37" t="s">
        <v>7552</v>
      </c>
      <c r="B3919" s="34" t="s">
        <v>7553</v>
      </c>
      <c r="C3919" s="34" t="s">
        <v>122</v>
      </c>
    </row>
    <row r="3920" customFormat="false" ht="89.25" hidden="false" customHeight="false" outlineLevel="0" collapsed="false">
      <c r="A3920" s="37" t="s">
        <v>7554</v>
      </c>
      <c r="B3920" s="34" t="s">
        <v>7555</v>
      </c>
      <c r="C3920" s="34" t="s">
        <v>874</v>
      </c>
    </row>
    <row r="3921" customFormat="false" ht="89.25" hidden="false" customHeight="false" outlineLevel="0" collapsed="false">
      <c r="A3921" s="37" t="s">
        <v>7556</v>
      </c>
      <c r="B3921" s="34" t="s">
        <v>7557</v>
      </c>
      <c r="C3921" s="34" t="s">
        <v>874</v>
      </c>
    </row>
    <row r="3922" customFormat="false" ht="89.25" hidden="false" customHeight="false" outlineLevel="0" collapsed="false">
      <c r="A3922" s="37" t="s">
        <v>7558</v>
      </c>
      <c r="B3922" s="34" t="s">
        <v>7559</v>
      </c>
      <c r="C3922" s="34" t="s">
        <v>874</v>
      </c>
    </row>
    <row r="3923" customFormat="false" ht="89.25" hidden="false" customHeight="false" outlineLevel="0" collapsed="false">
      <c r="A3923" s="37" t="s">
        <v>7560</v>
      </c>
      <c r="B3923" s="34" t="s">
        <v>7561</v>
      </c>
      <c r="C3923" s="34" t="s">
        <v>874</v>
      </c>
    </row>
    <row r="3924" customFormat="false" ht="102" hidden="false" customHeight="false" outlineLevel="0" collapsed="false">
      <c r="A3924" s="37" t="s">
        <v>7562</v>
      </c>
      <c r="B3924" s="34" t="s">
        <v>7563</v>
      </c>
      <c r="C3924" s="34" t="s">
        <v>883</v>
      </c>
    </row>
    <row r="3925" customFormat="false" ht="89.25" hidden="false" customHeight="false" outlineLevel="0" collapsed="false">
      <c r="A3925" s="37" t="s">
        <v>7564</v>
      </c>
      <c r="B3925" s="34" t="s">
        <v>7565</v>
      </c>
      <c r="C3925" s="34" t="s">
        <v>858</v>
      </c>
    </row>
    <row r="3926" customFormat="false" ht="102" hidden="false" customHeight="false" outlineLevel="0" collapsed="false">
      <c r="A3926" s="37" t="s">
        <v>7566</v>
      </c>
      <c r="B3926" s="34" t="s">
        <v>7567</v>
      </c>
      <c r="C3926" s="34" t="s">
        <v>851</v>
      </c>
    </row>
    <row r="3927" customFormat="false" ht="102" hidden="false" customHeight="false" outlineLevel="0" collapsed="false">
      <c r="A3927" s="37" t="s">
        <v>7568</v>
      </c>
      <c r="B3927" s="34" t="s">
        <v>7569</v>
      </c>
      <c r="C3927" s="34" t="s">
        <v>851</v>
      </c>
    </row>
    <row r="3928" customFormat="false" ht="102" hidden="false" customHeight="false" outlineLevel="0" collapsed="false">
      <c r="A3928" s="37" t="s">
        <v>7570</v>
      </c>
      <c r="B3928" s="34" t="s">
        <v>7571</v>
      </c>
      <c r="C3928" s="34" t="s">
        <v>97</v>
      </c>
    </row>
    <row r="3929" customFormat="false" ht="89.25" hidden="false" customHeight="false" outlineLevel="0" collapsed="false">
      <c r="A3929" s="37" t="s">
        <v>7572</v>
      </c>
      <c r="B3929" s="34" t="s">
        <v>7573</v>
      </c>
      <c r="C3929" s="34" t="s">
        <v>2531</v>
      </c>
    </row>
    <row r="3930" customFormat="false" ht="102" hidden="false" customHeight="false" outlineLevel="0" collapsed="false">
      <c r="A3930" s="37" t="s">
        <v>7574</v>
      </c>
      <c r="B3930" s="34" t="s">
        <v>7575</v>
      </c>
      <c r="C3930" s="34" t="s">
        <v>887</v>
      </c>
    </row>
    <row r="3931" customFormat="false" ht="114.75" hidden="false" customHeight="false" outlineLevel="0" collapsed="false">
      <c r="A3931" s="37" t="s">
        <v>7576</v>
      </c>
      <c r="B3931" s="34" t="s">
        <v>7577</v>
      </c>
      <c r="C3931" s="34" t="s">
        <v>849</v>
      </c>
    </row>
    <row r="3932" customFormat="false" ht="89.25" hidden="false" customHeight="false" outlineLevel="0" collapsed="false">
      <c r="A3932" s="37" t="s">
        <v>7578</v>
      </c>
      <c r="B3932" s="34" t="s">
        <v>7579</v>
      </c>
      <c r="C3932" s="34" t="s">
        <v>891</v>
      </c>
    </row>
    <row r="3933" customFormat="false" ht="114.75" hidden="false" customHeight="false" outlineLevel="0" collapsed="false">
      <c r="A3933" s="37" t="s">
        <v>7580</v>
      </c>
      <c r="B3933" s="34" t="s">
        <v>7581</v>
      </c>
      <c r="C3933" s="34" t="s">
        <v>853</v>
      </c>
    </row>
    <row r="3934" customFormat="false" ht="76.5" hidden="false" customHeight="false" outlineLevel="0" collapsed="false">
      <c r="A3934" s="37" t="s">
        <v>7582</v>
      </c>
      <c r="B3934" s="34" t="s">
        <v>7583</v>
      </c>
      <c r="C3934" s="34" t="s">
        <v>7584</v>
      </c>
    </row>
    <row r="3935" customFormat="false" ht="89.25" hidden="false" customHeight="false" outlineLevel="0" collapsed="false">
      <c r="A3935" s="37" t="s">
        <v>7585</v>
      </c>
      <c r="B3935" s="34" t="s">
        <v>7586</v>
      </c>
      <c r="C3935" s="34" t="s">
        <v>871</v>
      </c>
    </row>
    <row r="3936" customFormat="false" ht="89.25" hidden="false" customHeight="false" outlineLevel="0" collapsed="false">
      <c r="A3936" s="37" t="s">
        <v>7587</v>
      </c>
      <c r="B3936" s="34" t="s">
        <v>7588</v>
      </c>
      <c r="C3936" s="34" t="s">
        <v>858</v>
      </c>
    </row>
    <row r="3937" customFormat="false" ht="89.25" hidden="false" customHeight="false" outlineLevel="0" collapsed="false">
      <c r="A3937" s="37" t="s">
        <v>7589</v>
      </c>
      <c r="B3937" s="34" t="s">
        <v>7590</v>
      </c>
      <c r="C3937" s="34" t="s">
        <v>902</v>
      </c>
    </row>
    <row r="3938" customFormat="false" ht="89.25" hidden="false" customHeight="false" outlineLevel="0" collapsed="false">
      <c r="A3938" s="37" t="s">
        <v>7591</v>
      </c>
      <c r="B3938" s="34" t="s">
        <v>7592</v>
      </c>
      <c r="C3938" s="34" t="s">
        <v>902</v>
      </c>
    </row>
    <row r="3939" customFormat="false" ht="89.25" hidden="false" customHeight="false" outlineLevel="0" collapsed="false">
      <c r="A3939" s="37" t="s">
        <v>7593</v>
      </c>
      <c r="B3939" s="34" t="s">
        <v>7594</v>
      </c>
      <c r="C3939" s="34" t="s">
        <v>122</v>
      </c>
    </row>
    <row r="3940" customFormat="false" ht="89.25" hidden="false" customHeight="false" outlineLevel="0" collapsed="false">
      <c r="A3940" s="37" t="s">
        <v>7595</v>
      </c>
      <c r="B3940" s="34" t="s">
        <v>7596</v>
      </c>
      <c r="C3940" s="34" t="s">
        <v>874</v>
      </c>
    </row>
    <row r="3941" customFormat="false" ht="89.25" hidden="false" customHeight="false" outlineLevel="0" collapsed="false">
      <c r="A3941" s="37" t="s">
        <v>7597</v>
      </c>
      <c r="B3941" s="34" t="s">
        <v>7598</v>
      </c>
      <c r="C3941" s="34" t="s">
        <v>874</v>
      </c>
    </row>
    <row r="3942" customFormat="false" ht="89.25" hidden="false" customHeight="false" outlineLevel="0" collapsed="false">
      <c r="A3942" s="37" t="s">
        <v>7599</v>
      </c>
      <c r="B3942" s="34" t="s">
        <v>7600</v>
      </c>
      <c r="C3942" s="34" t="s">
        <v>874</v>
      </c>
    </row>
    <row r="3943" customFormat="false" ht="89.25" hidden="false" customHeight="false" outlineLevel="0" collapsed="false">
      <c r="A3943" s="37" t="s">
        <v>7601</v>
      </c>
      <c r="B3943" s="34" t="s">
        <v>7602</v>
      </c>
      <c r="C3943" s="34" t="s">
        <v>874</v>
      </c>
    </row>
    <row r="3944" customFormat="false" ht="102" hidden="false" customHeight="false" outlineLevel="0" collapsed="false">
      <c r="A3944" s="37" t="s">
        <v>7603</v>
      </c>
      <c r="B3944" s="34" t="s">
        <v>7604</v>
      </c>
      <c r="C3944" s="34" t="s">
        <v>883</v>
      </c>
    </row>
    <row r="3945" customFormat="false" ht="25.5" hidden="false" customHeight="false" outlineLevel="0" collapsed="false">
      <c r="A3945" s="37" t="s">
        <v>7605</v>
      </c>
      <c r="B3945" s="34" t="s">
        <v>7606</v>
      </c>
      <c r="C3945" s="34" t="s">
        <v>965</v>
      </c>
    </row>
    <row r="3946" customFormat="false" ht="25.5" hidden="false" customHeight="false" outlineLevel="0" collapsed="false">
      <c r="A3946" s="37" t="s">
        <v>7607</v>
      </c>
      <c r="B3946" s="34" t="s">
        <v>7606</v>
      </c>
      <c r="C3946" s="34" t="s">
        <v>965</v>
      </c>
    </row>
    <row r="3947" customFormat="false" ht="25.5" hidden="false" customHeight="false" outlineLevel="0" collapsed="false">
      <c r="A3947" s="37" t="s">
        <v>7608</v>
      </c>
      <c r="B3947" s="34" t="s">
        <v>7606</v>
      </c>
      <c r="C3947" s="34" t="s">
        <v>965</v>
      </c>
    </row>
    <row r="3948" customFormat="false" ht="25.5" hidden="false" customHeight="false" outlineLevel="0" collapsed="false">
      <c r="A3948" s="37" t="s">
        <v>7609</v>
      </c>
      <c r="B3948" s="34" t="s">
        <v>7606</v>
      </c>
      <c r="C3948" s="34" t="s">
        <v>965</v>
      </c>
    </row>
    <row r="3949" customFormat="false" ht="25.5" hidden="false" customHeight="false" outlineLevel="0" collapsed="false">
      <c r="A3949" s="37" t="s">
        <v>7610</v>
      </c>
      <c r="B3949" s="34" t="s">
        <v>7606</v>
      </c>
      <c r="C3949" s="34" t="s">
        <v>965</v>
      </c>
    </row>
    <row r="3950" customFormat="false" ht="25.5" hidden="false" customHeight="false" outlineLevel="0" collapsed="false">
      <c r="A3950" s="37" t="s">
        <v>7611</v>
      </c>
      <c r="B3950" s="34" t="s">
        <v>7612</v>
      </c>
      <c r="C3950" s="34" t="s">
        <v>965</v>
      </c>
    </row>
    <row r="3951" customFormat="false" ht="25.5" hidden="false" customHeight="false" outlineLevel="0" collapsed="false">
      <c r="A3951" s="37" t="s">
        <v>7613</v>
      </c>
      <c r="B3951" s="34" t="s">
        <v>7606</v>
      </c>
      <c r="C3951" s="34" t="s">
        <v>965</v>
      </c>
    </row>
    <row r="3952" customFormat="false" ht="25.5" hidden="false" customHeight="false" outlineLevel="0" collapsed="false">
      <c r="A3952" s="37" t="s">
        <v>7614</v>
      </c>
      <c r="B3952" s="34" t="s">
        <v>7606</v>
      </c>
      <c r="C3952" s="34" t="s">
        <v>965</v>
      </c>
    </row>
    <row r="3953" customFormat="false" ht="89.25" hidden="false" customHeight="false" outlineLevel="0" collapsed="false">
      <c r="A3953" s="37" t="s">
        <v>7615</v>
      </c>
      <c r="B3953" s="34" t="s">
        <v>7616</v>
      </c>
      <c r="C3953" s="34" t="s">
        <v>985</v>
      </c>
    </row>
    <row r="3954" customFormat="false" ht="89.25" hidden="false" customHeight="false" outlineLevel="0" collapsed="false">
      <c r="A3954" s="37" t="s">
        <v>7617</v>
      </c>
      <c r="B3954" s="34" t="s">
        <v>7618</v>
      </c>
      <c r="C3954" s="34" t="s">
        <v>1658</v>
      </c>
    </row>
    <row r="3955" customFormat="false" ht="76.5" hidden="false" customHeight="false" outlineLevel="0" collapsed="false">
      <c r="A3955" s="37" t="s">
        <v>7619</v>
      </c>
      <c r="B3955" s="34" t="s">
        <v>7620</v>
      </c>
      <c r="C3955" s="34" t="s">
        <v>1661</v>
      </c>
    </row>
    <row r="3956" customFormat="false" ht="38.25" hidden="false" customHeight="false" outlineLevel="0" collapsed="false">
      <c r="A3956" s="37" t="s">
        <v>7621</v>
      </c>
      <c r="B3956" s="34" t="s">
        <v>7622</v>
      </c>
      <c r="C3956" s="34" t="s">
        <v>965</v>
      </c>
    </row>
    <row r="3957" customFormat="false" ht="38.25" hidden="false" customHeight="false" outlineLevel="0" collapsed="false">
      <c r="A3957" s="37" t="s">
        <v>7623</v>
      </c>
      <c r="B3957" s="34" t="s">
        <v>7624</v>
      </c>
      <c r="C3957" s="34" t="s">
        <v>965</v>
      </c>
    </row>
    <row r="3958" customFormat="false" ht="38.25" hidden="false" customHeight="false" outlineLevel="0" collapsed="false">
      <c r="A3958" s="37" t="s">
        <v>7625</v>
      </c>
      <c r="B3958" s="34" t="s">
        <v>7626</v>
      </c>
      <c r="C3958" s="34" t="s">
        <v>965</v>
      </c>
    </row>
    <row r="3959" customFormat="false" ht="89.25" hidden="false" customHeight="false" outlineLevel="0" collapsed="false">
      <c r="A3959" s="37" t="s">
        <v>7627</v>
      </c>
      <c r="B3959" s="34" t="s">
        <v>7628</v>
      </c>
      <c r="C3959" s="34" t="s">
        <v>997</v>
      </c>
    </row>
    <row r="3960" customFormat="false" ht="89.25" hidden="false" customHeight="false" outlineLevel="0" collapsed="false">
      <c r="A3960" s="37" t="s">
        <v>7629</v>
      </c>
      <c r="B3960" s="34" t="s">
        <v>7630</v>
      </c>
      <c r="C3960" s="34" t="s">
        <v>997</v>
      </c>
    </row>
    <row r="3961" customFormat="false" ht="102" hidden="false" customHeight="false" outlineLevel="0" collapsed="false">
      <c r="A3961" s="37" t="s">
        <v>7631</v>
      </c>
      <c r="B3961" s="34" t="s">
        <v>7632</v>
      </c>
      <c r="C3961" s="34" t="s">
        <v>97</v>
      </c>
    </row>
    <row r="3962" customFormat="false" ht="89.25" hidden="false" customHeight="false" outlineLevel="0" collapsed="false">
      <c r="A3962" s="37" t="s">
        <v>7633</v>
      </c>
      <c r="B3962" s="34" t="s">
        <v>7634</v>
      </c>
      <c r="C3962" s="34" t="s">
        <v>2531</v>
      </c>
    </row>
    <row r="3963" customFormat="false" ht="102" hidden="false" customHeight="false" outlineLevel="0" collapsed="false">
      <c r="A3963" s="37" t="s">
        <v>7635</v>
      </c>
      <c r="B3963" s="34" t="s">
        <v>7636</v>
      </c>
      <c r="C3963" s="34" t="s">
        <v>887</v>
      </c>
    </row>
    <row r="3964" customFormat="false" ht="114.75" hidden="false" customHeight="false" outlineLevel="0" collapsed="false">
      <c r="A3964" s="37" t="s">
        <v>7637</v>
      </c>
      <c r="B3964" s="34" t="s">
        <v>7638</v>
      </c>
      <c r="C3964" s="34" t="s">
        <v>849</v>
      </c>
    </row>
    <row r="3965" customFormat="false" ht="89.25" hidden="false" customHeight="false" outlineLevel="0" collapsed="false">
      <c r="A3965" s="37" t="s">
        <v>7639</v>
      </c>
      <c r="B3965" s="34" t="s">
        <v>7640</v>
      </c>
      <c r="C3965" s="34" t="s">
        <v>891</v>
      </c>
    </row>
    <row r="3966" customFormat="false" ht="114.75" hidden="false" customHeight="false" outlineLevel="0" collapsed="false">
      <c r="A3966" s="37" t="s">
        <v>7641</v>
      </c>
      <c r="B3966" s="34" t="s">
        <v>7642</v>
      </c>
      <c r="C3966" s="34" t="s">
        <v>853</v>
      </c>
    </row>
    <row r="3967" customFormat="false" ht="76.5" hidden="false" customHeight="false" outlineLevel="0" collapsed="false">
      <c r="A3967" s="37" t="s">
        <v>7643</v>
      </c>
      <c r="B3967" s="34" t="s">
        <v>7644</v>
      </c>
      <c r="C3967" s="34" t="s">
        <v>7645</v>
      </c>
    </row>
    <row r="3968" customFormat="false" ht="89.25" hidden="false" customHeight="false" outlineLevel="0" collapsed="false">
      <c r="A3968" s="37" t="s">
        <v>7646</v>
      </c>
      <c r="B3968" s="34" t="s">
        <v>7647</v>
      </c>
      <c r="C3968" s="34" t="s">
        <v>871</v>
      </c>
    </row>
    <row r="3969" customFormat="false" ht="89.25" hidden="false" customHeight="false" outlineLevel="0" collapsed="false">
      <c r="A3969" s="37" t="s">
        <v>7648</v>
      </c>
      <c r="B3969" s="34" t="s">
        <v>7649</v>
      </c>
      <c r="C3969" s="34" t="s">
        <v>858</v>
      </c>
    </row>
    <row r="3970" customFormat="false" ht="89.25" hidden="false" customHeight="false" outlineLevel="0" collapsed="false">
      <c r="A3970" s="37" t="s">
        <v>7650</v>
      </c>
      <c r="B3970" s="34" t="s">
        <v>7651</v>
      </c>
      <c r="C3970" s="34" t="s">
        <v>902</v>
      </c>
    </row>
    <row r="3971" customFormat="false" ht="89.25" hidden="false" customHeight="false" outlineLevel="0" collapsed="false">
      <c r="A3971" s="37" t="s">
        <v>7652</v>
      </c>
      <c r="B3971" s="34" t="s">
        <v>7653</v>
      </c>
      <c r="C3971" s="34" t="s">
        <v>902</v>
      </c>
    </row>
    <row r="3972" customFormat="false" ht="114.75" hidden="false" customHeight="false" outlineLevel="0" collapsed="false">
      <c r="A3972" s="37" t="s">
        <v>7654</v>
      </c>
      <c r="B3972" s="34" t="s">
        <v>7655</v>
      </c>
      <c r="C3972" s="34" t="s">
        <v>7656</v>
      </c>
    </row>
    <row r="3973" customFormat="false" ht="89.25" hidden="false" customHeight="false" outlineLevel="0" collapsed="false">
      <c r="A3973" s="37" t="s">
        <v>7657</v>
      </c>
      <c r="B3973" s="34" t="s">
        <v>7658</v>
      </c>
      <c r="C3973" s="34" t="s">
        <v>874</v>
      </c>
    </row>
    <row r="3974" customFormat="false" ht="89.25" hidden="false" customHeight="false" outlineLevel="0" collapsed="false">
      <c r="A3974" s="37" t="s">
        <v>7659</v>
      </c>
      <c r="B3974" s="34" t="s">
        <v>7660</v>
      </c>
      <c r="C3974" s="34" t="s">
        <v>874</v>
      </c>
    </row>
    <row r="3975" customFormat="false" ht="89.25" hidden="false" customHeight="false" outlineLevel="0" collapsed="false">
      <c r="A3975" s="37" t="s">
        <v>7661</v>
      </c>
      <c r="B3975" s="34" t="s">
        <v>7662</v>
      </c>
      <c r="C3975" s="34" t="s">
        <v>874</v>
      </c>
    </row>
    <row r="3976" customFormat="false" ht="89.25" hidden="false" customHeight="false" outlineLevel="0" collapsed="false">
      <c r="A3976" s="37" t="s">
        <v>7663</v>
      </c>
      <c r="B3976" s="34" t="s">
        <v>7664</v>
      </c>
      <c r="C3976" s="34" t="s">
        <v>874</v>
      </c>
    </row>
    <row r="3977" customFormat="false" ht="127.5" hidden="false" customHeight="false" outlineLevel="0" collapsed="false">
      <c r="A3977" s="37" t="s">
        <v>7665</v>
      </c>
      <c r="B3977" s="34" t="s">
        <v>7666</v>
      </c>
      <c r="C3977" s="34" t="s">
        <v>1069</v>
      </c>
    </row>
    <row r="3978" customFormat="false" ht="127.5" hidden="false" customHeight="false" outlineLevel="0" collapsed="false">
      <c r="A3978" s="37" t="s">
        <v>7667</v>
      </c>
      <c r="B3978" s="34" t="s">
        <v>7668</v>
      </c>
      <c r="C3978" s="34" t="s">
        <v>1079</v>
      </c>
    </row>
    <row r="3979" customFormat="false" ht="127.5" hidden="false" customHeight="false" outlineLevel="0" collapsed="false">
      <c r="A3979" s="37" t="s">
        <v>7669</v>
      </c>
      <c r="B3979" s="34" t="s">
        <v>7670</v>
      </c>
      <c r="C3979" s="34" t="s">
        <v>1089</v>
      </c>
    </row>
    <row r="3980" customFormat="false" ht="127.5" hidden="false" customHeight="false" outlineLevel="0" collapsed="false">
      <c r="A3980" s="37" t="s">
        <v>7671</v>
      </c>
      <c r="B3980" s="34" t="s">
        <v>7672</v>
      </c>
      <c r="C3980" s="34" t="s">
        <v>1099</v>
      </c>
    </row>
    <row r="3981" customFormat="false" ht="127.5" hidden="false" customHeight="false" outlineLevel="0" collapsed="false">
      <c r="A3981" s="37" t="s">
        <v>7673</v>
      </c>
      <c r="B3981" s="34" t="s">
        <v>7674</v>
      </c>
      <c r="C3981" s="34" t="s">
        <v>1108</v>
      </c>
    </row>
    <row r="3982" customFormat="false" ht="102" hidden="false" customHeight="false" outlineLevel="0" collapsed="false">
      <c r="A3982" s="37" t="s">
        <v>7675</v>
      </c>
      <c r="B3982" s="34" t="s">
        <v>7676</v>
      </c>
      <c r="C3982" s="34" t="s">
        <v>883</v>
      </c>
    </row>
    <row r="3983" customFormat="false" ht="114.75" hidden="false" customHeight="false" outlineLevel="0" collapsed="false">
      <c r="A3983" s="37" t="s">
        <v>7677</v>
      </c>
      <c r="B3983" s="34" t="s">
        <v>7678</v>
      </c>
      <c r="C3983" s="34" t="s">
        <v>7679</v>
      </c>
    </row>
    <row r="3984" customFormat="false" ht="51" hidden="false" customHeight="false" outlineLevel="0" collapsed="false">
      <c r="A3984" s="37" t="s">
        <v>7680</v>
      </c>
      <c r="B3984" s="34" t="s">
        <v>7681</v>
      </c>
      <c r="C3984" s="34" t="s">
        <v>965</v>
      </c>
    </row>
    <row r="3985" customFormat="false" ht="38.25" hidden="false" customHeight="false" outlineLevel="0" collapsed="false">
      <c r="A3985" s="37" t="s">
        <v>7682</v>
      </c>
      <c r="B3985" s="34" t="s">
        <v>7683</v>
      </c>
      <c r="C3985" s="34" t="s">
        <v>965</v>
      </c>
    </row>
    <row r="3986" customFormat="false" ht="38.25" hidden="false" customHeight="false" outlineLevel="0" collapsed="false">
      <c r="A3986" s="37" t="s">
        <v>7684</v>
      </c>
      <c r="B3986" s="34" t="s">
        <v>7685</v>
      </c>
      <c r="C3986" s="34" t="s">
        <v>965</v>
      </c>
    </row>
    <row r="3987" customFormat="false" ht="38.25" hidden="false" customHeight="false" outlineLevel="0" collapsed="false">
      <c r="A3987" s="37" t="s">
        <v>7686</v>
      </c>
      <c r="B3987" s="34" t="s">
        <v>7687</v>
      </c>
      <c r="C3987" s="34" t="s">
        <v>965</v>
      </c>
    </row>
    <row r="3988" customFormat="false" ht="63.75" hidden="false" customHeight="false" outlineLevel="0" collapsed="false">
      <c r="A3988" s="37" t="s">
        <v>7688</v>
      </c>
      <c r="B3988" s="34" t="s">
        <v>7689</v>
      </c>
      <c r="C3988" s="34" t="s">
        <v>139</v>
      </c>
    </row>
    <row r="3989" customFormat="false" ht="63.75" hidden="false" customHeight="false" outlineLevel="0" collapsed="false">
      <c r="A3989" s="37" t="s">
        <v>7690</v>
      </c>
      <c r="B3989" s="34" t="s">
        <v>7691</v>
      </c>
      <c r="C3989" s="34" t="s">
        <v>142</v>
      </c>
    </row>
    <row r="3990" customFormat="false" ht="63.75" hidden="false" customHeight="false" outlineLevel="0" collapsed="false">
      <c r="A3990" s="37" t="s">
        <v>7692</v>
      </c>
      <c r="B3990" s="34" t="s">
        <v>7693</v>
      </c>
      <c r="C3990" s="34" t="s">
        <v>1033</v>
      </c>
    </row>
    <row r="3991" customFormat="false" ht="38.25" hidden="false" customHeight="false" outlineLevel="0" collapsed="false">
      <c r="A3991" s="37" t="s">
        <v>7694</v>
      </c>
      <c r="B3991" s="34" t="s">
        <v>7695</v>
      </c>
      <c r="C3991" s="34" t="s">
        <v>687</v>
      </c>
    </row>
    <row r="3992" customFormat="false" ht="51" hidden="false" customHeight="false" outlineLevel="0" collapsed="false">
      <c r="A3992" s="37" t="s">
        <v>7696</v>
      </c>
      <c r="B3992" s="34" t="s">
        <v>7697</v>
      </c>
      <c r="C3992" s="34" t="s">
        <v>1038</v>
      </c>
    </row>
    <row r="3993" customFormat="false" ht="38.25" hidden="false" customHeight="false" outlineLevel="0" collapsed="false">
      <c r="A3993" s="37" t="s">
        <v>7698</v>
      </c>
      <c r="B3993" s="34" t="s">
        <v>7699</v>
      </c>
      <c r="C3993" s="34" t="s">
        <v>1041</v>
      </c>
    </row>
    <row r="3994" customFormat="false" ht="25.5" hidden="false" customHeight="false" outlineLevel="0" collapsed="false">
      <c r="A3994" s="37" t="s">
        <v>7700</v>
      </c>
      <c r="B3994" s="34" t="s">
        <v>7701</v>
      </c>
      <c r="C3994" s="34" t="s">
        <v>1044</v>
      </c>
    </row>
    <row r="3995" customFormat="false" ht="51" hidden="false" customHeight="false" outlineLevel="0" collapsed="false">
      <c r="A3995" s="37" t="s">
        <v>7702</v>
      </c>
      <c r="B3995" s="34" t="s">
        <v>7703</v>
      </c>
      <c r="C3995" s="34" t="s">
        <v>1047</v>
      </c>
    </row>
    <row r="3996" customFormat="false" ht="51" hidden="false" customHeight="false" outlineLevel="0" collapsed="false">
      <c r="A3996" s="37" t="s">
        <v>7704</v>
      </c>
      <c r="B3996" s="34" t="s">
        <v>7705</v>
      </c>
      <c r="C3996" s="34" t="s">
        <v>1050</v>
      </c>
    </row>
    <row r="3997" customFormat="false" ht="51" hidden="false" customHeight="false" outlineLevel="0" collapsed="false">
      <c r="A3997" s="37" t="s">
        <v>7706</v>
      </c>
      <c r="B3997" s="34" t="s">
        <v>7707</v>
      </c>
      <c r="C3997" s="34" t="s">
        <v>1053</v>
      </c>
    </row>
    <row r="3998" customFormat="false" ht="38.25" hidden="false" customHeight="false" outlineLevel="0" collapsed="false">
      <c r="A3998" s="37" t="s">
        <v>7708</v>
      </c>
      <c r="B3998" s="34" t="s">
        <v>7709</v>
      </c>
      <c r="C3998" s="34" t="s">
        <v>1056</v>
      </c>
    </row>
    <row r="3999" customFormat="false" ht="63.75" hidden="false" customHeight="false" outlineLevel="0" collapsed="false">
      <c r="A3999" s="37" t="s">
        <v>7710</v>
      </c>
      <c r="B3999" s="34" t="s">
        <v>7711</v>
      </c>
      <c r="C3999" s="34" t="s">
        <v>1059</v>
      </c>
    </row>
    <row r="4000" customFormat="false" ht="63.75" hidden="false" customHeight="false" outlineLevel="0" collapsed="false">
      <c r="A4000" s="37" t="s">
        <v>7712</v>
      </c>
      <c r="B4000" s="34" t="s">
        <v>7713</v>
      </c>
      <c r="C4000" s="34" t="s">
        <v>139</v>
      </c>
    </row>
    <row r="4001" customFormat="false" ht="63.75" hidden="false" customHeight="false" outlineLevel="0" collapsed="false">
      <c r="A4001" s="37" t="s">
        <v>7714</v>
      </c>
      <c r="B4001" s="34" t="s">
        <v>7715</v>
      </c>
      <c r="C4001" s="34" t="s">
        <v>139</v>
      </c>
    </row>
    <row r="4002" customFormat="false" ht="63.75" hidden="false" customHeight="false" outlineLevel="0" collapsed="false">
      <c r="A4002" s="37" t="s">
        <v>7716</v>
      </c>
      <c r="B4002" s="34" t="s">
        <v>7717</v>
      </c>
      <c r="C4002" s="34" t="s">
        <v>139</v>
      </c>
    </row>
    <row r="4003" customFormat="false" ht="89.25" hidden="false" customHeight="false" outlineLevel="0" collapsed="false">
      <c r="A4003" s="37" t="s">
        <v>7718</v>
      </c>
      <c r="B4003" s="34" t="s">
        <v>7719</v>
      </c>
      <c r="C4003" s="34" t="s">
        <v>1717</v>
      </c>
    </row>
    <row r="4004" customFormat="false" ht="127.5" hidden="false" customHeight="false" outlineLevel="0" collapsed="false">
      <c r="A4004" s="37" t="s">
        <v>7720</v>
      </c>
      <c r="B4004" s="34" t="s">
        <v>7721</v>
      </c>
      <c r="C4004" s="34" t="s">
        <v>1069</v>
      </c>
    </row>
    <row r="4005" customFormat="false" ht="127.5" hidden="false" customHeight="false" outlineLevel="0" collapsed="false">
      <c r="A4005" s="37" t="s">
        <v>7722</v>
      </c>
      <c r="B4005" s="34" t="s">
        <v>7723</v>
      </c>
      <c r="C4005" s="34" t="s">
        <v>1069</v>
      </c>
    </row>
    <row r="4006" customFormat="false" ht="127.5" hidden="false" customHeight="false" outlineLevel="0" collapsed="false">
      <c r="A4006" s="37" t="s">
        <v>7724</v>
      </c>
      <c r="B4006" s="34" t="s">
        <v>7725</v>
      </c>
      <c r="C4006" s="34" t="s">
        <v>1069</v>
      </c>
    </row>
    <row r="4007" customFormat="false" ht="127.5" hidden="false" customHeight="false" outlineLevel="0" collapsed="false">
      <c r="A4007" s="37" t="s">
        <v>7726</v>
      </c>
      <c r="B4007" s="34" t="s">
        <v>7727</v>
      </c>
      <c r="C4007" s="34" t="s">
        <v>1069</v>
      </c>
    </row>
    <row r="4008" customFormat="false" ht="127.5" hidden="false" customHeight="false" outlineLevel="0" collapsed="false">
      <c r="A4008" s="37" t="s">
        <v>7728</v>
      </c>
      <c r="B4008" s="34" t="s">
        <v>7729</v>
      </c>
      <c r="C4008" s="34" t="s">
        <v>1069</v>
      </c>
    </row>
    <row r="4009" customFormat="false" ht="127.5" hidden="false" customHeight="false" outlineLevel="0" collapsed="false">
      <c r="A4009" s="37" t="s">
        <v>7730</v>
      </c>
      <c r="B4009" s="34" t="s">
        <v>7731</v>
      </c>
      <c r="C4009" s="34" t="s">
        <v>1069</v>
      </c>
    </row>
    <row r="4010" customFormat="false" ht="127.5" hidden="false" customHeight="false" outlineLevel="0" collapsed="false">
      <c r="A4010" s="37" t="s">
        <v>7732</v>
      </c>
      <c r="B4010" s="34" t="s">
        <v>7733</v>
      </c>
      <c r="C4010" s="34" t="s">
        <v>1069</v>
      </c>
    </row>
    <row r="4011" customFormat="false" ht="127.5" hidden="false" customHeight="false" outlineLevel="0" collapsed="false">
      <c r="A4011" s="37" t="s">
        <v>7734</v>
      </c>
      <c r="B4011" s="34" t="s">
        <v>7735</v>
      </c>
      <c r="C4011" s="34" t="s">
        <v>1069</v>
      </c>
    </row>
    <row r="4012" customFormat="false" ht="127.5" hidden="false" customHeight="false" outlineLevel="0" collapsed="false">
      <c r="A4012" s="37" t="s">
        <v>7736</v>
      </c>
      <c r="B4012" s="34" t="s">
        <v>7737</v>
      </c>
      <c r="C4012" s="34" t="s">
        <v>1069</v>
      </c>
    </row>
    <row r="4013" customFormat="false" ht="127.5" hidden="false" customHeight="false" outlineLevel="0" collapsed="false">
      <c r="A4013" s="37" t="s">
        <v>7738</v>
      </c>
      <c r="B4013" s="34" t="s">
        <v>7739</v>
      </c>
      <c r="C4013" s="34" t="s">
        <v>1069</v>
      </c>
    </row>
    <row r="4014" customFormat="false" ht="127.5" hidden="false" customHeight="false" outlineLevel="0" collapsed="false">
      <c r="A4014" s="37" t="s">
        <v>7740</v>
      </c>
      <c r="B4014" s="34" t="s">
        <v>7741</v>
      </c>
      <c r="C4014" s="34" t="s">
        <v>1732</v>
      </c>
    </row>
    <row r="4015" customFormat="false" ht="127.5" hidden="false" customHeight="false" outlineLevel="0" collapsed="false">
      <c r="A4015" s="37" t="s">
        <v>7742</v>
      </c>
      <c r="B4015" s="34" t="s">
        <v>7743</v>
      </c>
      <c r="C4015" s="34" t="s">
        <v>1732</v>
      </c>
    </row>
    <row r="4016" customFormat="false" ht="102" hidden="false" customHeight="false" outlineLevel="0" collapsed="false">
      <c r="A4016" s="37" t="s">
        <v>7744</v>
      </c>
      <c r="B4016" s="34" t="s">
        <v>7745</v>
      </c>
      <c r="C4016" s="34" t="s">
        <v>1737</v>
      </c>
    </row>
    <row r="4017" customFormat="false" ht="102" hidden="false" customHeight="false" outlineLevel="0" collapsed="false">
      <c r="A4017" s="37" t="s">
        <v>7746</v>
      </c>
      <c r="B4017" s="34" t="s">
        <v>7747</v>
      </c>
      <c r="C4017" s="34" t="s">
        <v>1737</v>
      </c>
    </row>
    <row r="4018" customFormat="false" ht="102" hidden="false" customHeight="false" outlineLevel="0" collapsed="false">
      <c r="A4018" s="37" t="s">
        <v>7748</v>
      </c>
      <c r="B4018" s="34" t="s">
        <v>7749</v>
      </c>
      <c r="C4018" s="34" t="s">
        <v>1737</v>
      </c>
    </row>
    <row r="4019" customFormat="false" ht="76.5" hidden="false" customHeight="false" outlineLevel="0" collapsed="false">
      <c r="A4019" s="37" t="s">
        <v>7750</v>
      </c>
      <c r="B4019" s="34" t="s">
        <v>7751</v>
      </c>
      <c r="C4019" s="34" t="s">
        <v>1741</v>
      </c>
    </row>
    <row r="4020" customFormat="false" ht="63.75" hidden="false" customHeight="false" outlineLevel="0" collapsed="false">
      <c r="A4020" s="37" t="s">
        <v>7752</v>
      </c>
      <c r="B4020" s="34" t="s">
        <v>7753</v>
      </c>
      <c r="C4020" s="34" t="s">
        <v>1744</v>
      </c>
    </row>
    <row r="4021" customFormat="false" ht="102" hidden="false" customHeight="false" outlineLevel="0" collapsed="false">
      <c r="A4021" s="37" t="s">
        <v>7754</v>
      </c>
      <c r="B4021" s="34" t="s">
        <v>7755</v>
      </c>
      <c r="C4021" s="34" t="s">
        <v>177</v>
      </c>
    </row>
    <row r="4022" customFormat="false" ht="102" hidden="false" customHeight="false" outlineLevel="0" collapsed="false">
      <c r="A4022" s="37" t="s">
        <v>7756</v>
      </c>
      <c r="B4022" s="34" t="s">
        <v>7757</v>
      </c>
      <c r="C4022" s="34" t="s">
        <v>177</v>
      </c>
    </row>
    <row r="4023" customFormat="false" ht="76.5" hidden="false" customHeight="false" outlineLevel="0" collapsed="false">
      <c r="A4023" s="37" t="s">
        <v>7758</v>
      </c>
      <c r="B4023" s="34" t="s">
        <v>7759</v>
      </c>
      <c r="C4023" s="34" t="s">
        <v>3361</v>
      </c>
    </row>
    <row r="4024" customFormat="false" ht="76.5" hidden="false" customHeight="false" outlineLevel="0" collapsed="false">
      <c r="A4024" s="37" t="s">
        <v>7760</v>
      </c>
      <c r="B4024" s="34" t="s">
        <v>7761</v>
      </c>
      <c r="C4024" s="34" t="s">
        <v>3361</v>
      </c>
    </row>
    <row r="4025" customFormat="false" ht="76.5" hidden="false" customHeight="false" outlineLevel="0" collapsed="false">
      <c r="A4025" s="37" t="s">
        <v>7762</v>
      </c>
      <c r="B4025" s="34" t="s">
        <v>7763</v>
      </c>
      <c r="C4025" s="34" t="s">
        <v>3361</v>
      </c>
    </row>
    <row r="4026" customFormat="false" ht="102" hidden="false" customHeight="false" outlineLevel="0" collapsed="false">
      <c r="A4026" s="37" t="s">
        <v>7764</v>
      </c>
      <c r="B4026" s="34" t="s">
        <v>7765</v>
      </c>
      <c r="C4026" s="34" t="s">
        <v>1751</v>
      </c>
    </row>
    <row r="4027" customFormat="false" ht="102" hidden="false" customHeight="false" outlineLevel="0" collapsed="false">
      <c r="A4027" s="37" t="s">
        <v>7766</v>
      </c>
      <c r="B4027" s="34" t="s">
        <v>7767</v>
      </c>
      <c r="C4027" s="34" t="s">
        <v>1751</v>
      </c>
    </row>
    <row r="4028" customFormat="false" ht="102" hidden="false" customHeight="false" outlineLevel="0" collapsed="false">
      <c r="A4028" s="37" t="s">
        <v>7768</v>
      </c>
      <c r="B4028" s="34" t="s">
        <v>7769</v>
      </c>
      <c r="C4028" s="34" t="s">
        <v>1737</v>
      </c>
    </row>
    <row r="4029" customFormat="false" ht="102" hidden="false" customHeight="false" outlineLevel="0" collapsed="false">
      <c r="A4029" s="37" t="s">
        <v>7770</v>
      </c>
      <c r="B4029" s="34" t="s">
        <v>7771</v>
      </c>
      <c r="C4029" s="34" t="s">
        <v>1737</v>
      </c>
    </row>
    <row r="4030" customFormat="false" ht="127.5" hidden="false" customHeight="false" outlineLevel="0" collapsed="false">
      <c r="A4030" s="37" t="s">
        <v>7772</v>
      </c>
      <c r="B4030" s="34" t="s">
        <v>7773</v>
      </c>
      <c r="C4030" s="34" t="s">
        <v>186</v>
      </c>
    </row>
    <row r="4031" customFormat="false" ht="89.25" hidden="false" customHeight="false" outlineLevel="0" collapsed="false">
      <c r="A4031" s="37" t="s">
        <v>7774</v>
      </c>
      <c r="B4031" s="34" t="s">
        <v>7775</v>
      </c>
      <c r="C4031" s="34" t="s">
        <v>1762</v>
      </c>
    </row>
    <row r="4032" customFormat="false" ht="63.75" hidden="false" customHeight="false" outlineLevel="0" collapsed="false">
      <c r="A4032" s="37" t="s">
        <v>7776</v>
      </c>
      <c r="B4032" s="34" t="s">
        <v>7777</v>
      </c>
      <c r="C4032" s="34" t="s">
        <v>139</v>
      </c>
    </row>
    <row r="4033" customFormat="false" ht="63.75" hidden="false" customHeight="false" outlineLevel="0" collapsed="false">
      <c r="A4033" s="37" t="s">
        <v>7778</v>
      </c>
      <c r="B4033" s="34" t="s">
        <v>7779</v>
      </c>
      <c r="C4033" s="34" t="s">
        <v>139</v>
      </c>
    </row>
    <row r="4034" customFormat="false" ht="63.75" hidden="false" customHeight="false" outlineLevel="0" collapsed="false">
      <c r="A4034" s="37" t="s">
        <v>7780</v>
      </c>
      <c r="B4034" s="34" t="s">
        <v>7781</v>
      </c>
      <c r="C4034" s="34" t="s">
        <v>139</v>
      </c>
    </row>
    <row r="4035" customFormat="false" ht="38.25" hidden="false" customHeight="false" outlineLevel="0" collapsed="false">
      <c r="A4035" s="37" t="s">
        <v>7782</v>
      </c>
      <c r="B4035" s="34" t="s">
        <v>7783</v>
      </c>
      <c r="C4035" s="34" t="s">
        <v>965</v>
      </c>
    </row>
    <row r="4036" customFormat="false" ht="25.5" hidden="false" customHeight="false" outlineLevel="0" collapsed="false">
      <c r="A4036" s="37" t="s">
        <v>7784</v>
      </c>
      <c r="B4036" s="34" t="s">
        <v>7785</v>
      </c>
      <c r="C4036" s="34" t="s">
        <v>965</v>
      </c>
    </row>
    <row r="4037" customFormat="false" ht="89.25" hidden="false" customHeight="false" outlineLevel="0" collapsed="false">
      <c r="A4037" s="37" t="s">
        <v>7786</v>
      </c>
      <c r="B4037" s="34" t="s">
        <v>7787</v>
      </c>
      <c r="C4037" s="34" t="s">
        <v>1774</v>
      </c>
    </row>
    <row r="4038" customFormat="false" ht="127.5" hidden="false" customHeight="false" outlineLevel="0" collapsed="false">
      <c r="A4038" s="37" t="s">
        <v>7788</v>
      </c>
      <c r="B4038" s="34" t="s">
        <v>7789</v>
      </c>
      <c r="C4038" s="34" t="s">
        <v>1079</v>
      </c>
    </row>
    <row r="4039" customFormat="false" ht="127.5" hidden="false" customHeight="false" outlineLevel="0" collapsed="false">
      <c r="A4039" s="37" t="s">
        <v>7790</v>
      </c>
      <c r="B4039" s="34" t="s">
        <v>7791</v>
      </c>
      <c r="C4039" s="34" t="s">
        <v>1079</v>
      </c>
    </row>
    <row r="4040" customFormat="false" ht="127.5" hidden="false" customHeight="false" outlineLevel="0" collapsed="false">
      <c r="A4040" s="37" t="s">
        <v>7792</v>
      </c>
      <c r="B4040" s="34" t="s">
        <v>7793</v>
      </c>
      <c r="C4040" s="34" t="s">
        <v>1079</v>
      </c>
    </row>
    <row r="4041" customFormat="false" ht="127.5" hidden="false" customHeight="false" outlineLevel="0" collapsed="false">
      <c r="A4041" s="37" t="s">
        <v>7794</v>
      </c>
      <c r="B4041" s="34" t="s">
        <v>7795</v>
      </c>
      <c r="C4041" s="34" t="s">
        <v>1079</v>
      </c>
    </row>
    <row r="4042" customFormat="false" ht="127.5" hidden="false" customHeight="false" outlineLevel="0" collapsed="false">
      <c r="A4042" s="37" t="s">
        <v>7796</v>
      </c>
      <c r="B4042" s="34" t="s">
        <v>7797</v>
      </c>
      <c r="C4042" s="34" t="s">
        <v>1079</v>
      </c>
    </row>
    <row r="4043" customFormat="false" ht="127.5" hidden="false" customHeight="false" outlineLevel="0" collapsed="false">
      <c r="A4043" s="37" t="s">
        <v>7798</v>
      </c>
      <c r="B4043" s="34" t="s">
        <v>7799</v>
      </c>
      <c r="C4043" s="34" t="s">
        <v>1079</v>
      </c>
    </row>
    <row r="4044" customFormat="false" ht="127.5" hidden="false" customHeight="false" outlineLevel="0" collapsed="false">
      <c r="A4044" s="37" t="s">
        <v>7800</v>
      </c>
      <c r="B4044" s="34" t="s">
        <v>7801</v>
      </c>
      <c r="C4044" s="34" t="s">
        <v>1079</v>
      </c>
    </row>
    <row r="4045" customFormat="false" ht="127.5" hidden="false" customHeight="false" outlineLevel="0" collapsed="false">
      <c r="A4045" s="37" t="s">
        <v>7802</v>
      </c>
      <c r="B4045" s="34" t="s">
        <v>7803</v>
      </c>
      <c r="C4045" s="34" t="s">
        <v>1079</v>
      </c>
    </row>
    <row r="4046" customFormat="false" ht="127.5" hidden="false" customHeight="false" outlineLevel="0" collapsed="false">
      <c r="A4046" s="37" t="s">
        <v>7804</v>
      </c>
      <c r="B4046" s="34" t="s">
        <v>7805</v>
      </c>
      <c r="C4046" s="34" t="s">
        <v>1079</v>
      </c>
    </row>
    <row r="4047" customFormat="false" ht="127.5" hidden="false" customHeight="false" outlineLevel="0" collapsed="false">
      <c r="A4047" s="37" t="s">
        <v>7806</v>
      </c>
      <c r="B4047" s="34" t="s">
        <v>7807</v>
      </c>
      <c r="C4047" s="34" t="s">
        <v>1079</v>
      </c>
    </row>
    <row r="4048" customFormat="false" ht="127.5" hidden="false" customHeight="false" outlineLevel="0" collapsed="false">
      <c r="A4048" s="37" t="s">
        <v>7808</v>
      </c>
      <c r="B4048" s="34" t="s">
        <v>7809</v>
      </c>
      <c r="C4048" s="34" t="s">
        <v>1788</v>
      </c>
    </row>
    <row r="4049" customFormat="false" ht="127.5" hidden="false" customHeight="false" outlineLevel="0" collapsed="false">
      <c r="A4049" s="37" t="s">
        <v>7810</v>
      </c>
      <c r="B4049" s="34" t="s">
        <v>7811</v>
      </c>
      <c r="C4049" s="34" t="s">
        <v>1788</v>
      </c>
    </row>
    <row r="4050" customFormat="false" ht="102" hidden="false" customHeight="false" outlineLevel="0" collapsed="false">
      <c r="A4050" s="37" t="s">
        <v>7812</v>
      </c>
      <c r="B4050" s="34" t="s">
        <v>7813</v>
      </c>
      <c r="C4050" s="34" t="s">
        <v>1793</v>
      </c>
    </row>
    <row r="4051" customFormat="false" ht="102" hidden="false" customHeight="false" outlineLevel="0" collapsed="false">
      <c r="A4051" s="37" t="s">
        <v>7814</v>
      </c>
      <c r="B4051" s="34" t="s">
        <v>7815</v>
      </c>
      <c r="C4051" s="34" t="s">
        <v>1793</v>
      </c>
    </row>
    <row r="4052" customFormat="false" ht="102" hidden="false" customHeight="false" outlineLevel="0" collapsed="false">
      <c r="A4052" s="37" t="s">
        <v>7816</v>
      </c>
      <c r="B4052" s="34" t="s">
        <v>7817</v>
      </c>
      <c r="C4052" s="34" t="s">
        <v>1793</v>
      </c>
    </row>
    <row r="4053" customFormat="false" ht="76.5" hidden="false" customHeight="false" outlineLevel="0" collapsed="false">
      <c r="A4053" s="37" t="s">
        <v>7818</v>
      </c>
      <c r="B4053" s="34" t="s">
        <v>7819</v>
      </c>
      <c r="C4053" s="34" t="s">
        <v>1798</v>
      </c>
    </row>
    <row r="4054" customFormat="false" ht="63.75" hidden="false" customHeight="false" outlineLevel="0" collapsed="false">
      <c r="A4054" s="37" t="s">
        <v>7820</v>
      </c>
      <c r="B4054" s="34" t="s">
        <v>7821</v>
      </c>
      <c r="C4054" s="34" t="s">
        <v>1801</v>
      </c>
    </row>
    <row r="4055" customFormat="false" ht="102" hidden="false" customHeight="false" outlineLevel="0" collapsed="false">
      <c r="A4055" s="37" t="s">
        <v>7822</v>
      </c>
      <c r="B4055" s="34" t="s">
        <v>7823</v>
      </c>
      <c r="C4055" s="34" t="s">
        <v>221</v>
      </c>
    </row>
    <row r="4056" customFormat="false" ht="102" hidden="false" customHeight="false" outlineLevel="0" collapsed="false">
      <c r="A4056" s="37" t="s">
        <v>7824</v>
      </c>
      <c r="B4056" s="34" t="s">
        <v>7825</v>
      </c>
      <c r="C4056" s="34" t="s">
        <v>221</v>
      </c>
    </row>
    <row r="4057" customFormat="false" ht="76.5" hidden="false" customHeight="false" outlineLevel="0" collapsed="false">
      <c r="A4057" s="37" t="s">
        <v>7826</v>
      </c>
      <c r="B4057" s="34" t="s">
        <v>7827</v>
      </c>
      <c r="C4057" s="34" t="s">
        <v>3417</v>
      </c>
    </row>
    <row r="4058" customFormat="false" ht="76.5" hidden="false" customHeight="false" outlineLevel="0" collapsed="false">
      <c r="A4058" s="37" t="s">
        <v>7828</v>
      </c>
      <c r="B4058" s="34" t="s">
        <v>7829</v>
      </c>
      <c r="C4058" s="34" t="s">
        <v>3417</v>
      </c>
    </row>
    <row r="4059" customFormat="false" ht="76.5" hidden="false" customHeight="false" outlineLevel="0" collapsed="false">
      <c r="A4059" s="37" t="s">
        <v>7830</v>
      </c>
      <c r="B4059" s="34" t="s">
        <v>7831</v>
      </c>
      <c r="C4059" s="34" t="s">
        <v>3417</v>
      </c>
    </row>
    <row r="4060" customFormat="false" ht="102" hidden="false" customHeight="false" outlineLevel="0" collapsed="false">
      <c r="A4060" s="37" t="s">
        <v>7832</v>
      </c>
      <c r="B4060" s="34" t="s">
        <v>7833</v>
      </c>
      <c r="C4060" s="34" t="s">
        <v>1808</v>
      </c>
    </row>
    <row r="4061" customFormat="false" ht="102" hidden="false" customHeight="false" outlineLevel="0" collapsed="false">
      <c r="A4061" s="37" t="s">
        <v>7834</v>
      </c>
      <c r="B4061" s="34" t="s">
        <v>7835</v>
      </c>
      <c r="C4061" s="34" t="s">
        <v>1808</v>
      </c>
    </row>
    <row r="4062" customFormat="false" ht="102" hidden="false" customHeight="false" outlineLevel="0" collapsed="false">
      <c r="A4062" s="37" t="s">
        <v>7836</v>
      </c>
      <c r="B4062" s="34" t="s">
        <v>7837</v>
      </c>
      <c r="C4062" s="34" t="s">
        <v>1793</v>
      </c>
    </row>
    <row r="4063" customFormat="false" ht="89.25" hidden="false" customHeight="false" outlineLevel="0" collapsed="false">
      <c r="A4063" s="37" t="s">
        <v>7838</v>
      </c>
      <c r="B4063" s="34" t="s">
        <v>7839</v>
      </c>
      <c r="C4063" s="34" t="s">
        <v>210</v>
      </c>
    </row>
    <row r="4064" customFormat="false" ht="127.5" hidden="false" customHeight="false" outlineLevel="0" collapsed="false">
      <c r="A4064" s="37" t="s">
        <v>7840</v>
      </c>
      <c r="B4064" s="34" t="s">
        <v>7841</v>
      </c>
      <c r="C4064" s="34" t="s">
        <v>230</v>
      </c>
    </row>
    <row r="4065" customFormat="false" ht="89.25" hidden="false" customHeight="false" outlineLevel="0" collapsed="false">
      <c r="A4065" s="37" t="s">
        <v>7842</v>
      </c>
      <c r="B4065" s="34" t="s">
        <v>7843</v>
      </c>
      <c r="C4065" s="34" t="s">
        <v>1819</v>
      </c>
    </row>
    <row r="4066" customFormat="false" ht="63.75" hidden="false" customHeight="false" outlineLevel="0" collapsed="false">
      <c r="A4066" s="37" t="s">
        <v>7844</v>
      </c>
      <c r="B4066" s="34" t="s">
        <v>7845</v>
      </c>
      <c r="C4066" s="34" t="s">
        <v>139</v>
      </c>
    </row>
    <row r="4067" customFormat="false" ht="63.75" hidden="false" customHeight="false" outlineLevel="0" collapsed="false">
      <c r="A4067" s="37" t="s">
        <v>7846</v>
      </c>
      <c r="B4067" s="34" t="s">
        <v>7847</v>
      </c>
      <c r="C4067" s="34" t="s">
        <v>139</v>
      </c>
    </row>
    <row r="4068" customFormat="false" ht="63.75" hidden="false" customHeight="false" outlineLevel="0" collapsed="false">
      <c r="A4068" s="37" t="s">
        <v>7848</v>
      </c>
      <c r="B4068" s="34" t="s">
        <v>7849</v>
      </c>
      <c r="C4068" s="34" t="s">
        <v>139</v>
      </c>
    </row>
    <row r="4069" customFormat="false" ht="38.25" hidden="false" customHeight="false" outlineLevel="0" collapsed="false">
      <c r="A4069" s="37" t="s">
        <v>7850</v>
      </c>
      <c r="B4069" s="34" t="s">
        <v>7851</v>
      </c>
      <c r="C4069" s="34" t="s">
        <v>965</v>
      </c>
    </row>
    <row r="4070" customFormat="false" ht="25.5" hidden="false" customHeight="false" outlineLevel="0" collapsed="false">
      <c r="A4070" s="37" t="s">
        <v>7852</v>
      </c>
      <c r="B4070" s="34" t="s">
        <v>7853</v>
      </c>
      <c r="C4070" s="34" t="s">
        <v>965</v>
      </c>
    </row>
    <row r="4071" customFormat="false" ht="89.25" hidden="false" customHeight="false" outlineLevel="0" collapsed="false">
      <c r="A4071" s="37" t="s">
        <v>7854</v>
      </c>
      <c r="B4071" s="34" t="s">
        <v>7855</v>
      </c>
      <c r="C4071" s="34" t="s">
        <v>1831</v>
      </c>
    </row>
    <row r="4072" customFormat="false" ht="127.5" hidden="false" customHeight="false" outlineLevel="0" collapsed="false">
      <c r="A4072" s="37" t="s">
        <v>7856</v>
      </c>
      <c r="B4072" s="34" t="s">
        <v>7857</v>
      </c>
      <c r="C4072" s="34" t="s">
        <v>1089</v>
      </c>
    </row>
    <row r="4073" customFormat="false" ht="127.5" hidden="false" customHeight="false" outlineLevel="0" collapsed="false">
      <c r="A4073" s="37" t="s">
        <v>7858</v>
      </c>
      <c r="B4073" s="34" t="s">
        <v>7859</v>
      </c>
      <c r="C4073" s="34" t="s">
        <v>1089</v>
      </c>
    </row>
    <row r="4074" customFormat="false" ht="127.5" hidden="false" customHeight="false" outlineLevel="0" collapsed="false">
      <c r="A4074" s="37" t="s">
        <v>7860</v>
      </c>
      <c r="B4074" s="34" t="s">
        <v>7861</v>
      </c>
      <c r="C4074" s="34" t="s">
        <v>1089</v>
      </c>
    </row>
    <row r="4075" customFormat="false" ht="127.5" hidden="false" customHeight="false" outlineLevel="0" collapsed="false">
      <c r="A4075" s="37" t="s">
        <v>7862</v>
      </c>
      <c r="B4075" s="34" t="s">
        <v>7863</v>
      </c>
      <c r="C4075" s="34" t="s">
        <v>1089</v>
      </c>
    </row>
    <row r="4076" customFormat="false" ht="127.5" hidden="false" customHeight="false" outlineLevel="0" collapsed="false">
      <c r="A4076" s="37" t="s">
        <v>7864</v>
      </c>
      <c r="B4076" s="34" t="s">
        <v>7865</v>
      </c>
      <c r="C4076" s="34" t="s">
        <v>1089</v>
      </c>
    </row>
    <row r="4077" customFormat="false" ht="127.5" hidden="false" customHeight="false" outlineLevel="0" collapsed="false">
      <c r="A4077" s="37" t="s">
        <v>7866</v>
      </c>
      <c r="B4077" s="34" t="s">
        <v>7867</v>
      </c>
      <c r="C4077" s="34" t="s">
        <v>1089</v>
      </c>
    </row>
    <row r="4078" customFormat="false" ht="127.5" hidden="false" customHeight="false" outlineLevel="0" collapsed="false">
      <c r="A4078" s="37" t="s">
        <v>7868</v>
      </c>
      <c r="B4078" s="34" t="s">
        <v>7869</v>
      </c>
      <c r="C4078" s="34" t="s">
        <v>1089</v>
      </c>
    </row>
    <row r="4079" customFormat="false" ht="127.5" hidden="false" customHeight="false" outlineLevel="0" collapsed="false">
      <c r="A4079" s="37" t="s">
        <v>7870</v>
      </c>
      <c r="B4079" s="34" t="s">
        <v>7867</v>
      </c>
      <c r="C4079" s="34" t="s">
        <v>1089</v>
      </c>
    </row>
    <row r="4080" customFormat="false" ht="127.5" hidden="false" customHeight="false" outlineLevel="0" collapsed="false">
      <c r="A4080" s="37" t="s">
        <v>7871</v>
      </c>
      <c r="B4080" s="34" t="s">
        <v>7872</v>
      </c>
      <c r="C4080" s="34" t="s">
        <v>1089</v>
      </c>
    </row>
    <row r="4081" customFormat="false" ht="127.5" hidden="false" customHeight="false" outlineLevel="0" collapsed="false">
      <c r="A4081" s="37" t="s">
        <v>7873</v>
      </c>
      <c r="B4081" s="34" t="s">
        <v>7874</v>
      </c>
      <c r="C4081" s="34" t="s">
        <v>1089</v>
      </c>
    </row>
    <row r="4082" customFormat="false" ht="127.5" hidden="false" customHeight="false" outlineLevel="0" collapsed="false">
      <c r="A4082" s="37" t="s">
        <v>7875</v>
      </c>
      <c r="B4082" s="34" t="s">
        <v>7876</v>
      </c>
      <c r="C4082" s="34" t="s">
        <v>1846</v>
      </c>
    </row>
    <row r="4083" customFormat="false" ht="127.5" hidden="false" customHeight="false" outlineLevel="0" collapsed="false">
      <c r="A4083" s="37" t="s">
        <v>7877</v>
      </c>
      <c r="B4083" s="34" t="s">
        <v>7878</v>
      </c>
      <c r="C4083" s="34" t="s">
        <v>1846</v>
      </c>
    </row>
    <row r="4084" customFormat="false" ht="102" hidden="false" customHeight="false" outlineLevel="0" collapsed="false">
      <c r="A4084" s="37" t="s">
        <v>7879</v>
      </c>
      <c r="B4084" s="34" t="s">
        <v>7880</v>
      </c>
      <c r="C4084" s="34" t="s">
        <v>1851</v>
      </c>
    </row>
    <row r="4085" customFormat="false" ht="102" hidden="false" customHeight="false" outlineLevel="0" collapsed="false">
      <c r="A4085" s="37" t="s">
        <v>7881</v>
      </c>
      <c r="B4085" s="34" t="s">
        <v>7882</v>
      </c>
      <c r="C4085" s="34" t="s">
        <v>1851</v>
      </c>
    </row>
    <row r="4086" customFormat="false" ht="102" hidden="false" customHeight="false" outlineLevel="0" collapsed="false">
      <c r="A4086" s="37" t="s">
        <v>7883</v>
      </c>
      <c r="B4086" s="34" t="s">
        <v>7884</v>
      </c>
      <c r="C4086" s="34" t="s">
        <v>1851</v>
      </c>
    </row>
    <row r="4087" customFormat="false" ht="76.5" hidden="false" customHeight="false" outlineLevel="0" collapsed="false">
      <c r="A4087" s="37" t="s">
        <v>7885</v>
      </c>
      <c r="B4087" s="34" t="s">
        <v>7886</v>
      </c>
      <c r="C4087" s="34" t="s">
        <v>1856</v>
      </c>
    </row>
    <row r="4088" customFormat="false" ht="63.75" hidden="false" customHeight="false" outlineLevel="0" collapsed="false">
      <c r="A4088" s="37" t="s">
        <v>7887</v>
      </c>
      <c r="B4088" s="34" t="s">
        <v>7888</v>
      </c>
      <c r="C4088" s="34" t="s">
        <v>1859</v>
      </c>
    </row>
    <row r="4089" customFormat="false" ht="102" hidden="false" customHeight="false" outlineLevel="0" collapsed="false">
      <c r="A4089" s="37" t="s">
        <v>7889</v>
      </c>
      <c r="B4089" s="34" t="s">
        <v>7890</v>
      </c>
      <c r="C4089" s="34" t="s">
        <v>265</v>
      </c>
    </row>
    <row r="4090" customFormat="false" ht="102" hidden="false" customHeight="false" outlineLevel="0" collapsed="false">
      <c r="A4090" s="37" t="s">
        <v>7891</v>
      </c>
      <c r="B4090" s="34" t="s">
        <v>7892</v>
      </c>
      <c r="C4090" s="34" t="s">
        <v>265</v>
      </c>
    </row>
    <row r="4091" customFormat="false" ht="76.5" hidden="false" customHeight="false" outlineLevel="0" collapsed="false">
      <c r="A4091" s="37" t="s">
        <v>7893</v>
      </c>
      <c r="B4091" s="34" t="s">
        <v>7894</v>
      </c>
      <c r="C4091" s="34" t="s">
        <v>3473</v>
      </c>
    </row>
    <row r="4092" customFormat="false" ht="76.5" hidden="false" customHeight="false" outlineLevel="0" collapsed="false">
      <c r="A4092" s="37" t="s">
        <v>7895</v>
      </c>
      <c r="B4092" s="34" t="s">
        <v>7896</v>
      </c>
      <c r="C4092" s="34" t="s">
        <v>3473</v>
      </c>
    </row>
    <row r="4093" customFormat="false" ht="76.5" hidden="false" customHeight="false" outlineLevel="0" collapsed="false">
      <c r="A4093" s="37" t="s">
        <v>7897</v>
      </c>
      <c r="B4093" s="34" t="s">
        <v>7898</v>
      </c>
      <c r="C4093" s="34" t="s">
        <v>3473</v>
      </c>
    </row>
    <row r="4094" customFormat="false" ht="102" hidden="false" customHeight="false" outlineLevel="0" collapsed="false">
      <c r="A4094" s="37" t="s">
        <v>7899</v>
      </c>
      <c r="B4094" s="34" t="s">
        <v>7900</v>
      </c>
      <c r="C4094" s="34" t="s">
        <v>1866</v>
      </c>
    </row>
    <row r="4095" customFormat="false" ht="102" hidden="false" customHeight="false" outlineLevel="0" collapsed="false">
      <c r="A4095" s="37" t="s">
        <v>7901</v>
      </c>
      <c r="B4095" s="34" t="s">
        <v>7902</v>
      </c>
      <c r="C4095" s="34" t="s">
        <v>1866</v>
      </c>
    </row>
    <row r="4096" customFormat="false" ht="102" hidden="false" customHeight="false" outlineLevel="0" collapsed="false">
      <c r="A4096" s="37" t="s">
        <v>7903</v>
      </c>
      <c r="B4096" s="34" t="s">
        <v>7904</v>
      </c>
      <c r="C4096" s="34" t="s">
        <v>1851</v>
      </c>
    </row>
    <row r="4097" customFormat="false" ht="89.25" hidden="false" customHeight="false" outlineLevel="0" collapsed="false">
      <c r="A4097" s="37" t="s">
        <v>7905</v>
      </c>
      <c r="B4097" s="34" t="s">
        <v>7906</v>
      </c>
      <c r="C4097" s="34" t="s">
        <v>254</v>
      </c>
    </row>
    <row r="4098" customFormat="false" ht="127.5" hidden="false" customHeight="false" outlineLevel="0" collapsed="false">
      <c r="A4098" s="37" t="s">
        <v>7907</v>
      </c>
      <c r="B4098" s="34" t="s">
        <v>7908</v>
      </c>
      <c r="C4098" s="34" t="s">
        <v>274</v>
      </c>
    </row>
    <row r="4099" customFormat="false" ht="89.25" hidden="false" customHeight="false" outlineLevel="0" collapsed="false">
      <c r="A4099" s="37" t="s">
        <v>7909</v>
      </c>
      <c r="B4099" s="34" t="s">
        <v>7910</v>
      </c>
      <c r="C4099" s="34" t="s">
        <v>1877</v>
      </c>
    </row>
    <row r="4100" customFormat="false" ht="63.75" hidden="false" customHeight="false" outlineLevel="0" collapsed="false">
      <c r="A4100" s="37" t="s">
        <v>7911</v>
      </c>
      <c r="B4100" s="34" t="s">
        <v>7912</v>
      </c>
      <c r="C4100" s="34" t="s">
        <v>139</v>
      </c>
    </row>
    <row r="4101" customFormat="false" ht="63.75" hidden="false" customHeight="false" outlineLevel="0" collapsed="false">
      <c r="A4101" s="37" t="s">
        <v>7913</v>
      </c>
      <c r="B4101" s="34" t="s">
        <v>7914</v>
      </c>
      <c r="C4101" s="34" t="s">
        <v>139</v>
      </c>
    </row>
    <row r="4102" customFormat="false" ht="63.75" hidden="false" customHeight="false" outlineLevel="0" collapsed="false">
      <c r="A4102" s="37" t="s">
        <v>7915</v>
      </c>
      <c r="B4102" s="34" t="s">
        <v>7916</v>
      </c>
      <c r="C4102" s="34" t="s">
        <v>139</v>
      </c>
    </row>
    <row r="4103" customFormat="false" ht="38.25" hidden="false" customHeight="false" outlineLevel="0" collapsed="false">
      <c r="A4103" s="37" t="s">
        <v>7917</v>
      </c>
      <c r="B4103" s="34" t="s">
        <v>7918</v>
      </c>
      <c r="C4103" s="34" t="s">
        <v>965</v>
      </c>
    </row>
    <row r="4104" customFormat="false" ht="25.5" hidden="false" customHeight="false" outlineLevel="0" collapsed="false">
      <c r="A4104" s="37" t="s">
        <v>7919</v>
      </c>
      <c r="B4104" s="34" t="s">
        <v>7920</v>
      </c>
      <c r="C4104" s="34" t="s">
        <v>965</v>
      </c>
    </row>
    <row r="4105" customFormat="false" ht="89.25" hidden="false" customHeight="false" outlineLevel="0" collapsed="false">
      <c r="A4105" s="37" t="s">
        <v>7921</v>
      </c>
      <c r="B4105" s="34" t="s">
        <v>7922</v>
      </c>
      <c r="C4105" s="34" t="s">
        <v>1889</v>
      </c>
    </row>
    <row r="4106" customFormat="false" ht="127.5" hidden="false" customHeight="false" outlineLevel="0" collapsed="false">
      <c r="A4106" s="37" t="s">
        <v>7923</v>
      </c>
      <c r="B4106" s="34" t="s">
        <v>7924</v>
      </c>
      <c r="C4106" s="34" t="s">
        <v>1099</v>
      </c>
    </row>
    <row r="4107" customFormat="false" ht="127.5" hidden="false" customHeight="false" outlineLevel="0" collapsed="false">
      <c r="A4107" s="37" t="s">
        <v>7925</v>
      </c>
      <c r="B4107" s="34" t="s">
        <v>7926</v>
      </c>
      <c r="C4107" s="34" t="s">
        <v>1099</v>
      </c>
    </row>
    <row r="4108" customFormat="false" ht="127.5" hidden="false" customHeight="false" outlineLevel="0" collapsed="false">
      <c r="A4108" s="37" t="s">
        <v>7927</v>
      </c>
      <c r="B4108" s="34" t="s">
        <v>7928</v>
      </c>
      <c r="C4108" s="34" t="s">
        <v>1099</v>
      </c>
    </row>
    <row r="4109" customFormat="false" ht="127.5" hidden="false" customHeight="false" outlineLevel="0" collapsed="false">
      <c r="A4109" s="37" t="s">
        <v>7929</v>
      </c>
      <c r="B4109" s="34" t="s">
        <v>7930</v>
      </c>
      <c r="C4109" s="34" t="s">
        <v>1099</v>
      </c>
    </row>
    <row r="4110" customFormat="false" ht="127.5" hidden="false" customHeight="false" outlineLevel="0" collapsed="false">
      <c r="A4110" s="37" t="s">
        <v>7931</v>
      </c>
      <c r="B4110" s="34" t="s">
        <v>7932</v>
      </c>
      <c r="C4110" s="34" t="s">
        <v>1099</v>
      </c>
    </row>
    <row r="4111" customFormat="false" ht="127.5" hidden="false" customHeight="false" outlineLevel="0" collapsed="false">
      <c r="A4111" s="37" t="s">
        <v>7933</v>
      </c>
      <c r="B4111" s="34" t="s">
        <v>7934</v>
      </c>
      <c r="C4111" s="34" t="s">
        <v>1099</v>
      </c>
    </row>
    <row r="4112" customFormat="false" ht="127.5" hidden="false" customHeight="false" outlineLevel="0" collapsed="false">
      <c r="A4112" s="37" t="s">
        <v>7935</v>
      </c>
      <c r="B4112" s="34" t="s">
        <v>7936</v>
      </c>
      <c r="C4112" s="34" t="s">
        <v>1099</v>
      </c>
    </row>
    <row r="4113" customFormat="false" ht="127.5" hidden="false" customHeight="false" outlineLevel="0" collapsed="false">
      <c r="A4113" s="37" t="s">
        <v>7937</v>
      </c>
      <c r="B4113" s="34" t="s">
        <v>7938</v>
      </c>
      <c r="C4113" s="34" t="s">
        <v>1099</v>
      </c>
    </row>
    <row r="4114" customFormat="false" ht="127.5" hidden="false" customHeight="false" outlineLevel="0" collapsed="false">
      <c r="A4114" s="37" t="s">
        <v>7939</v>
      </c>
      <c r="B4114" s="34" t="s">
        <v>7940</v>
      </c>
      <c r="C4114" s="34" t="s">
        <v>1099</v>
      </c>
    </row>
    <row r="4115" customFormat="false" ht="127.5" hidden="false" customHeight="false" outlineLevel="0" collapsed="false">
      <c r="A4115" s="37" t="s">
        <v>7941</v>
      </c>
      <c r="B4115" s="34" t="s">
        <v>7942</v>
      </c>
      <c r="C4115" s="34" t="s">
        <v>1099</v>
      </c>
    </row>
    <row r="4116" customFormat="false" ht="127.5" hidden="false" customHeight="false" outlineLevel="0" collapsed="false">
      <c r="A4116" s="37" t="s">
        <v>7943</v>
      </c>
      <c r="B4116" s="34" t="s">
        <v>7944</v>
      </c>
      <c r="C4116" s="34" t="s">
        <v>1904</v>
      </c>
    </row>
    <row r="4117" customFormat="false" ht="127.5" hidden="false" customHeight="false" outlineLevel="0" collapsed="false">
      <c r="A4117" s="37" t="s">
        <v>7945</v>
      </c>
      <c r="B4117" s="34" t="s">
        <v>7946</v>
      </c>
      <c r="C4117" s="34" t="s">
        <v>1904</v>
      </c>
    </row>
    <row r="4118" customFormat="false" ht="102" hidden="false" customHeight="false" outlineLevel="0" collapsed="false">
      <c r="A4118" s="37" t="s">
        <v>7947</v>
      </c>
      <c r="B4118" s="34" t="s">
        <v>7948</v>
      </c>
      <c r="C4118" s="34" t="s">
        <v>1909</v>
      </c>
    </row>
    <row r="4119" customFormat="false" ht="102" hidden="false" customHeight="false" outlineLevel="0" collapsed="false">
      <c r="A4119" s="37" t="s">
        <v>7949</v>
      </c>
      <c r="B4119" s="34" t="s">
        <v>7950</v>
      </c>
      <c r="C4119" s="34" t="s">
        <v>1909</v>
      </c>
    </row>
    <row r="4120" customFormat="false" ht="102" hidden="false" customHeight="false" outlineLevel="0" collapsed="false">
      <c r="A4120" s="37" t="s">
        <v>7951</v>
      </c>
      <c r="B4120" s="34" t="s">
        <v>7952</v>
      </c>
      <c r="C4120" s="34" t="s">
        <v>1909</v>
      </c>
    </row>
    <row r="4121" customFormat="false" ht="76.5" hidden="false" customHeight="false" outlineLevel="0" collapsed="false">
      <c r="A4121" s="37" t="s">
        <v>7953</v>
      </c>
      <c r="B4121" s="34" t="s">
        <v>7954</v>
      </c>
      <c r="C4121" s="34" t="s">
        <v>1914</v>
      </c>
    </row>
    <row r="4122" customFormat="false" ht="63.75" hidden="false" customHeight="false" outlineLevel="0" collapsed="false">
      <c r="A4122" s="37" t="s">
        <v>7955</v>
      </c>
      <c r="B4122" s="34" t="s">
        <v>7956</v>
      </c>
      <c r="C4122" s="34" t="s">
        <v>1917</v>
      </c>
    </row>
    <row r="4123" customFormat="false" ht="102" hidden="false" customHeight="false" outlineLevel="0" collapsed="false">
      <c r="A4123" s="37" t="s">
        <v>7957</v>
      </c>
      <c r="B4123" s="34" t="s">
        <v>7958</v>
      </c>
      <c r="C4123" s="34" t="s">
        <v>309</v>
      </c>
    </row>
    <row r="4124" customFormat="false" ht="102" hidden="false" customHeight="false" outlineLevel="0" collapsed="false">
      <c r="A4124" s="37" t="s">
        <v>7959</v>
      </c>
      <c r="B4124" s="34" t="s">
        <v>7960</v>
      </c>
      <c r="C4124" s="34" t="s">
        <v>309</v>
      </c>
    </row>
    <row r="4125" customFormat="false" ht="76.5" hidden="false" customHeight="false" outlineLevel="0" collapsed="false">
      <c r="A4125" s="37" t="s">
        <v>7961</v>
      </c>
      <c r="B4125" s="34" t="s">
        <v>7962</v>
      </c>
      <c r="C4125" s="34" t="s">
        <v>3529</v>
      </c>
    </row>
    <row r="4126" customFormat="false" ht="76.5" hidden="false" customHeight="false" outlineLevel="0" collapsed="false">
      <c r="A4126" s="37" t="s">
        <v>7963</v>
      </c>
      <c r="B4126" s="34" t="s">
        <v>7964</v>
      </c>
      <c r="C4126" s="34" t="s">
        <v>3529</v>
      </c>
    </row>
    <row r="4127" customFormat="false" ht="76.5" hidden="false" customHeight="false" outlineLevel="0" collapsed="false">
      <c r="A4127" s="37" t="s">
        <v>7965</v>
      </c>
      <c r="B4127" s="34" t="s">
        <v>7966</v>
      </c>
      <c r="C4127" s="34" t="s">
        <v>3529</v>
      </c>
    </row>
    <row r="4128" customFormat="false" ht="102" hidden="false" customHeight="false" outlineLevel="0" collapsed="false">
      <c r="A4128" s="37" t="s">
        <v>7967</v>
      </c>
      <c r="B4128" s="34" t="s">
        <v>7968</v>
      </c>
      <c r="C4128" s="34" t="s">
        <v>1924</v>
      </c>
    </row>
    <row r="4129" customFormat="false" ht="102" hidden="false" customHeight="false" outlineLevel="0" collapsed="false">
      <c r="A4129" s="37" t="s">
        <v>7969</v>
      </c>
      <c r="B4129" s="34" t="s">
        <v>7970</v>
      </c>
      <c r="C4129" s="34" t="s">
        <v>1924</v>
      </c>
    </row>
    <row r="4130" customFormat="false" ht="102" hidden="false" customHeight="false" outlineLevel="0" collapsed="false">
      <c r="A4130" s="37" t="s">
        <v>7971</v>
      </c>
      <c r="B4130" s="34" t="s">
        <v>7972</v>
      </c>
      <c r="C4130" s="34" t="s">
        <v>1909</v>
      </c>
    </row>
    <row r="4131" customFormat="false" ht="89.25" hidden="false" customHeight="false" outlineLevel="0" collapsed="false">
      <c r="A4131" s="37" t="s">
        <v>7973</v>
      </c>
      <c r="B4131" s="34" t="s">
        <v>7974</v>
      </c>
      <c r="C4131" s="34" t="s">
        <v>298</v>
      </c>
    </row>
    <row r="4132" customFormat="false" ht="127.5" hidden="false" customHeight="false" outlineLevel="0" collapsed="false">
      <c r="A4132" s="37" t="s">
        <v>7975</v>
      </c>
      <c r="B4132" s="34" t="s">
        <v>7976</v>
      </c>
      <c r="C4132" s="34" t="s">
        <v>318</v>
      </c>
    </row>
    <row r="4133" customFormat="false" ht="89.25" hidden="false" customHeight="false" outlineLevel="0" collapsed="false">
      <c r="A4133" s="37" t="s">
        <v>7977</v>
      </c>
      <c r="B4133" s="34" t="s">
        <v>7978</v>
      </c>
      <c r="C4133" s="34" t="s">
        <v>1935</v>
      </c>
    </row>
    <row r="4134" customFormat="false" ht="63.75" hidden="false" customHeight="false" outlineLevel="0" collapsed="false">
      <c r="A4134" s="37" t="s">
        <v>7979</v>
      </c>
      <c r="B4134" s="34" t="s">
        <v>7980</v>
      </c>
      <c r="C4134" s="34" t="s">
        <v>139</v>
      </c>
    </row>
    <row r="4135" customFormat="false" ht="63.75" hidden="false" customHeight="false" outlineLevel="0" collapsed="false">
      <c r="A4135" s="37" t="s">
        <v>7981</v>
      </c>
      <c r="B4135" s="34" t="s">
        <v>7982</v>
      </c>
      <c r="C4135" s="34" t="s">
        <v>139</v>
      </c>
    </row>
    <row r="4136" customFormat="false" ht="63.75" hidden="false" customHeight="false" outlineLevel="0" collapsed="false">
      <c r="A4136" s="37" t="s">
        <v>7983</v>
      </c>
      <c r="B4136" s="34" t="s">
        <v>7984</v>
      </c>
      <c r="C4136" s="34" t="s">
        <v>139</v>
      </c>
    </row>
    <row r="4137" customFormat="false" ht="38.25" hidden="false" customHeight="false" outlineLevel="0" collapsed="false">
      <c r="A4137" s="37" t="s">
        <v>7985</v>
      </c>
      <c r="B4137" s="34" t="s">
        <v>7986</v>
      </c>
      <c r="C4137" s="34" t="s">
        <v>965</v>
      </c>
    </row>
    <row r="4138" customFormat="false" ht="25.5" hidden="false" customHeight="false" outlineLevel="0" collapsed="false">
      <c r="A4138" s="37" t="s">
        <v>7987</v>
      </c>
      <c r="B4138" s="34" t="s">
        <v>7988</v>
      </c>
      <c r="C4138" s="34" t="s">
        <v>965</v>
      </c>
    </row>
    <row r="4139" customFormat="false" ht="89.25" hidden="false" customHeight="false" outlineLevel="0" collapsed="false">
      <c r="A4139" s="37" t="s">
        <v>7989</v>
      </c>
      <c r="B4139" s="34" t="s">
        <v>7990</v>
      </c>
      <c r="C4139" s="34" t="s">
        <v>1948</v>
      </c>
    </row>
    <row r="4140" customFormat="false" ht="127.5" hidden="false" customHeight="false" outlineLevel="0" collapsed="false">
      <c r="A4140" s="37" t="s">
        <v>7991</v>
      </c>
      <c r="B4140" s="34" t="s">
        <v>7992</v>
      </c>
      <c r="C4140" s="34" t="s">
        <v>1108</v>
      </c>
    </row>
    <row r="4141" customFormat="false" ht="127.5" hidden="false" customHeight="false" outlineLevel="0" collapsed="false">
      <c r="A4141" s="37" t="s">
        <v>7993</v>
      </c>
      <c r="B4141" s="34" t="s">
        <v>7994</v>
      </c>
      <c r="C4141" s="34" t="s">
        <v>1108</v>
      </c>
    </row>
    <row r="4142" customFormat="false" ht="127.5" hidden="false" customHeight="false" outlineLevel="0" collapsed="false">
      <c r="A4142" s="37" t="s">
        <v>7995</v>
      </c>
      <c r="B4142" s="34" t="s">
        <v>7996</v>
      </c>
      <c r="C4142" s="34" t="s">
        <v>1108</v>
      </c>
    </row>
    <row r="4143" customFormat="false" ht="127.5" hidden="false" customHeight="false" outlineLevel="0" collapsed="false">
      <c r="A4143" s="37" t="s">
        <v>7997</v>
      </c>
      <c r="B4143" s="34" t="s">
        <v>7998</v>
      </c>
      <c r="C4143" s="34" t="s">
        <v>1108</v>
      </c>
    </row>
    <row r="4144" customFormat="false" ht="127.5" hidden="false" customHeight="false" outlineLevel="0" collapsed="false">
      <c r="A4144" s="37" t="s">
        <v>7999</v>
      </c>
      <c r="B4144" s="34" t="s">
        <v>8000</v>
      </c>
      <c r="C4144" s="34" t="s">
        <v>1108</v>
      </c>
    </row>
    <row r="4145" customFormat="false" ht="127.5" hidden="false" customHeight="false" outlineLevel="0" collapsed="false">
      <c r="A4145" s="37" t="s">
        <v>8001</v>
      </c>
      <c r="B4145" s="34" t="s">
        <v>8002</v>
      </c>
      <c r="C4145" s="34" t="s">
        <v>1108</v>
      </c>
    </row>
    <row r="4146" customFormat="false" ht="127.5" hidden="false" customHeight="false" outlineLevel="0" collapsed="false">
      <c r="A4146" s="37" t="s">
        <v>8003</v>
      </c>
      <c r="B4146" s="34" t="s">
        <v>8004</v>
      </c>
      <c r="C4146" s="34" t="s">
        <v>1108</v>
      </c>
    </row>
    <row r="4147" customFormat="false" ht="127.5" hidden="false" customHeight="false" outlineLevel="0" collapsed="false">
      <c r="A4147" s="37" t="s">
        <v>8005</v>
      </c>
      <c r="B4147" s="34" t="s">
        <v>8006</v>
      </c>
      <c r="C4147" s="34" t="s">
        <v>1108</v>
      </c>
    </row>
    <row r="4148" customFormat="false" ht="127.5" hidden="false" customHeight="false" outlineLevel="0" collapsed="false">
      <c r="A4148" s="37" t="s">
        <v>8007</v>
      </c>
      <c r="B4148" s="34" t="s">
        <v>8008</v>
      </c>
      <c r="C4148" s="34" t="s">
        <v>1108</v>
      </c>
    </row>
    <row r="4149" customFormat="false" ht="127.5" hidden="false" customHeight="false" outlineLevel="0" collapsed="false">
      <c r="A4149" s="37" t="s">
        <v>8009</v>
      </c>
      <c r="B4149" s="34" t="s">
        <v>8010</v>
      </c>
      <c r="C4149" s="34" t="s">
        <v>1108</v>
      </c>
    </row>
    <row r="4150" customFormat="false" ht="127.5" hidden="false" customHeight="false" outlineLevel="0" collapsed="false">
      <c r="A4150" s="37" t="s">
        <v>8011</v>
      </c>
      <c r="B4150" s="34" t="s">
        <v>8012</v>
      </c>
      <c r="C4150" s="34" t="s">
        <v>1967</v>
      </c>
    </row>
    <row r="4151" customFormat="false" ht="127.5" hidden="false" customHeight="false" outlineLevel="0" collapsed="false">
      <c r="A4151" s="37" t="s">
        <v>8013</v>
      </c>
      <c r="B4151" s="34" t="s">
        <v>8014</v>
      </c>
      <c r="C4151" s="34" t="s">
        <v>1967</v>
      </c>
    </row>
    <row r="4152" customFormat="false" ht="102" hidden="false" customHeight="false" outlineLevel="0" collapsed="false">
      <c r="A4152" s="37" t="s">
        <v>8015</v>
      </c>
      <c r="B4152" s="34" t="s">
        <v>8016</v>
      </c>
      <c r="C4152" s="34" t="s">
        <v>1972</v>
      </c>
    </row>
    <row r="4153" customFormat="false" ht="102" hidden="false" customHeight="false" outlineLevel="0" collapsed="false">
      <c r="A4153" s="37" t="s">
        <v>8017</v>
      </c>
      <c r="B4153" s="34" t="s">
        <v>8018</v>
      </c>
      <c r="C4153" s="34" t="s">
        <v>1972</v>
      </c>
    </row>
    <row r="4154" customFormat="false" ht="102" hidden="false" customHeight="false" outlineLevel="0" collapsed="false">
      <c r="A4154" s="37" t="s">
        <v>8019</v>
      </c>
      <c r="B4154" s="34" t="s">
        <v>8020</v>
      </c>
      <c r="C4154" s="34" t="s">
        <v>1972</v>
      </c>
    </row>
    <row r="4155" customFormat="false" ht="76.5" hidden="false" customHeight="false" outlineLevel="0" collapsed="false">
      <c r="A4155" s="37" t="s">
        <v>8021</v>
      </c>
      <c r="B4155" s="34" t="s">
        <v>8022</v>
      </c>
      <c r="C4155" s="34" t="s">
        <v>1977</v>
      </c>
    </row>
    <row r="4156" customFormat="false" ht="63.75" hidden="false" customHeight="false" outlineLevel="0" collapsed="false">
      <c r="A4156" s="37" t="s">
        <v>8023</v>
      </c>
      <c r="B4156" s="34" t="s">
        <v>8024</v>
      </c>
      <c r="C4156" s="34" t="s">
        <v>1980</v>
      </c>
    </row>
    <row r="4157" customFormat="false" ht="102" hidden="false" customHeight="false" outlineLevel="0" collapsed="false">
      <c r="A4157" s="37" t="s">
        <v>8025</v>
      </c>
      <c r="B4157" s="34" t="s">
        <v>8026</v>
      </c>
      <c r="C4157" s="34" t="s">
        <v>351</v>
      </c>
    </row>
    <row r="4158" customFormat="false" ht="102" hidden="false" customHeight="false" outlineLevel="0" collapsed="false">
      <c r="A4158" s="37" t="s">
        <v>8027</v>
      </c>
      <c r="B4158" s="34" t="s">
        <v>8028</v>
      </c>
      <c r="C4158" s="34" t="s">
        <v>351</v>
      </c>
    </row>
    <row r="4159" customFormat="false" ht="76.5" hidden="false" customHeight="false" outlineLevel="0" collapsed="false">
      <c r="A4159" s="37" t="s">
        <v>8029</v>
      </c>
      <c r="B4159" s="34" t="s">
        <v>8030</v>
      </c>
      <c r="C4159" s="34" t="s">
        <v>3586</v>
      </c>
    </row>
    <row r="4160" customFormat="false" ht="76.5" hidden="false" customHeight="false" outlineLevel="0" collapsed="false">
      <c r="A4160" s="37" t="s">
        <v>8031</v>
      </c>
      <c r="B4160" s="34" t="s">
        <v>8032</v>
      </c>
      <c r="C4160" s="34" t="s">
        <v>3586</v>
      </c>
    </row>
    <row r="4161" customFormat="false" ht="76.5" hidden="false" customHeight="false" outlineLevel="0" collapsed="false">
      <c r="A4161" s="37" t="s">
        <v>8033</v>
      </c>
      <c r="B4161" s="34" t="s">
        <v>8034</v>
      </c>
      <c r="C4161" s="34" t="s">
        <v>3586</v>
      </c>
    </row>
    <row r="4162" customFormat="false" ht="102" hidden="false" customHeight="false" outlineLevel="0" collapsed="false">
      <c r="A4162" s="37" t="s">
        <v>8035</v>
      </c>
      <c r="B4162" s="34" t="s">
        <v>8036</v>
      </c>
      <c r="C4162" s="34" t="s">
        <v>1987</v>
      </c>
    </row>
    <row r="4163" customFormat="false" ht="102" hidden="false" customHeight="false" outlineLevel="0" collapsed="false">
      <c r="A4163" s="37" t="s">
        <v>8037</v>
      </c>
      <c r="B4163" s="34" t="s">
        <v>8038</v>
      </c>
      <c r="C4163" s="34" t="s">
        <v>1987</v>
      </c>
    </row>
    <row r="4164" customFormat="false" ht="102" hidden="false" customHeight="false" outlineLevel="0" collapsed="false">
      <c r="A4164" s="37" t="s">
        <v>8039</v>
      </c>
      <c r="B4164" s="34" t="s">
        <v>8040</v>
      </c>
      <c r="C4164" s="34" t="s">
        <v>1972</v>
      </c>
    </row>
    <row r="4165" customFormat="false" ht="89.25" hidden="false" customHeight="false" outlineLevel="0" collapsed="false">
      <c r="A4165" s="37" t="s">
        <v>8041</v>
      </c>
      <c r="B4165" s="34" t="s">
        <v>8042</v>
      </c>
      <c r="C4165" s="34" t="s">
        <v>340</v>
      </c>
    </row>
    <row r="4166" customFormat="false" ht="127.5" hidden="false" customHeight="false" outlineLevel="0" collapsed="false">
      <c r="A4166" s="37" t="s">
        <v>8043</v>
      </c>
      <c r="B4166" s="34" t="s">
        <v>8044</v>
      </c>
      <c r="C4166" s="34" t="s">
        <v>360</v>
      </c>
    </row>
    <row r="4167" customFormat="false" ht="89.25" hidden="false" customHeight="false" outlineLevel="0" collapsed="false">
      <c r="A4167" s="37" t="s">
        <v>8045</v>
      </c>
      <c r="B4167" s="34" t="s">
        <v>8046</v>
      </c>
      <c r="C4167" s="34" t="s">
        <v>1998</v>
      </c>
    </row>
    <row r="4168" customFormat="false" ht="63.75" hidden="false" customHeight="false" outlineLevel="0" collapsed="false">
      <c r="A4168" s="37" t="s">
        <v>8047</v>
      </c>
      <c r="B4168" s="34" t="s">
        <v>8048</v>
      </c>
      <c r="C4168" s="34" t="s">
        <v>139</v>
      </c>
    </row>
    <row r="4169" customFormat="false" ht="63.75" hidden="false" customHeight="false" outlineLevel="0" collapsed="false">
      <c r="A4169" s="37" t="s">
        <v>8049</v>
      </c>
      <c r="B4169" s="34" t="s">
        <v>8050</v>
      </c>
      <c r="C4169" s="34" t="s">
        <v>139</v>
      </c>
    </row>
    <row r="4170" customFormat="false" ht="63.75" hidden="false" customHeight="false" outlineLevel="0" collapsed="false">
      <c r="A4170" s="37" t="s">
        <v>8051</v>
      </c>
      <c r="B4170" s="34" t="s">
        <v>8052</v>
      </c>
      <c r="C4170" s="34" t="s">
        <v>139</v>
      </c>
    </row>
    <row r="4171" customFormat="false" ht="38.25" hidden="false" customHeight="false" outlineLevel="0" collapsed="false">
      <c r="A4171" s="37" t="s">
        <v>8053</v>
      </c>
      <c r="B4171" s="34" t="s">
        <v>8054</v>
      </c>
      <c r="C4171" s="34" t="s">
        <v>965</v>
      </c>
    </row>
    <row r="4172" customFormat="false" ht="25.5" hidden="false" customHeight="false" outlineLevel="0" collapsed="false">
      <c r="A4172" s="37" t="s">
        <v>8055</v>
      </c>
      <c r="B4172" s="34" t="s">
        <v>8056</v>
      </c>
      <c r="C4172" s="34" t="s">
        <v>965</v>
      </c>
    </row>
    <row r="4173" customFormat="false" ht="89.25" hidden="false" customHeight="false" outlineLevel="0" collapsed="false">
      <c r="A4173" s="37" t="s">
        <v>8057</v>
      </c>
      <c r="B4173" s="34" t="s">
        <v>8058</v>
      </c>
      <c r="C4173" s="34" t="s">
        <v>1115</v>
      </c>
    </row>
    <row r="4174" customFormat="false" ht="25.5" hidden="false" customHeight="false" outlineLevel="0" collapsed="false">
      <c r="A4174" s="37" t="s">
        <v>8059</v>
      </c>
      <c r="B4174" s="34" t="s">
        <v>8060</v>
      </c>
      <c r="C4174" s="34" t="s">
        <v>965</v>
      </c>
    </row>
    <row r="4175" customFormat="false" ht="76.5" hidden="false" customHeight="false" outlineLevel="0" collapsed="false">
      <c r="A4175" s="37" t="s">
        <v>8061</v>
      </c>
      <c r="B4175" s="34" t="s">
        <v>8062</v>
      </c>
      <c r="C4175" s="34" t="s">
        <v>1121</v>
      </c>
    </row>
    <row r="4176" customFormat="false" ht="76.5" hidden="false" customHeight="false" outlineLevel="0" collapsed="false">
      <c r="A4176" s="37" t="s">
        <v>8063</v>
      </c>
      <c r="B4176" s="34" t="s">
        <v>8064</v>
      </c>
      <c r="C4176" s="34" t="s">
        <v>1121</v>
      </c>
    </row>
    <row r="4177" customFormat="false" ht="38.25" hidden="false" customHeight="false" outlineLevel="0" collapsed="false">
      <c r="A4177" s="37" t="s">
        <v>8065</v>
      </c>
      <c r="B4177" s="34" t="s">
        <v>8066</v>
      </c>
      <c r="C4177" s="34" t="s">
        <v>968</v>
      </c>
    </row>
    <row r="4178" customFormat="false" ht="63.75" hidden="false" customHeight="false" outlineLevel="0" collapsed="false">
      <c r="A4178" s="37" t="s">
        <v>8067</v>
      </c>
      <c r="B4178" s="34" t="s">
        <v>8068</v>
      </c>
      <c r="C4178" s="34" t="s">
        <v>1142</v>
      </c>
    </row>
    <row r="4179" customFormat="false" ht="63.75" hidden="false" customHeight="false" outlineLevel="0" collapsed="false">
      <c r="A4179" s="37" t="s">
        <v>8069</v>
      </c>
      <c r="B4179" s="34" t="s">
        <v>8070</v>
      </c>
      <c r="C4179" s="34" t="s">
        <v>1142</v>
      </c>
    </row>
    <row r="4180" customFormat="false" ht="63.75" hidden="false" customHeight="false" outlineLevel="0" collapsed="false">
      <c r="A4180" s="37" t="s">
        <v>8071</v>
      </c>
      <c r="B4180" s="34" t="s">
        <v>8072</v>
      </c>
      <c r="C4180" s="34" t="s">
        <v>1142</v>
      </c>
    </row>
    <row r="4181" customFormat="false" ht="63.75" hidden="false" customHeight="false" outlineLevel="0" collapsed="false">
      <c r="A4181" s="37" t="s">
        <v>8073</v>
      </c>
      <c r="B4181" s="34" t="s">
        <v>8074</v>
      </c>
      <c r="C4181" s="34" t="s">
        <v>1142</v>
      </c>
    </row>
    <row r="4182" customFormat="false" ht="63.75" hidden="false" customHeight="false" outlineLevel="0" collapsed="false">
      <c r="A4182" s="37" t="s">
        <v>8075</v>
      </c>
      <c r="B4182" s="34" t="s">
        <v>8076</v>
      </c>
      <c r="C4182" s="34" t="s">
        <v>1142</v>
      </c>
    </row>
    <row r="4183" customFormat="false" ht="89.25" hidden="false" customHeight="false" outlineLevel="0" collapsed="false">
      <c r="A4183" s="37" t="s">
        <v>8077</v>
      </c>
      <c r="B4183" s="34" t="s">
        <v>8078</v>
      </c>
      <c r="C4183" s="34" t="s">
        <v>387</v>
      </c>
    </row>
    <row r="4184" customFormat="false" ht="89.25" hidden="false" customHeight="false" outlineLevel="0" collapsed="false">
      <c r="A4184" s="37" t="s">
        <v>8079</v>
      </c>
      <c r="B4184" s="34" t="s">
        <v>8080</v>
      </c>
      <c r="C4184" s="34" t="s">
        <v>387</v>
      </c>
    </row>
    <row r="4185" customFormat="false" ht="51" hidden="false" customHeight="false" outlineLevel="0" collapsed="false">
      <c r="A4185" s="37" t="s">
        <v>8081</v>
      </c>
      <c r="B4185" s="34" t="s">
        <v>8082</v>
      </c>
      <c r="C4185" s="34" t="s">
        <v>1170</v>
      </c>
    </row>
    <row r="4186" customFormat="false" ht="51" hidden="false" customHeight="false" outlineLevel="0" collapsed="false">
      <c r="A4186" s="37" t="s">
        <v>8083</v>
      </c>
      <c r="B4186" s="34" t="s">
        <v>8084</v>
      </c>
      <c r="C4186" s="34" t="s">
        <v>1170</v>
      </c>
    </row>
    <row r="4187" customFormat="false" ht="51" hidden="false" customHeight="false" outlineLevel="0" collapsed="false">
      <c r="A4187" s="37" t="s">
        <v>8085</v>
      </c>
      <c r="B4187" s="34" t="s">
        <v>8086</v>
      </c>
      <c r="C4187" s="34" t="s">
        <v>1170</v>
      </c>
    </row>
    <row r="4188" customFormat="false" ht="63.75" hidden="false" customHeight="false" outlineLevel="0" collapsed="false">
      <c r="A4188" s="37" t="s">
        <v>8087</v>
      </c>
      <c r="B4188" s="34" t="s">
        <v>8088</v>
      </c>
      <c r="C4188" s="34" t="s">
        <v>373</v>
      </c>
    </row>
    <row r="4189" customFormat="false" ht="63.75" hidden="false" customHeight="false" outlineLevel="0" collapsed="false">
      <c r="A4189" s="37" t="s">
        <v>8089</v>
      </c>
      <c r="B4189" s="34" t="s">
        <v>8090</v>
      </c>
      <c r="C4189" s="34" t="s">
        <v>373</v>
      </c>
    </row>
    <row r="4190" customFormat="false" ht="51" hidden="false" customHeight="false" outlineLevel="0" collapsed="false">
      <c r="A4190" s="37" t="s">
        <v>8091</v>
      </c>
      <c r="B4190" s="34" t="s">
        <v>8092</v>
      </c>
      <c r="C4190" s="34" t="s">
        <v>384</v>
      </c>
    </row>
    <row r="4191" customFormat="false" ht="89.25" hidden="false" customHeight="false" outlineLevel="0" collapsed="false">
      <c r="A4191" s="37" t="s">
        <v>8093</v>
      </c>
      <c r="B4191" s="34" t="s">
        <v>8094</v>
      </c>
      <c r="C4191" s="34" t="s">
        <v>1186</v>
      </c>
    </row>
    <row r="4192" customFormat="false" ht="76.5" hidden="false" customHeight="false" outlineLevel="0" collapsed="false">
      <c r="A4192" s="37" t="s">
        <v>8095</v>
      </c>
      <c r="B4192" s="34" t="s">
        <v>8096</v>
      </c>
      <c r="C4192" s="34" t="s">
        <v>1188</v>
      </c>
    </row>
    <row r="4193" customFormat="false" ht="76.5" hidden="false" customHeight="false" outlineLevel="0" collapsed="false">
      <c r="A4193" s="37" t="s">
        <v>8097</v>
      </c>
      <c r="B4193" s="34" t="s">
        <v>8098</v>
      </c>
      <c r="C4193" s="34" t="s">
        <v>1188</v>
      </c>
    </row>
    <row r="4194" customFormat="false" ht="76.5" hidden="false" customHeight="false" outlineLevel="0" collapsed="false">
      <c r="A4194" s="37" t="s">
        <v>8099</v>
      </c>
      <c r="B4194" s="34" t="s">
        <v>8100</v>
      </c>
      <c r="C4194" s="34" t="s">
        <v>1188</v>
      </c>
    </row>
    <row r="4195" customFormat="false" ht="76.5" hidden="false" customHeight="false" outlineLevel="0" collapsed="false">
      <c r="A4195" s="37" t="s">
        <v>8101</v>
      </c>
      <c r="B4195" s="34" t="s">
        <v>8102</v>
      </c>
      <c r="C4195" s="34" t="s">
        <v>1188</v>
      </c>
    </row>
    <row r="4196" customFormat="false" ht="76.5" hidden="false" customHeight="false" outlineLevel="0" collapsed="false">
      <c r="A4196" s="37" t="s">
        <v>8103</v>
      </c>
      <c r="B4196" s="34" t="s">
        <v>8104</v>
      </c>
      <c r="C4196" s="34" t="s">
        <v>1193</v>
      </c>
    </row>
    <row r="4197" customFormat="false" ht="89.25" hidden="false" customHeight="false" outlineLevel="0" collapsed="false">
      <c r="A4197" s="37" t="s">
        <v>8105</v>
      </c>
      <c r="B4197" s="34" t="s">
        <v>8106</v>
      </c>
      <c r="C4197" s="34" t="s">
        <v>1198</v>
      </c>
    </row>
    <row r="4198" customFormat="false" ht="89.25" hidden="false" customHeight="false" outlineLevel="0" collapsed="false">
      <c r="A4198" s="37" t="s">
        <v>8107</v>
      </c>
      <c r="B4198" s="34" t="s">
        <v>8108</v>
      </c>
      <c r="C4198" s="34" t="s">
        <v>1198</v>
      </c>
    </row>
    <row r="4199" customFormat="false" ht="89.25" hidden="false" customHeight="false" outlineLevel="0" collapsed="false">
      <c r="A4199" s="37" t="s">
        <v>8109</v>
      </c>
      <c r="B4199" s="34" t="s">
        <v>8110</v>
      </c>
      <c r="C4199" s="34" t="s">
        <v>1198</v>
      </c>
    </row>
    <row r="4200" customFormat="false" ht="89.25" hidden="false" customHeight="false" outlineLevel="0" collapsed="false">
      <c r="A4200" s="37" t="s">
        <v>8111</v>
      </c>
      <c r="B4200" s="34" t="s">
        <v>8112</v>
      </c>
      <c r="C4200" s="34" t="s">
        <v>1198</v>
      </c>
    </row>
    <row r="4201" customFormat="false" ht="89.25" hidden="false" customHeight="false" outlineLevel="0" collapsed="false">
      <c r="A4201" s="37" t="s">
        <v>8113</v>
      </c>
      <c r="B4201" s="34" t="s">
        <v>8114</v>
      </c>
      <c r="C4201" s="34" t="s">
        <v>1198</v>
      </c>
    </row>
    <row r="4202" customFormat="false" ht="89.25" hidden="false" customHeight="false" outlineLevel="0" collapsed="false">
      <c r="A4202" s="37" t="s">
        <v>8115</v>
      </c>
      <c r="B4202" s="34" t="s">
        <v>8116</v>
      </c>
      <c r="C4202" s="34" t="s">
        <v>1198</v>
      </c>
    </row>
    <row r="4203" customFormat="false" ht="89.25" hidden="false" customHeight="false" outlineLevel="0" collapsed="false">
      <c r="A4203" s="37" t="s">
        <v>8117</v>
      </c>
      <c r="B4203" s="34" t="s">
        <v>8118</v>
      </c>
      <c r="C4203" s="34" t="s">
        <v>1198</v>
      </c>
    </row>
    <row r="4204" customFormat="false" ht="89.25" hidden="false" customHeight="false" outlineLevel="0" collapsed="false">
      <c r="A4204" s="37" t="s">
        <v>8119</v>
      </c>
      <c r="B4204" s="34" t="s">
        <v>8120</v>
      </c>
      <c r="C4204" s="34" t="s">
        <v>1198</v>
      </c>
    </row>
    <row r="4205" customFormat="false" ht="102" hidden="false" customHeight="false" outlineLevel="0" collapsed="false">
      <c r="A4205" s="37" t="s">
        <v>8121</v>
      </c>
      <c r="B4205" s="34" t="s">
        <v>8122</v>
      </c>
      <c r="C4205" s="34" t="s">
        <v>1215</v>
      </c>
    </row>
    <row r="4206" customFormat="false" ht="25.5" hidden="false" customHeight="false" outlineLevel="0" collapsed="false">
      <c r="A4206" s="37" t="s">
        <v>8123</v>
      </c>
      <c r="B4206" s="34" t="s">
        <v>8124</v>
      </c>
      <c r="C4206" s="34" t="s">
        <v>965</v>
      </c>
    </row>
    <row r="4207" customFormat="false" ht="63.75" hidden="false" customHeight="false" outlineLevel="0" collapsed="false">
      <c r="A4207" s="37" t="s">
        <v>8125</v>
      </c>
      <c r="B4207" s="34" t="s">
        <v>8126</v>
      </c>
      <c r="C4207" s="34" t="s">
        <v>139</v>
      </c>
    </row>
    <row r="4208" customFormat="false" ht="63.75" hidden="false" customHeight="false" outlineLevel="0" collapsed="false">
      <c r="A4208" s="37" t="s">
        <v>8127</v>
      </c>
      <c r="B4208" s="34" t="s">
        <v>8128</v>
      </c>
      <c r="C4208" s="34" t="s">
        <v>139</v>
      </c>
    </row>
    <row r="4209" customFormat="false" ht="63.75" hidden="false" customHeight="false" outlineLevel="0" collapsed="false">
      <c r="A4209" s="37" t="s">
        <v>8129</v>
      </c>
      <c r="B4209" s="34" t="s">
        <v>8130</v>
      </c>
      <c r="C4209" s="34" t="s">
        <v>139</v>
      </c>
    </row>
    <row r="4210" customFormat="false" ht="89.25" hidden="false" customHeight="false" outlineLevel="0" collapsed="false">
      <c r="A4210" s="37" t="s">
        <v>8131</v>
      </c>
      <c r="B4210" s="34" t="s">
        <v>8132</v>
      </c>
      <c r="C4210" s="34" t="s">
        <v>122</v>
      </c>
    </row>
    <row r="4211" customFormat="false" ht="89.25" hidden="false" customHeight="false" outlineLevel="0" collapsed="false">
      <c r="A4211" s="37" t="s">
        <v>8133</v>
      </c>
      <c r="B4211" s="34" t="s">
        <v>8134</v>
      </c>
      <c r="C4211" s="34" t="s">
        <v>122</v>
      </c>
    </row>
    <row r="4212" customFormat="false" ht="89.25" hidden="false" customHeight="false" outlineLevel="0" collapsed="false">
      <c r="A4212" s="37" t="s">
        <v>8135</v>
      </c>
      <c r="B4212" s="34" t="s">
        <v>8136</v>
      </c>
      <c r="C4212" s="34" t="s">
        <v>122</v>
      </c>
    </row>
    <row r="4213" customFormat="false" ht="89.25" hidden="false" customHeight="false" outlineLevel="0" collapsed="false">
      <c r="A4213" s="37" t="s">
        <v>8137</v>
      </c>
      <c r="B4213" s="34" t="s">
        <v>7518</v>
      </c>
      <c r="C4213" s="34" t="s">
        <v>122</v>
      </c>
    </row>
    <row r="4214" customFormat="false" ht="89.25" hidden="false" customHeight="false" outlineLevel="0" collapsed="false">
      <c r="A4214" s="37" t="s">
        <v>8138</v>
      </c>
      <c r="B4214" s="34" t="s">
        <v>8139</v>
      </c>
      <c r="C4214" s="34" t="s">
        <v>122</v>
      </c>
    </row>
    <row r="4215" customFormat="false" ht="114.75" hidden="false" customHeight="false" outlineLevel="0" collapsed="false">
      <c r="A4215" s="37" t="s">
        <v>8140</v>
      </c>
      <c r="B4215" s="34" t="s">
        <v>8141</v>
      </c>
      <c r="C4215" s="34" t="s">
        <v>7656</v>
      </c>
    </row>
    <row r="4216" customFormat="false" ht="51" hidden="false" customHeight="false" outlineLevel="0" collapsed="false">
      <c r="A4216" s="37" t="s">
        <v>8142</v>
      </c>
      <c r="B4216" s="34" t="s">
        <v>8143</v>
      </c>
      <c r="C4216" s="34" t="s">
        <v>437</v>
      </c>
    </row>
    <row r="4217" customFormat="false" ht="51" hidden="false" customHeight="false" outlineLevel="0" collapsed="false">
      <c r="A4217" s="37" t="s">
        <v>8144</v>
      </c>
      <c r="B4217" s="34" t="s">
        <v>8145</v>
      </c>
      <c r="C4217" s="34" t="s">
        <v>437</v>
      </c>
    </row>
    <row r="4218" customFormat="false" ht="51" hidden="false" customHeight="false" outlineLevel="0" collapsed="false">
      <c r="A4218" s="37" t="s">
        <v>8146</v>
      </c>
      <c r="B4218" s="34" t="s">
        <v>8147</v>
      </c>
      <c r="C4218" s="34" t="s">
        <v>437</v>
      </c>
    </row>
    <row r="4219" customFormat="false" ht="89.25" hidden="false" customHeight="false" outlineLevel="0" collapsed="false">
      <c r="A4219" s="37" t="s">
        <v>8148</v>
      </c>
      <c r="B4219" s="34" t="s">
        <v>8149</v>
      </c>
      <c r="C4219" s="34" t="s">
        <v>444</v>
      </c>
    </row>
    <row r="4220" customFormat="false" ht="89.25" hidden="false" customHeight="false" outlineLevel="0" collapsed="false">
      <c r="A4220" s="37" t="s">
        <v>8150</v>
      </c>
      <c r="B4220" s="34" t="s">
        <v>8151</v>
      </c>
      <c r="C4220" s="34" t="s">
        <v>444</v>
      </c>
    </row>
    <row r="4221" customFormat="false" ht="89.25" hidden="false" customHeight="false" outlineLevel="0" collapsed="false">
      <c r="A4221" s="37" t="s">
        <v>8152</v>
      </c>
      <c r="B4221" s="34" t="s">
        <v>8153</v>
      </c>
      <c r="C4221" s="34" t="s">
        <v>449</v>
      </c>
    </row>
    <row r="4222" customFormat="false" ht="89.25" hidden="false" customHeight="false" outlineLevel="0" collapsed="false">
      <c r="A4222" s="37" t="s">
        <v>8154</v>
      </c>
      <c r="B4222" s="34" t="s">
        <v>8155</v>
      </c>
      <c r="C4222" s="34" t="s">
        <v>449</v>
      </c>
    </row>
    <row r="4223" customFormat="false" ht="63.75" hidden="false" customHeight="false" outlineLevel="0" collapsed="false">
      <c r="A4223" s="37" t="s">
        <v>8156</v>
      </c>
      <c r="B4223" s="34" t="s">
        <v>8157</v>
      </c>
      <c r="C4223" s="34" t="s">
        <v>452</v>
      </c>
    </row>
    <row r="4224" customFormat="false" ht="76.5" hidden="false" customHeight="false" outlineLevel="0" collapsed="false">
      <c r="A4224" s="37" t="s">
        <v>8158</v>
      </c>
      <c r="B4224" s="34" t="s">
        <v>8159</v>
      </c>
      <c r="C4224" s="34" t="s">
        <v>2036</v>
      </c>
    </row>
    <row r="4225" customFormat="false" ht="127.5" hidden="false" customHeight="false" outlineLevel="0" collapsed="false">
      <c r="A4225" s="37" t="s">
        <v>8160</v>
      </c>
      <c r="B4225" s="34" t="s">
        <v>8161</v>
      </c>
      <c r="C4225" s="34" t="s">
        <v>8162</v>
      </c>
    </row>
    <row r="4226" customFormat="false" ht="63.75" hidden="false" customHeight="false" outlineLevel="0" collapsed="false">
      <c r="A4226" s="37" t="s">
        <v>8163</v>
      </c>
      <c r="B4226" s="34" t="s">
        <v>8164</v>
      </c>
      <c r="C4226" s="34" t="s">
        <v>139</v>
      </c>
    </row>
    <row r="4227" customFormat="false" ht="63.75" hidden="false" customHeight="false" outlineLevel="0" collapsed="false">
      <c r="A4227" s="37" t="s">
        <v>8165</v>
      </c>
      <c r="B4227" s="34" t="s">
        <v>8166</v>
      </c>
      <c r="C4227" s="34" t="s">
        <v>139</v>
      </c>
    </row>
    <row r="4228" customFormat="false" ht="63.75" hidden="false" customHeight="false" outlineLevel="0" collapsed="false">
      <c r="A4228" s="37" t="s">
        <v>8167</v>
      </c>
      <c r="B4228" s="34" t="s">
        <v>8168</v>
      </c>
      <c r="C4228" s="34" t="s">
        <v>139</v>
      </c>
    </row>
    <row r="4229" customFormat="false" ht="38.25" hidden="false" customHeight="false" outlineLevel="0" collapsed="false">
      <c r="A4229" s="37" t="s">
        <v>8169</v>
      </c>
      <c r="B4229" s="34" t="s">
        <v>8170</v>
      </c>
      <c r="C4229" s="34" t="s">
        <v>463</v>
      </c>
    </row>
    <row r="4230" customFormat="false" ht="38.25" hidden="false" customHeight="false" outlineLevel="0" collapsed="false">
      <c r="A4230" s="37" t="s">
        <v>8171</v>
      </c>
      <c r="B4230" s="34" t="s">
        <v>8172</v>
      </c>
      <c r="C4230" s="34" t="s">
        <v>466</v>
      </c>
    </row>
    <row r="4231" customFormat="false" ht="38.25" hidden="false" customHeight="false" outlineLevel="0" collapsed="false">
      <c r="A4231" s="37" t="s">
        <v>8173</v>
      </c>
      <c r="B4231" s="34" t="s">
        <v>8174</v>
      </c>
      <c r="C4231" s="34" t="s">
        <v>469</v>
      </c>
    </row>
    <row r="4232" customFormat="false" ht="38.25" hidden="false" customHeight="false" outlineLevel="0" collapsed="false">
      <c r="A4232" s="37" t="s">
        <v>8175</v>
      </c>
      <c r="B4232" s="34" t="s">
        <v>8176</v>
      </c>
      <c r="C4232" s="34" t="s">
        <v>472</v>
      </c>
    </row>
    <row r="4233" customFormat="false" ht="38.25" hidden="false" customHeight="false" outlineLevel="0" collapsed="false">
      <c r="A4233" s="37" t="s">
        <v>8177</v>
      </c>
      <c r="B4233" s="34" t="s">
        <v>8178</v>
      </c>
      <c r="C4233" s="34" t="s">
        <v>475</v>
      </c>
    </row>
    <row r="4234" customFormat="false" ht="38.25" hidden="false" customHeight="false" outlineLevel="0" collapsed="false">
      <c r="A4234" s="37" t="s">
        <v>8179</v>
      </c>
      <c r="B4234" s="34" t="s">
        <v>8180</v>
      </c>
      <c r="C4234" s="34" t="s">
        <v>478</v>
      </c>
    </row>
    <row r="4235" customFormat="false" ht="38.25" hidden="false" customHeight="false" outlineLevel="0" collapsed="false">
      <c r="A4235" s="37" t="s">
        <v>8181</v>
      </c>
      <c r="B4235" s="34" t="s">
        <v>8182</v>
      </c>
      <c r="C4235" s="34" t="s">
        <v>481</v>
      </c>
    </row>
    <row r="4236" customFormat="false" ht="38.25" hidden="false" customHeight="false" outlineLevel="0" collapsed="false">
      <c r="A4236" s="37" t="s">
        <v>8183</v>
      </c>
      <c r="B4236" s="34" t="s">
        <v>8184</v>
      </c>
      <c r="C4236" s="34" t="s">
        <v>484</v>
      </c>
    </row>
    <row r="4237" customFormat="false" ht="38.25" hidden="false" customHeight="false" outlineLevel="0" collapsed="false">
      <c r="A4237" s="37" t="s">
        <v>8185</v>
      </c>
      <c r="B4237" s="34" t="s">
        <v>8186</v>
      </c>
      <c r="C4237" s="34" t="s">
        <v>487</v>
      </c>
    </row>
    <row r="4238" customFormat="false" ht="38.25" hidden="false" customHeight="false" outlineLevel="0" collapsed="false">
      <c r="A4238" s="37" t="s">
        <v>8187</v>
      </c>
      <c r="B4238" s="34" t="s">
        <v>8188</v>
      </c>
      <c r="C4238" s="34" t="s">
        <v>490</v>
      </c>
    </row>
    <row r="4239" customFormat="false" ht="38.25" hidden="false" customHeight="false" outlineLevel="0" collapsed="false">
      <c r="A4239" s="37" t="s">
        <v>8189</v>
      </c>
      <c r="B4239" s="34" t="s">
        <v>8190</v>
      </c>
      <c r="C4239" s="34" t="s">
        <v>493</v>
      </c>
    </row>
    <row r="4240" customFormat="false" ht="38.25" hidden="false" customHeight="false" outlineLevel="0" collapsed="false">
      <c r="A4240" s="37" t="s">
        <v>8191</v>
      </c>
      <c r="B4240" s="34" t="s">
        <v>8192</v>
      </c>
      <c r="C4240" s="34" t="s">
        <v>496</v>
      </c>
    </row>
    <row r="4241" customFormat="false" ht="38.25" hidden="false" customHeight="false" outlineLevel="0" collapsed="false">
      <c r="A4241" s="37" t="s">
        <v>8193</v>
      </c>
      <c r="B4241" s="34" t="s">
        <v>8194</v>
      </c>
      <c r="C4241" s="34" t="s">
        <v>499</v>
      </c>
    </row>
    <row r="4242" customFormat="false" ht="38.25" hidden="false" customHeight="false" outlineLevel="0" collapsed="false">
      <c r="A4242" s="37" t="s">
        <v>8195</v>
      </c>
      <c r="B4242" s="34" t="s">
        <v>8196</v>
      </c>
      <c r="C4242" s="34" t="s">
        <v>502</v>
      </c>
    </row>
    <row r="4243" customFormat="false" ht="38.25" hidden="false" customHeight="false" outlineLevel="0" collapsed="false">
      <c r="A4243" s="37" t="s">
        <v>8197</v>
      </c>
      <c r="B4243" s="34" t="s">
        <v>8198</v>
      </c>
      <c r="C4243" s="34" t="s">
        <v>505</v>
      </c>
    </row>
    <row r="4244" customFormat="false" ht="51" hidden="false" customHeight="false" outlineLevel="0" collapsed="false">
      <c r="A4244" s="37" t="s">
        <v>8199</v>
      </c>
      <c r="B4244" s="34" t="s">
        <v>8200</v>
      </c>
      <c r="C4244" s="34" t="s">
        <v>508</v>
      </c>
    </row>
    <row r="4245" customFormat="false" ht="51" hidden="false" customHeight="false" outlineLevel="0" collapsed="false">
      <c r="A4245" s="37" t="s">
        <v>8201</v>
      </c>
      <c r="B4245" s="34" t="s">
        <v>8202</v>
      </c>
      <c r="C4245" s="34" t="s">
        <v>511</v>
      </c>
    </row>
    <row r="4246" customFormat="false" ht="51" hidden="false" customHeight="false" outlineLevel="0" collapsed="false">
      <c r="A4246" s="37" t="s">
        <v>8203</v>
      </c>
      <c r="B4246" s="34" t="s">
        <v>8204</v>
      </c>
      <c r="C4246" s="34" t="s">
        <v>514</v>
      </c>
    </row>
    <row r="4247" customFormat="false" ht="51" hidden="false" customHeight="false" outlineLevel="0" collapsed="false">
      <c r="A4247" s="37" t="s">
        <v>8205</v>
      </c>
      <c r="B4247" s="34" t="s">
        <v>8206</v>
      </c>
      <c r="C4247" s="34" t="s">
        <v>517</v>
      </c>
    </row>
    <row r="4248" customFormat="false" ht="51" hidden="false" customHeight="false" outlineLevel="0" collapsed="false">
      <c r="A4248" s="37" t="s">
        <v>8207</v>
      </c>
      <c r="B4248" s="34" t="s">
        <v>8208</v>
      </c>
      <c r="C4248" s="34" t="s">
        <v>517</v>
      </c>
    </row>
    <row r="4249" customFormat="false" ht="51" hidden="false" customHeight="false" outlineLevel="0" collapsed="false">
      <c r="A4249" s="37" t="s">
        <v>8209</v>
      </c>
      <c r="B4249" s="34" t="s">
        <v>8210</v>
      </c>
      <c r="C4249" s="34" t="s">
        <v>517</v>
      </c>
    </row>
    <row r="4250" customFormat="false" ht="51" hidden="false" customHeight="false" outlineLevel="0" collapsed="false">
      <c r="A4250" s="37" t="s">
        <v>8211</v>
      </c>
      <c r="B4250" s="34" t="s">
        <v>8212</v>
      </c>
      <c r="C4250" s="34" t="s">
        <v>517</v>
      </c>
    </row>
    <row r="4251" customFormat="false" ht="51" hidden="false" customHeight="false" outlineLevel="0" collapsed="false">
      <c r="A4251" s="37" t="s">
        <v>8213</v>
      </c>
      <c r="B4251" s="34" t="s">
        <v>8214</v>
      </c>
      <c r="C4251" s="34" t="s">
        <v>511</v>
      </c>
    </row>
    <row r="4252" customFormat="false" ht="51" hidden="false" customHeight="false" outlineLevel="0" collapsed="false">
      <c r="A4252" s="37" t="s">
        <v>8215</v>
      </c>
      <c r="B4252" s="34" t="s">
        <v>8216</v>
      </c>
      <c r="C4252" s="34" t="s">
        <v>511</v>
      </c>
    </row>
    <row r="4253" customFormat="false" ht="51" hidden="false" customHeight="false" outlineLevel="0" collapsed="false">
      <c r="A4253" s="37" t="s">
        <v>8217</v>
      </c>
      <c r="B4253" s="34" t="s">
        <v>8218</v>
      </c>
      <c r="C4253" s="34" t="s">
        <v>511</v>
      </c>
    </row>
    <row r="4254" customFormat="false" ht="51" hidden="false" customHeight="false" outlineLevel="0" collapsed="false">
      <c r="A4254" s="37" t="s">
        <v>8219</v>
      </c>
      <c r="B4254" s="34" t="s">
        <v>8220</v>
      </c>
      <c r="C4254" s="34" t="s">
        <v>511</v>
      </c>
    </row>
    <row r="4255" customFormat="false" ht="51" hidden="false" customHeight="false" outlineLevel="0" collapsed="false">
      <c r="A4255" s="37" t="s">
        <v>8221</v>
      </c>
      <c r="B4255" s="34" t="s">
        <v>8222</v>
      </c>
      <c r="C4255" s="34" t="s">
        <v>511</v>
      </c>
    </row>
    <row r="4256" customFormat="false" ht="51" hidden="false" customHeight="false" outlineLevel="0" collapsed="false">
      <c r="A4256" s="37" t="s">
        <v>8223</v>
      </c>
      <c r="B4256" s="34" t="s">
        <v>8224</v>
      </c>
      <c r="C4256" s="34" t="s">
        <v>511</v>
      </c>
    </row>
    <row r="4257" customFormat="false" ht="51" hidden="false" customHeight="false" outlineLevel="0" collapsed="false">
      <c r="A4257" s="37" t="s">
        <v>8225</v>
      </c>
      <c r="B4257" s="34" t="s">
        <v>8226</v>
      </c>
      <c r="C4257" s="34" t="s">
        <v>511</v>
      </c>
    </row>
    <row r="4258" customFormat="false" ht="51" hidden="false" customHeight="false" outlineLevel="0" collapsed="false">
      <c r="A4258" s="37" t="s">
        <v>8227</v>
      </c>
      <c r="B4258" s="34" t="s">
        <v>8228</v>
      </c>
      <c r="C4258" s="34" t="s">
        <v>511</v>
      </c>
    </row>
    <row r="4259" customFormat="false" ht="51" hidden="false" customHeight="false" outlineLevel="0" collapsed="false">
      <c r="A4259" s="37" t="s">
        <v>8229</v>
      </c>
      <c r="B4259" s="34" t="s">
        <v>8230</v>
      </c>
      <c r="C4259" s="34" t="s">
        <v>511</v>
      </c>
    </row>
    <row r="4260" customFormat="false" ht="51" hidden="false" customHeight="false" outlineLevel="0" collapsed="false">
      <c r="A4260" s="37" t="s">
        <v>8231</v>
      </c>
      <c r="B4260" s="34" t="s">
        <v>8232</v>
      </c>
      <c r="C4260" s="34" t="s">
        <v>511</v>
      </c>
    </row>
    <row r="4261" customFormat="false" ht="51" hidden="false" customHeight="false" outlineLevel="0" collapsed="false">
      <c r="A4261" s="37" t="s">
        <v>8233</v>
      </c>
      <c r="B4261" s="34" t="s">
        <v>8234</v>
      </c>
      <c r="C4261" s="34" t="s">
        <v>546</v>
      </c>
    </row>
    <row r="4262" customFormat="false" ht="51" hidden="false" customHeight="false" outlineLevel="0" collapsed="false">
      <c r="A4262" s="37" t="s">
        <v>8235</v>
      </c>
      <c r="B4262" s="34" t="s">
        <v>8236</v>
      </c>
      <c r="C4262" s="34" t="s">
        <v>546</v>
      </c>
    </row>
    <row r="4263" customFormat="false" ht="51" hidden="false" customHeight="false" outlineLevel="0" collapsed="false">
      <c r="A4263" s="37" t="s">
        <v>8237</v>
      </c>
      <c r="B4263" s="34" t="s">
        <v>8238</v>
      </c>
      <c r="C4263" s="34" t="s">
        <v>546</v>
      </c>
    </row>
    <row r="4264" customFormat="false" ht="51" hidden="false" customHeight="false" outlineLevel="0" collapsed="false">
      <c r="A4264" s="37" t="s">
        <v>8239</v>
      </c>
      <c r="B4264" s="34" t="s">
        <v>8240</v>
      </c>
      <c r="C4264" s="34" t="s">
        <v>546</v>
      </c>
    </row>
    <row r="4265" customFormat="false" ht="51" hidden="false" customHeight="false" outlineLevel="0" collapsed="false">
      <c r="A4265" s="37" t="s">
        <v>8241</v>
      </c>
      <c r="B4265" s="34" t="s">
        <v>8242</v>
      </c>
      <c r="C4265" s="34" t="s">
        <v>546</v>
      </c>
    </row>
    <row r="4266" customFormat="false" ht="51" hidden="false" customHeight="false" outlineLevel="0" collapsed="false">
      <c r="A4266" s="37" t="s">
        <v>8243</v>
      </c>
      <c r="B4266" s="34" t="s">
        <v>8244</v>
      </c>
      <c r="C4266" s="34" t="s">
        <v>546</v>
      </c>
    </row>
    <row r="4267" customFormat="false" ht="51" hidden="false" customHeight="false" outlineLevel="0" collapsed="false">
      <c r="A4267" s="37" t="s">
        <v>8245</v>
      </c>
      <c r="B4267" s="34" t="s">
        <v>8246</v>
      </c>
      <c r="C4267" s="34" t="s">
        <v>546</v>
      </c>
    </row>
    <row r="4268" customFormat="false" ht="63.75" hidden="false" customHeight="false" outlineLevel="0" collapsed="false">
      <c r="A4268" s="37" t="s">
        <v>8247</v>
      </c>
      <c r="B4268" s="34" t="s">
        <v>8248</v>
      </c>
      <c r="C4268" s="34" t="s">
        <v>561</v>
      </c>
    </row>
    <row r="4269" customFormat="false" ht="63.75" hidden="false" customHeight="false" outlineLevel="0" collapsed="false">
      <c r="A4269" s="37" t="s">
        <v>8249</v>
      </c>
      <c r="B4269" s="34" t="s">
        <v>8250</v>
      </c>
      <c r="C4269" s="34" t="s">
        <v>561</v>
      </c>
    </row>
    <row r="4270" customFormat="false" ht="89.25" hidden="false" customHeight="false" outlineLevel="0" collapsed="false">
      <c r="A4270" s="37" t="s">
        <v>8251</v>
      </c>
      <c r="B4270" s="34" t="s">
        <v>8252</v>
      </c>
      <c r="C4270" s="34" t="s">
        <v>566</v>
      </c>
    </row>
    <row r="4271" customFormat="false" ht="63.75" hidden="false" customHeight="false" outlineLevel="0" collapsed="false">
      <c r="A4271" s="37" t="s">
        <v>8253</v>
      </c>
      <c r="B4271" s="34" t="s">
        <v>8254</v>
      </c>
      <c r="C4271" s="34" t="s">
        <v>561</v>
      </c>
    </row>
    <row r="4272" customFormat="false" ht="63.75" hidden="false" customHeight="false" outlineLevel="0" collapsed="false">
      <c r="A4272" s="37" t="s">
        <v>8255</v>
      </c>
      <c r="B4272" s="34" t="s">
        <v>8256</v>
      </c>
      <c r="C4272" s="34" t="s">
        <v>571</v>
      </c>
    </row>
    <row r="4273" customFormat="false" ht="89.25" hidden="false" customHeight="false" outlineLevel="0" collapsed="false">
      <c r="A4273" s="37" t="s">
        <v>8257</v>
      </c>
      <c r="B4273" s="34" t="s">
        <v>8258</v>
      </c>
      <c r="C4273" s="34" t="s">
        <v>574</v>
      </c>
    </row>
    <row r="4274" customFormat="false" ht="89.25" hidden="false" customHeight="false" outlineLevel="0" collapsed="false">
      <c r="A4274" s="37" t="s">
        <v>8259</v>
      </c>
      <c r="B4274" s="34" t="s">
        <v>8260</v>
      </c>
      <c r="C4274" s="34" t="s">
        <v>574</v>
      </c>
    </row>
    <row r="4275" customFormat="false" ht="89.25" hidden="false" customHeight="false" outlineLevel="0" collapsed="false">
      <c r="A4275" s="37" t="s">
        <v>8261</v>
      </c>
      <c r="B4275" s="34" t="s">
        <v>8262</v>
      </c>
      <c r="C4275" s="34" t="s">
        <v>574</v>
      </c>
    </row>
    <row r="4276" customFormat="false" ht="89.25" hidden="false" customHeight="false" outlineLevel="0" collapsed="false">
      <c r="A4276" s="37" t="s">
        <v>8263</v>
      </c>
      <c r="B4276" s="34" t="s">
        <v>8264</v>
      </c>
      <c r="C4276" s="34" t="s">
        <v>574</v>
      </c>
    </row>
    <row r="4277" customFormat="false" ht="89.25" hidden="false" customHeight="false" outlineLevel="0" collapsed="false">
      <c r="A4277" s="37" t="s">
        <v>8265</v>
      </c>
      <c r="B4277" s="34" t="s">
        <v>8266</v>
      </c>
      <c r="C4277" s="34" t="s">
        <v>574</v>
      </c>
    </row>
    <row r="4278" customFormat="false" ht="63.75" hidden="false" customHeight="false" outlineLevel="0" collapsed="false">
      <c r="A4278" s="37" t="s">
        <v>8267</v>
      </c>
      <c r="B4278" s="34" t="s">
        <v>8268</v>
      </c>
      <c r="C4278" s="34" t="s">
        <v>585</v>
      </c>
    </row>
    <row r="4279" customFormat="false" ht="63.75" hidden="false" customHeight="false" outlineLevel="0" collapsed="false">
      <c r="A4279" s="37" t="s">
        <v>8269</v>
      </c>
      <c r="B4279" s="34" t="s">
        <v>8270</v>
      </c>
      <c r="C4279" s="34" t="s">
        <v>588</v>
      </c>
    </row>
    <row r="4280" customFormat="false" ht="51" hidden="false" customHeight="false" outlineLevel="0" collapsed="false">
      <c r="A4280" s="37" t="s">
        <v>8271</v>
      </c>
      <c r="B4280" s="34" t="s">
        <v>8272</v>
      </c>
      <c r="C4280" s="34" t="s">
        <v>546</v>
      </c>
    </row>
    <row r="4281" customFormat="false" ht="51" hidden="false" customHeight="false" outlineLevel="0" collapsed="false">
      <c r="A4281" s="37" t="s">
        <v>8273</v>
      </c>
      <c r="B4281" s="34" t="s">
        <v>8274</v>
      </c>
      <c r="C4281" s="34" t="s">
        <v>546</v>
      </c>
    </row>
    <row r="4282" customFormat="false" ht="51" hidden="false" customHeight="false" outlineLevel="0" collapsed="false">
      <c r="A4282" s="37" t="s">
        <v>8275</v>
      </c>
      <c r="B4282" s="34" t="s">
        <v>8276</v>
      </c>
      <c r="C4282" s="34" t="s">
        <v>546</v>
      </c>
    </row>
    <row r="4283" customFormat="false" ht="51" hidden="false" customHeight="false" outlineLevel="0" collapsed="false">
      <c r="A4283" s="37" t="s">
        <v>8277</v>
      </c>
      <c r="B4283" s="34" t="s">
        <v>8278</v>
      </c>
      <c r="C4283" s="34" t="s">
        <v>546</v>
      </c>
    </row>
    <row r="4284" customFormat="false" ht="51" hidden="false" customHeight="false" outlineLevel="0" collapsed="false">
      <c r="A4284" s="37" t="s">
        <v>8279</v>
      </c>
      <c r="B4284" s="34" t="s">
        <v>8280</v>
      </c>
      <c r="C4284" s="34" t="s">
        <v>546</v>
      </c>
    </row>
    <row r="4285" customFormat="false" ht="51" hidden="false" customHeight="false" outlineLevel="0" collapsed="false">
      <c r="A4285" s="37" t="s">
        <v>8281</v>
      </c>
      <c r="B4285" s="34" t="s">
        <v>8282</v>
      </c>
      <c r="C4285" s="34" t="s">
        <v>546</v>
      </c>
    </row>
    <row r="4286" customFormat="false" ht="51" hidden="false" customHeight="false" outlineLevel="0" collapsed="false">
      <c r="A4286" s="37" t="s">
        <v>8283</v>
      </c>
      <c r="B4286" s="34" t="s">
        <v>8284</v>
      </c>
      <c r="C4286" s="34" t="s">
        <v>546</v>
      </c>
    </row>
    <row r="4287" customFormat="false" ht="51" hidden="false" customHeight="false" outlineLevel="0" collapsed="false">
      <c r="A4287" s="37" t="s">
        <v>8285</v>
      </c>
      <c r="B4287" s="34" t="s">
        <v>8286</v>
      </c>
      <c r="C4287" s="34" t="s">
        <v>546</v>
      </c>
    </row>
    <row r="4288" customFormat="false" ht="51" hidden="false" customHeight="false" outlineLevel="0" collapsed="false">
      <c r="A4288" s="37" t="s">
        <v>8287</v>
      </c>
      <c r="B4288" s="34" t="s">
        <v>8288</v>
      </c>
      <c r="C4288" s="34" t="s">
        <v>546</v>
      </c>
    </row>
    <row r="4289" customFormat="false" ht="51" hidden="false" customHeight="false" outlineLevel="0" collapsed="false">
      <c r="A4289" s="37" t="s">
        <v>8289</v>
      </c>
      <c r="B4289" s="34" t="s">
        <v>8290</v>
      </c>
      <c r="C4289" s="34" t="s">
        <v>546</v>
      </c>
    </row>
    <row r="4290" customFormat="false" ht="51" hidden="false" customHeight="false" outlineLevel="0" collapsed="false">
      <c r="A4290" s="37" t="s">
        <v>8291</v>
      </c>
      <c r="B4290" s="34" t="s">
        <v>8292</v>
      </c>
      <c r="C4290" s="34" t="s">
        <v>546</v>
      </c>
    </row>
    <row r="4291" customFormat="false" ht="38.25" hidden="false" customHeight="false" outlineLevel="0" collapsed="false">
      <c r="A4291" s="37" t="s">
        <v>8293</v>
      </c>
      <c r="B4291" s="34" t="s">
        <v>8294</v>
      </c>
      <c r="C4291" s="34" t="s">
        <v>613</v>
      </c>
    </row>
    <row r="4292" customFormat="false" ht="51" hidden="false" customHeight="false" outlineLevel="0" collapsed="false">
      <c r="A4292" s="37" t="s">
        <v>8295</v>
      </c>
      <c r="B4292" s="34" t="s">
        <v>8296</v>
      </c>
      <c r="C4292" s="34" t="s">
        <v>546</v>
      </c>
    </row>
    <row r="4293" customFormat="false" ht="51" hidden="false" customHeight="false" outlineLevel="0" collapsed="false">
      <c r="A4293" s="37" t="s">
        <v>8297</v>
      </c>
      <c r="B4293" s="34" t="s">
        <v>8298</v>
      </c>
      <c r="C4293" s="34" t="s">
        <v>546</v>
      </c>
    </row>
    <row r="4294" customFormat="false" ht="51" hidden="false" customHeight="false" outlineLevel="0" collapsed="false">
      <c r="A4294" s="37" t="s">
        <v>8299</v>
      </c>
      <c r="B4294" s="34" t="s">
        <v>8300</v>
      </c>
      <c r="C4294" s="34" t="s">
        <v>546</v>
      </c>
    </row>
    <row r="4295" customFormat="false" ht="51" hidden="false" customHeight="false" outlineLevel="0" collapsed="false">
      <c r="A4295" s="37" t="s">
        <v>8301</v>
      </c>
      <c r="B4295" s="34" t="s">
        <v>8302</v>
      </c>
      <c r="C4295" s="34" t="s">
        <v>546</v>
      </c>
    </row>
    <row r="4296" customFormat="false" ht="51" hidden="false" customHeight="false" outlineLevel="0" collapsed="false">
      <c r="A4296" s="37" t="s">
        <v>8303</v>
      </c>
      <c r="B4296" s="34" t="s">
        <v>8304</v>
      </c>
      <c r="C4296" s="34" t="s">
        <v>546</v>
      </c>
    </row>
    <row r="4297" customFormat="false" ht="38.25" hidden="false" customHeight="false" outlineLevel="0" collapsed="false">
      <c r="A4297" s="37" t="s">
        <v>8305</v>
      </c>
      <c r="B4297" s="34" t="s">
        <v>8306</v>
      </c>
      <c r="C4297" s="34" t="s">
        <v>613</v>
      </c>
    </row>
    <row r="4298" customFormat="false" ht="51" hidden="false" customHeight="false" outlineLevel="0" collapsed="false">
      <c r="A4298" s="37" t="s">
        <v>8307</v>
      </c>
      <c r="B4298" s="34" t="s">
        <v>8308</v>
      </c>
      <c r="C4298" s="34" t="s">
        <v>546</v>
      </c>
    </row>
    <row r="4299" customFormat="false" ht="51" hidden="false" customHeight="false" outlineLevel="0" collapsed="false">
      <c r="A4299" s="37" t="s">
        <v>8309</v>
      </c>
      <c r="B4299" s="34" t="s">
        <v>8310</v>
      </c>
      <c r="C4299" s="34" t="s">
        <v>546</v>
      </c>
    </row>
    <row r="4300" customFormat="false" ht="51" hidden="false" customHeight="false" outlineLevel="0" collapsed="false">
      <c r="A4300" s="37" t="s">
        <v>8311</v>
      </c>
      <c r="B4300" s="34" t="s">
        <v>8312</v>
      </c>
      <c r="C4300" s="34" t="s">
        <v>546</v>
      </c>
    </row>
    <row r="4301" customFormat="false" ht="25.5" hidden="false" customHeight="false" outlineLevel="0" collapsed="false">
      <c r="A4301" s="37" t="s">
        <v>8313</v>
      </c>
      <c r="B4301" s="34" t="s">
        <v>8314</v>
      </c>
      <c r="C4301" s="34" t="s">
        <v>634</v>
      </c>
    </row>
    <row r="4302" customFormat="false" ht="25.5" hidden="false" customHeight="false" outlineLevel="0" collapsed="false">
      <c r="A4302" s="37" t="s">
        <v>8315</v>
      </c>
      <c r="B4302" s="34" t="s">
        <v>8316</v>
      </c>
      <c r="C4302" s="34" t="s">
        <v>637</v>
      </c>
    </row>
    <row r="4303" customFormat="false" ht="51" hidden="false" customHeight="false" outlineLevel="0" collapsed="false">
      <c r="A4303" s="37" t="s">
        <v>8317</v>
      </c>
      <c r="B4303" s="34" t="s">
        <v>8318</v>
      </c>
      <c r="C4303" s="34" t="s">
        <v>546</v>
      </c>
    </row>
    <row r="4304" customFormat="false" ht="51" hidden="false" customHeight="false" outlineLevel="0" collapsed="false">
      <c r="A4304" s="37" t="s">
        <v>8319</v>
      </c>
      <c r="B4304" s="34" t="s">
        <v>8320</v>
      </c>
      <c r="C4304" s="34" t="s">
        <v>546</v>
      </c>
    </row>
    <row r="4305" customFormat="false" ht="51" hidden="false" customHeight="false" outlineLevel="0" collapsed="false">
      <c r="A4305" s="37" t="s">
        <v>8321</v>
      </c>
      <c r="B4305" s="34" t="s">
        <v>8322</v>
      </c>
      <c r="C4305" s="34" t="s">
        <v>546</v>
      </c>
    </row>
    <row r="4306" customFormat="false" ht="63.75" hidden="false" customHeight="false" outlineLevel="0" collapsed="false">
      <c r="A4306" s="37" t="s">
        <v>8323</v>
      </c>
      <c r="B4306" s="34" t="s">
        <v>8324</v>
      </c>
      <c r="C4306" s="34" t="s">
        <v>139</v>
      </c>
    </row>
    <row r="4307" customFormat="false" ht="63.75" hidden="false" customHeight="false" outlineLevel="0" collapsed="false">
      <c r="A4307" s="37" t="s">
        <v>8325</v>
      </c>
      <c r="B4307" s="34" t="s">
        <v>8326</v>
      </c>
      <c r="C4307" s="34" t="s">
        <v>139</v>
      </c>
    </row>
    <row r="4308" customFormat="false" ht="63.75" hidden="false" customHeight="false" outlineLevel="0" collapsed="false">
      <c r="A4308" s="37" t="s">
        <v>8327</v>
      </c>
      <c r="B4308" s="34" t="s">
        <v>8328</v>
      </c>
      <c r="C4308" s="34" t="s">
        <v>139</v>
      </c>
    </row>
    <row r="4309" customFormat="false" ht="63.75" hidden="false" customHeight="false" outlineLevel="0" collapsed="false">
      <c r="A4309" s="37" t="s">
        <v>8329</v>
      </c>
      <c r="B4309" s="34" t="s">
        <v>8330</v>
      </c>
      <c r="C4309" s="34" t="s">
        <v>139</v>
      </c>
    </row>
    <row r="4310" customFormat="false" ht="63.75" hidden="false" customHeight="false" outlineLevel="0" collapsed="false">
      <c r="A4310" s="37" t="s">
        <v>8331</v>
      </c>
      <c r="B4310" s="34" t="s">
        <v>8332</v>
      </c>
      <c r="C4310" s="34" t="s">
        <v>139</v>
      </c>
    </row>
    <row r="4311" customFormat="false" ht="63.75" hidden="false" customHeight="false" outlineLevel="0" collapsed="false">
      <c r="A4311" s="37" t="s">
        <v>8333</v>
      </c>
      <c r="B4311" s="34" t="s">
        <v>8334</v>
      </c>
      <c r="C4311" s="34" t="s">
        <v>139</v>
      </c>
    </row>
    <row r="4312" customFormat="false" ht="63.75" hidden="false" customHeight="false" outlineLevel="0" collapsed="false">
      <c r="A4312" s="37" t="s">
        <v>8335</v>
      </c>
      <c r="B4312" s="34" t="s">
        <v>8336</v>
      </c>
      <c r="C4312" s="34" t="s">
        <v>139</v>
      </c>
    </row>
    <row r="4313" customFormat="false" ht="63.75" hidden="false" customHeight="false" outlineLevel="0" collapsed="false">
      <c r="A4313" s="37" t="s">
        <v>8337</v>
      </c>
      <c r="B4313" s="34" t="s">
        <v>8338</v>
      </c>
      <c r="C4313" s="34" t="s">
        <v>139</v>
      </c>
    </row>
    <row r="4314" customFormat="false" ht="102" hidden="false" customHeight="false" outlineLevel="0" collapsed="false">
      <c r="A4314" s="37" t="s">
        <v>8339</v>
      </c>
      <c r="B4314" s="34" t="s">
        <v>8340</v>
      </c>
      <c r="C4314" s="34" t="s">
        <v>2216</v>
      </c>
    </row>
    <row r="4315" customFormat="false" ht="102" hidden="false" customHeight="false" outlineLevel="0" collapsed="false">
      <c r="A4315" s="37" t="s">
        <v>8341</v>
      </c>
      <c r="B4315" s="34" t="s">
        <v>8342</v>
      </c>
      <c r="C4315" s="34" t="s">
        <v>2216</v>
      </c>
    </row>
    <row r="4316" customFormat="false" ht="89.25" hidden="false" customHeight="false" outlineLevel="0" collapsed="false">
      <c r="A4316" s="37" t="s">
        <v>8343</v>
      </c>
      <c r="B4316" s="34" t="s">
        <v>8344</v>
      </c>
      <c r="C4316" s="34" t="s">
        <v>1450</v>
      </c>
    </row>
    <row r="4317" customFormat="false" ht="76.5" hidden="false" customHeight="false" outlineLevel="0" collapsed="false">
      <c r="A4317" s="37" t="s">
        <v>8345</v>
      </c>
      <c r="B4317" s="34" t="s">
        <v>8346</v>
      </c>
      <c r="C4317" s="34" t="s">
        <v>2222</v>
      </c>
    </row>
    <row r="4318" customFormat="false" ht="63.75" hidden="false" customHeight="false" outlineLevel="0" collapsed="false">
      <c r="A4318" s="37" t="s">
        <v>8347</v>
      </c>
      <c r="B4318" s="34" t="s">
        <v>8348</v>
      </c>
      <c r="C4318" s="34" t="s">
        <v>139</v>
      </c>
    </row>
    <row r="4319" customFormat="false" ht="63.75" hidden="false" customHeight="false" outlineLevel="0" collapsed="false">
      <c r="A4319" s="37" t="s">
        <v>8349</v>
      </c>
      <c r="B4319" s="34" t="s">
        <v>8350</v>
      </c>
      <c r="C4319" s="34" t="s">
        <v>139</v>
      </c>
    </row>
    <row r="4320" customFormat="false" ht="63.75" hidden="false" customHeight="false" outlineLevel="0" collapsed="false">
      <c r="A4320" s="37" t="s">
        <v>8351</v>
      </c>
      <c r="B4320" s="34" t="s">
        <v>8352</v>
      </c>
      <c r="C4320" s="34" t="s">
        <v>139</v>
      </c>
    </row>
    <row r="4321" customFormat="false" ht="102" hidden="false" customHeight="false" outlineLevel="0" collapsed="false">
      <c r="A4321" s="37" t="s">
        <v>8353</v>
      </c>
      <c r="B4321" s="34" t="s">
        <v>8354</v>
      </c>
      <c r="C4321" s="34" t="s">
        <v>783</v>
      </c>
    </row>
    <row r="4322" customFormat="false" ht="153" hidden="false" customHeight="false" outlineLevel="0" collapsed="false">
      <c r="A4322" s="37" t="s">
        <v>8355</v>
      </c>
      <c r="B4322" s="34" t="s">
        <v>8356</v>
      </c>
      <c r="C4322" s="34" t="s">
        <v>8357</v>
      </c>
    </row>
    <row r="4323" customFormat="false" ht="63.75" hidden="false" customHeight="false" outlineLevel="0" collapsed="false">
      <c r="A4323" s="37" t="s">
        <v>8358</v>
      </c>
      <c r="B4323" s="34" t="s">
        <v>8359</v>
      </c>
      <c r="C4323" s="34" t="s">
        <v>8360</v>
      </c>
    </row>
    <row r="4324" customFormat="false" ht="38.25" hidden="false" customHeight="false" outlineLevel="0" collapsed="false">
      <c r="A4324" s="37" t="s">
        <v>8361</v>
      </c>
      <c r="B4324" s="34" t="s">
        <v>8362</v>
      </c>
      <c r="C4324" s="34" t="s">
        <v>687</v>
      </c>
    </row>
    <row r="4325" customFormat="false" ht="51" hidden="false" customHeight="false" outlineLevel="0" collapsed="false">
      <c r="A4325" s="37" t="s">
        <v>8363</v>
      </c>
      <c r="B4325" s="34" t="s">
        <v>8364</v>
      </c>
      <c r="C4325" s="34" t="s">
        <v>1038</v>
      </c>
    </row>
    <row r="4326" customFormat="false" ht="51" hidden="false" customHeight="false" outlineLevel="0" collapsed="false">
      <c r="A4326" s="37" t="s">
        <v>8365</v>
      </c>
      <c r="B4326" s="34" t="s">
        <v>8366</v>
      </c>
      <c r="C4326" s="34" t="s">
        <v>1041</v>
      </c>
    </row>
    <row r="4327" customFormat="false" ht="51" hidden="false" customHeight="false" outlineLevel="0" collapsed="false">
      <c r="A4327" s="37" t="s">
        <v>8367</v>
      </c>
      <c r="B4327" s="34" t="s">
        <v>8368</v>
      </c>
      <c r="C4327" s="34" t="s">
        <v>696</v>
      </c>
    </row>
    <row r="4328" customFormat="false" ht="51" hidden="false" customHeight="false" outlineLevel="0" collapsed="false">
      <c r="A4328" s="37" t="s">
        <v>8369</v>
      </c>
      <c r="B4328" s="34" t="s">
        <v>8370</v>
      </c>
      <c r="C4328" s="34" t="s">
        <v>1050</v>
      </c>
    </row>
    <row r="4329" customFormat="false" ht="89.25" hidden="false" customHeight="false" outlineLevel="0" collapsed="false">
      <c r="A4329" s="37" t="s">
        <v>8371</v>
      </c>
      <c r="B4329" s="34" t="s">
        <v>8372</v>
      </c>
      <c r="C4329" s="34" t="s">
        <v>702</v>
      </c>
    </row>
    <row r="4330" customFormat="false" ht="89.25" hidden="false" customHeight="false" outlineLevel="0" collapsed="false">
      <c r="A4330" s="37" t="s">
        <v>8373</v>
      </c>
      <c r="B4330" s="34" t="s">
        <v>8374</v>
      </c>
      <c r="C4330" s="34" t="s">
        <v>702</v>
      </c>
    </row>
    <row r="4331" customFormat="false" ht="38.25" hidden="false" customHeight="false" outlineLevel="0" collapsed="false">
      <c r="A4331" s="37" t="s">
        <v>8375</v>
      </c>
      <c r="B4331" s="34" t="s">
        <v>8376</v>
      </c>
      <c r="C4331" s="34" t="s">
        <v>707</v>
      </c>
    </row>
    <row r="4332" customFormat="false" ht="51" hidden="false" customHeight="false" outlineLevel="0" collapsed="false">
      <c r="A4332" s="37" t="s">
        <v>8377</v>
      </c>
      <c r="B4332" s="34" t="s">
        <v>8378</v>
      </c>
      <c r="C4332" s="34" t="s">
        <v>8379</v>
      </c>
    </row>
    <row r="4333" customFormat="false" ht="38.25" hidden="false" customHeight="false" outlineLevel="0" collapsed="false">
      <c r="A4333" s="37" t="s">
        <v>8380</v>
      </c>
      <c r="B4333" s="34" t="s">
        <v>8381</v>
      </c>
      <c r="C4333" s="34" t="s">
        <v>8382</v>
      </c>
    </row>
    <row r="4334" customFormat="false" ht="38.25" hidden="false" customHeight="false" outlineLevel="0" collapsed="false">
      <c r="A4334" s="37" t="s">
        <v>8383</v>
      </c>
      <c r="B4334" s="34" t="s">
        <v>8384</v>
      </c>
      <c r="C4334" s="34" t="s">
        <v>8385</v>
      </c>
    </row>
    <row r="4335" customFormat="false" ht="38.25" hidden="false" customHeight="false" outlineLevel="0" collapsed="false">
      <c r="A4335" s="37" t="s">
        <v>8386</v>
      </c>
      <c r="B4335" s="34" t="s">
        <v>8387</v>
      </c>
      <c r="C4335" s="34" t="s">
        <v>8388</v>
      </c>
    </row>
    <row r="4336" customFormat="false" ht="38.25" hidden="false" customHeight="false" outlineLevel="0" collapsed="false">
      <c r="A4336" s="37" t="s">
        <v>8389</v>
      </c>
      <c r="B4336" s="34" t="s">
        <v>8390</v>
      </c>
      <c r="C4336" s="34" t="s">
        <v>8391</v>
      </c>
    </row>
    <row r="4337" customFormat="false" ht="51" hidden="false" customHeight="false" outlineLevel="0" collapsed="false">
      <c r="A4337" s="37" t="s">
        <v>8392</v>
      </c>
      <c r="B4337" s="34" t="s">
        <v>8393</v>
      </c>
      <c r="C4337" s="34" t="s">
        <v>8394</v>
      </c>
    </row>
    <row r="4338" customFormat="false" ht="76.5" hidden="false" customHeight="false" outlineLevel="0" collapsed="false">
      <c r="A4338" s="37" t="s">
        <v>8395</v>
      </c>
      <c r="B4338" s="34" t="s">
        <v>8396</v>
      </c>
      <c r="C4338" s="34" t="s">
        <v>2297</v>
      </c>
    </row>
    <row r="4339" customFormat="false" ht="76.5" hidden="false" customHeight="false" outlineLevel="0" collapsed="false">
      <c r="A4339" s="37" t="s">
        <v>8397</v>
      </c>
      <c r="B4339" s="34" t="s">
        <v>8398</v>
      </c>
      <c r="C4339" s="34" t="s">
        <v>2297</v>
      </c>
    </row>
    <row r="4340" customFormat="false" ht="76.5" hidden="false" customHeight="false" outlineLevel="0" collapsed="false">
      <c r="A4340" s="37" t="s">
        <v>8399</v>
      </c>
      <c r="B4340" s="34" t="s">
        <v>8400</v>
      </c>
      <c r="C4340" s="34" t="s">
        <v>2297</v>
      </c>
    </row>
    <row r="4341" customFormat="false" ht="63.75" hidden="false" customHeight="false" outlineLevel="0" collapsed="false">
      <c r="A4341" s="37" t="s">
        <v>8401</v>
      </c>
      <c r="B4341" s="34" t="s">
        <v>8402</v>
      </c>
      <c r="C4341" s="34" t="s">
        <v>139</v>
      </c>
    </row>
    <row r="4342" customFormat="false" ht="63.75" hidden="false" customHeight="false" outlineLevel="0" collapsed="false">
      <c r="A4342" s="37" t="s">
        <v>8403</v>
      </c>
      <c r="B4342" s="34" t="s">
        <v>8404</v>
      </c>
      <c r="C4342" s="34" t="s">
        <v>139</v>
      </c>
    </row>
    <row r="4343" customFormat="false" ht="63.75" hidden="false" customHeight="false" outlineLevel="0" collapsed="false">
      <c r="A4343" s="37" t="s">
        <v>8405</v>
      </c>
      <c r="B4343" s="34" t="s">
        <v>8406</v>
      </c>
      <c r="C4343" s="34" t="s">
        <v>139</v>
      </c>
    </row>
    <row r="4344" customFormat="false" ht="63.75" hidden="false" customHeight="false" outlineLevel="0" collapsed="false">
      <c r="A4344" s="37" t="s">
        <v>8407</v>
      </c>
      <c r="B4344" s="34" t="s">
        <v>8408</v>
      </c>
      <c r="C4344" s="34" t="s">
        <v>139</v>
      </c>
    </row>
    <row r="4345" customFormat="false" ht="63.75" hidden="false" customHeight="false" outlineLevel="0" collapsed="false">
      <c r="A4345" s="37" t="s">
        <v>8407</v>
      </c>
      <c r="B4345" s="34" t="s">
        <v>8408</v>
      </c>
      <c r="C4345" s="34" t="s">
        <v>142</v>
      </c>
    </row>
    <row r="4346" customFormat="false" ht="63.75" hidden="false" customHeight="false" outlineLevel="0" collapsed="false">
      <c r="A4346" s="37" t="s">
        <v>8409</v>
      </c>
      <c r="B4346" s="34" t="s">
        <v>8410</v>
      </c>
      <c r="C4346" s="34" t="s">
        <v>139</v>
      </c>
    </row>
    <row r="4347" customFormat="false" ht="63.75" hidden="false" customHeight="false" outlineLevel="0" collapsed="false">
      <c r="A4347" s="37" t="s">
        <v>8411</v>
      </c>
      <c r="B4347" s="34" t="s">
        <v>8412</v>
      </c>
      <c r="C4347" s="34" t="s">
        <v>139</v>
      </c>
    </row>
    <row r="4348" customFormat="false" ht="63.75" hidden="false" customHeight="false" outlineLevel="0" collapsed="false">
      <c r="A4348" s="37" t="s">
        <v>8413</v>
      </c>
      <c r="B4348" s="34" t="s">
        <v>8414</v>
      </c>
      <c r="C4348" s="34" t="s">
        <v>139</v>
      </c>
    </row>
    <row r="4349" customFormat="false" ht="63.75" hidden="false" customHeight="false" outlineLevel="0" collapsed="false">
      <c r="A4349" s="37" t="s">
        <v>8415</v>
      </c>
      <c r="B4349" s="34" t="s">
        <v>8416</v>
      </c>
      <c r="C4349" s="34" t="s">
        <v>139</v>
      </c>
    </row>
    <row r="4350" customFormat="false" ht="63.75" hidden="false" customHeight="false" outlineLevel="0" collapsed="false">
      <c r="A4350" s="37" t="s">
        <v>8417</v>
      </c>
      <c r="B4350" s="34" t="s">
        <v>8418</v>
      </c>
      <c r="C4350" s="34" t="s">
        <v>139</v>
      </c>
    </row>
    <row r="4351" customFormat="false" ht="63.75" hidden="false" customHeight="false" outlineLevel="0" collapsed="false">
      <c r="A4351" s="37" t="s">
        <v>8419</v>
      </c>
      <c r="B4351" s="34" t="s">
        <v>8420</v>
      </c>
      <c r="C4351" s="34" t="s">
        <v>2365</v>
      </c>
    </row>
    <row r="4352" customFormat="false" ht="63.75" hidden="false" customHeight="false" outlineLevel="0" collapsed="false">
      <c r="A4352" s="37" t="s">
        <v>8421</v>
      </c>
      <c r="B4352" s="34" t="s">
        <v>8422</v>
      </c>
      <c r="C4352" s="34" t="s">
        <v>2365</v>
      </c>
    </row>
    <row r="4353" customFormat="false" ht="63.75" hidden="false" customHeight="false" outlineLevel="0" collapsed="false">
      <c r="A4353" s="37" t="s">
        <v>8423</v>
      </c>
      <c r="B4353" s="34" t="s">
        <v>8424</v>
      </c>
      <c r="C4353" s="34" t="s">
        <v>2365</v>
      </c>
    </row>
    <row r="4354" customFormat="false" ht="63.75" hidden="false" customHeight="false" outlineLevel="0" collapsed="false">
      <c r="A4354" s="37" t="s">
        <v>8425</v>
      </c>
      <c r="B4354" s="34" t="s">
        <v>8426</v>
      </c>
      <c r="C4354" s="34" t="s">
        <v>2365</v>
      </c>
    </row>
    <row r="4355" customFormat="false" ht="63.75" hidden="false" customHeight="false" outlineLevel="0" collapsed="false">
      <c r="A4355" s="37" t="s">
        <v>8427</v>
      </c>
      <c r="B4355" s="34" t="s">
        <v>8428</v>
      </c>
      <c r="C4355" s="34" t="s">
        <v>2365</v>
      </c>
    </row>
    <row r="4356" customFormat="false" ht="63.75" hidden="false" customHeight="false" outlineLevel="0" collapsed="false">
      <c r="A4356" s="37" t="s">
        <v>8429</v>
      </c>
      <c r="B4356" s="34" t="s">
        <v>8430</v>
      </c>
      <c r="C4356" s="34" t="s">
        <v>2365</v>
      </c>
    </row>
    <row r="4357" customFormat="false" ht="63.75" hidden="false" customHeight="false" outlineLevel="0" collapsed="false">
      <c r="A4357" s="37" t="s">
        <v>8431</v>
      </c>
      <c r="B4357" s="34" t="s">
        <v>8432</v>
      </c>
      <c r="C4357" s="34" t="s">
        <v>2365</v>
      </c>
    </row>
    <row r="4358" customFormat="false" ht="63.75" hidden="false" customHeight="false" outlineLevel="0" collapsed="false">
      <c r="A4358" s="37" t="s">
        <v>8433</v>
      </c>
      <c r="B4358" s="34" t="s">
        <v>8434</v>
      </c>
      <c r="C4358" s="34" t="s">
        <v>2365</v>
      </c>
    </row>
    <row r="4359" customFormat="false" ht="63.75" hidden="false" customHeight="false" outlineLevel="0" collapsed="false">
      <c r="A4359" s="37" t="s">
        <v>8435</v>
      </c>
      <c r="B4359" s="34" t="s">
        <v>8436</v>
      </c>
      <c r="C4359" s="34" t="s">
        <v>2365</v>
      </c>
    </row>
    <row r="4360" customFormat="false" ht="63.75" hidden="false" customHeight="false" outlineLevel="0" collapsed="false">
      <c r="A4360" s="37" t="s">
        <v>8437</v>
      </c>
      <c r="B4360" s="34" t="s">
        <v>8438</v>
      </c>
      <c r="C4360" s="34" t="s">
        <v>2365</v>
      </c>
    </row>
    <row r="4361" customFormat="false" ht="51" hidden="false" customHeight="false" outlineLevel="0" collapsed="false">
      <c r="A4361" s="37" t="s">
        <v>8439</v>
      </c>
      <c r="B4361" s="34" t="s">
        <v>8440</v>
      </c>
      <c r="C4361" s="34" t="s">
        <v>2386</v>
      </c>
    </row>
    <row r="4362" customFormat="false" ht="51" hidden="false" customHeight="false" outlineLevel="0" collapsed="false">
      <c r="A4362" s="37" t="s">
        <v>8441</v>
      </c>
      <c r="B4362" s="34" t="s">
        <v>8442</v>
      </c>
      <c r="C4362" s="34" t="s">
        <v>2386</v>
      </c>
    </row>
    <row r="4363" customFormat="false" ht="51" hidden="false" customHeight="false" outlineLevel="0" collapsed="false">
      <c r="A4363" s="37" t="s">
        <v>8443</v>
      </c>
      <c r="B4363" s="34" t="s">
        <v>8444</v>
      </c>
      <c r="C4363" s="34" t="s">
        <v>2386</v>
      </c>
    </row>
    <row r="4364" customFormat="false" ht="51" hidden="false" customHeight="false" outlineLevel="0" collapsed="false">
      <c r="A4364" s="37" t="s">
        <v>8445</v>
      </c>
      <c r="B4364" s="34" t="s">
        <v>8446</v>
      </c>
      <c r="C4364" s="34" t="s">
        <v>2386</v>
      </c>
    </row>
    <row r="4365" customFormat="false" ht="51" hidden="false" customHeight="false" outlineLevel="0" collapsed="false">
      <c r="A4365" s="37" t="s">
        <v>8447</v>
      </c>
      <c r="B4365" s="34" t="s">
        <v>8448</v>
      </c>
      <c r="C4365" s="34" t="s">
        <v>2386</v>
      </c>
    </row>
    <row r="4366" customFormat="false" ht="63.75" hidden="false" customHeight="false" outlineLevel="0" collapsed="false">
      <c r="A4366" s="37" t="s">
        <v>8449</v>
      </c>
      <c r="B4366" s="34" t="s">
        <v>8450</v>
      </c>
      <c r="C4366" s="34" t="s">
        <v>2397</v>
      </c>
    </row>
    <row r="4367" customFormat="false" ht="63.75" hidden="false" customHeight="false" outlineLevel="0" collapsed="false">
      <c r="A4367" s="37" t="s">
        <v>8451</v>
      </c>
      <c r="B4367" s="34" t="s">
        <v>8452</v>
      </c>
      <c r="C4367" s="34" t="s">
        <v>139</v>
      </c>
    </row>
    <row r="4368" customFormat="false" ht="63.75" hidden="false" customHeight="false" outlineLevel="0" collapsed="false">
      <c r="A4368" s="37" t="s">
        <v>8453</v>
      </c>
      <c r="B4368" s="34" t="s">
        <v>8416</v>
      </c>
      <c r="C4368" s="34" t="s">
        <v>139</v>
      </c>
    </row>
    <row r="4369" customFormat="false" ht="63.75" hidden="false" customHeight="false" outlineLevel="0" collapsed="false">
      <c r="A4369" s="37" t="s">
        <v>8454</v>
      </c>
      <c r="B4369" s="34" t="s">
        <v>8455</v>
      </c>
      <c r="C4369" s="34" t="s">
        <v>139</v>
      </c>
    </row>
    <row r="4370" customFormat="false" ht="63.75" hidden="false" customHeight="false" outlineLevel="0" collapsed="false">
      <c r="A4370" s="37" t="s">
        <v>8456</v>
      </c>
      <c r="B4370" s="34" t="s">
        <v>8457</v>
      </c>
      <c r="C4370" s="34" t="s">
        <v>139</v>
      </c>
    </row>
    <row r="4371" customFormat="false" ht="63.75" hidden="false" customHeight="false" outlineLevel="0" collapsed="false">
      <c r="A4371" s="37" t="s">
        <v>8458</v>
      </c>
      <c r="B4371" s="34" t="s">
        <v>8459</v>
      </c>
      <c r="C4371" s="34" t="s">
        <v>139</v>
      </c>
    </row>
    <row r="4372" customFormat="false" ht="38.25" hidden="false" customHeight="false" outlineLevel="0" collapsed="false">
      <c r="A4372" s="37" t="s">
        <v>8460</v>
      </c>
      <c r="B4372" s="34" t="s">
        <v>8461</v>
      </c>
      <c r="C4372" s="34" t="s">
        <v>73</v>
      </c>
    </row>
    <row r="4373" customFormat="false" ht="38.25" hidden="false" customHeight="false" outlineLevel="0" collapsed="false">
      <c r="A4373" s="37" t="s">
        <v>8462</v>
      </c>
      <c r="B4373" s="34" t="s">
        <v>8463</v>
      </c>
      <c r="C4373" s="34" t="s">
        <v>2412</v>
      </c>
    </row>
    <row r="4374" customFormat="false" ht="102" hidden="false" customHeight="false" outlineLevel="0" collapsed="false">
      <c r="A4374" s="37" t="s">
        <v>8464</v>
      </c>
      <c r="B4374" s="34" t="s">
        <v>8465</v>
      </c>
      <c r="C4374" s="34" t="s">
        <v>97</v>
      </c>
    </row>
    <row r="4375" customFormat="false" ht="102" hidden="false" customHeight="false" outlineLevel="0" collapsed="false">
      <c r="A4375" s="37" t="s">
        <v>8466</v>
      </c>
      <c r="B4375" s="34" t="s">
        <v>8467</v>
      </c>
      <c r="C4375" s="34" t="s">
        <v>97</v>
      </c>
    </row>
    <row r="4376" customFormat="false" ht="102" hidden="false" customHeight="false" outlineLevel="0" collapsed="false">
      <c r="A4376" s="37" t="s">
        <v>8468</v>
      </c>
      <c r="B4376" s="34" t="s">
        <v>8469</v>
      </c>
      <c r="C4376" s="34" t="s">
        <v>786</v>
      </c>
    </row>
    <row r="4377" customFormat="false" ht="114.75" hidden="false" customHeight="false" outlineLevel="0" collapsed="false">
      <c r="A4377" s="37" t="s">
        <v>8470</v>
      </c>
      <c r="B4377" s="34" t="s">
        <v>8471</v>
      </c>
      <c r="C4377" s="34" t="s">
        <v>849</v>
      </c>
    </row>
    <row r="4378" customFormat="false" ht="89.25" hidden="false" customHeight="false" outlineLevel="0" collapsed="false">
      <c r="A4378" s="37" t="s">
        <v>8472</v>
      </c>
      <c r="B4378" s="34" t="s">
        <v>8473</v>
      </c>
      <c r="C4378" s="34" t="s">
        <v>891</v>
      </c>
    </row>
    <row r="4379" customFormat="false" ht="114.75" hidden="false" customHeight="false" outlineLevel="0" collapsed="false">
      <c r="A4379" s="37" t="s">
        <v>8474</v>
      </c>
      <c r="B4379" s="34" t="s">
        <v>8475</v>
      </c>
      <c r="C4379" s="34" t="s">
        <v>853</v>
      </c>
    </row>
    <row r="4380" customFormat="false" ht="76.5" hidden="false" customHeight="false" outlineLevel="0" collapsed="false">
      <c r="A4380" s="37" t="s">
        <v>8476</v>
      </c>
      <c r="B4380" s="34" t="s">
        <v>8477</v>
      </c>
      <c r="C4380" s="34" t="s">
        <v>108</v>
      </c>
    </row>
    <row r="4381" customFormat="false" ht="89.25" hidden="false" customHeight="false" outlineLevel="0" collapsed="false">
      <c r="A4381" s="37" t="s">
        <v>8478</v>
      </c>
      <c r="B4381" s="34" t="s">
        <v>8479</v>
      </c>
      <c r="C4381" s="34" t="s">
        <v>871</v>
      </c>
    </row>
    <row r="4382" customFormat="false" ht="89.25" hidden="false" customHeight="false" outlineLevel="0" collapsed="false">
      <c r="A4382" s="37" t="s">
        <v>8480</v>
      </c>
      <c r="B4382" s="34" t="s">
        <v>8481</v>
      </c>
      <c r="C4382" s="34" t="s">
        <v>858</v>
      </c>
    </row>
    <row r="4383" customFormat="false" ht="89.25" hidden="false" customHeight="false" outlineLevel="0" collapsed="false">
      <c r="A4383" s="37" t="s">
        <v>8482</v>
      </c>
      <c r="B4383" s="34" t="s">
        <v>8483</v>
      </c>
      <c r="C4383" s="34" t="s">
        <v>902</v>
      </c>
    </row>
    <row r="4384" customFormat="false" ht="89.25" hidden="false" customHeight="false" outlineLevel="0" collapsed="false">
      <c r="A4384" s="37" t="s">
        <v>8484</v>
      </c>
      <c r="B4384" s="34" t="s">
        <v>8485</v>
      </c>
      <c r="C4384" s="34" t="s">
        <v>902</v>
      </c>
    </row>
    <row r="4385" customFormat="false" ht="89.25" hidden="false" customHeight="false" outlineLevel="0" collapsed="false">
      <c r="A4385" s="37" t="s">
        <v>8486</v>
      </c>
      <c r="B4385" s="34" t="s">
        <v>8487</v>
      </c>
      <c r="C4385" s="34" t="s">
        <v>122</v>
      </c>
    </row>
    <row r="4386" customFormat="false" ht="89.25" hidden="false" customHeight="false" outlineLevel="0" collapsed="false">
      <c r="A4386" s="37" t="s">
        <v>8488</v>
      </c>
      <c r="B4386" s="34" t="s">
        <v>8489</v>
      </c>
      <c r="C4386" s="34" t="s">
        <v>874</v>
      </c>
    </row>
    <row r="4387" customFormat="false" ht="89.25" hidden="false" customHeight="false" outlineLevel="0" collapsed="false">
      <c r="A4387" s="37" t="s">
        <v>8490</v>
      </c>
      <c r="B4387" s="34" t="s">
        <v>8491</v>
      </c>
      <c r="C4387" s="34" t="s">
        <v>874</v>
      </c>
    </row>
    <row r="4388" customFormat="false" ht="89.25" hidden="false" customHeight="false" outlineLevel="0" collapsed="false">
      <c r="A4388" s="37" t="s">
        <v>8492</v>
      </c>
      <c r="B4388" s="34" t="s">
        <v>8493</v>
      </c>
      <c r="C4388" s="34" t="s">
        <v>874</v>
      </c>
    </row>
    <row r="4389" customFormat="false" ht="89.25" hidden="false" customHeight="false" outlineLevel="0" collapsed="false">
      <c r="A4389" s="37" t="s">
        <v>8494</v>
      </c>
      <c r="B4389" s="34" t="s">
        <v>8495</v>
      </c>
      <c r="C4389" s="34" t="s">
        <v>874</v>
      </c>
    </row>
    <row r="4390" customFormat="false" ht="63.75" hidden="false" customHeight="false" outlineLevel="0" collapsed="false">
      <c r="A4390" s="37" t="s">
        <v>8496</v>
      </c>
      <c r="B4390" s="34" t="s">
        <v>8497</v>
      </c>
      <c r="C4390" s="34" t="s">
        <v>139</v>
      </c>
    </row>
    <row r="4391" customFormat="false" ht="63.75" hidden="false" customHeight="false" outlineLevel="0" collapsed="false">
      <c r="A4391" s="37" t="s">
        <v>8498</v>
      </c>
      <c r="B4391" s="34" t="s">
        <v>8499</v>
      </c>
      <c r="C4391" s="34" t="s">
        <v>139</v>
      </c>
    </row>
    <row r="4392" customFormat="false" ht="63.75" hidden="false" customHeight="false" outlineLevel="0" collapsed="false">
      <c r="A4392" s="37" t="s">
        <v>8500</v>
      </c>
      <c r="B4392" s="34" t="s">
        <v>8501</v>
      </c>
      <c r="C4392" s="34" t="s">
        <v>139</v>
      </c>
    </row>
    <row r="4393" customFormat="false" ht="63.75" hidden="false" customHeight="false" outlineLevel="0" collapsed="false">
      <c r="A4393" s="37" t="s">
        <v>8502</v>
      </c>
      <c r="B4393" s="34" t="s">
        <v>8503</v>
      </c>
      <c r="C4393" s="34" t="s">
        <v>139</v>
      </c>
    </row>
    <row r="4394" customFormat="false" ht="63.75" hidden="false" customHeight="false" outlineLevel="0" collapsed="false">
      <c r="A4394" s="37" t="s">
        <v>8504</v>
      </c>
      <c r="B4394" s="34" t="s">
        <v>8505</v>
      </c>
      <c r="C4394" s="34" t="s">
        <v>139</v>
      </c>
    </row>
    <row r="4395" customFormat="false" ht="89.25" hidden="false" customHeight="false" outlineLevel="0" collapsed="false">
      <c r="A4395" s="37" t="s">
        <v>8506</v>
      </c>
      <c r="B4395" s="34" t="s">
        <v>8507</v>
      </c>
      <c r="C4395" s="34" t="s">
        <v>8508</v>
      </c>
    </row>
    <row r="4396" customFormat="false" ht="51" hidden="false" customHeight="false" outlineLevel="0" collapsed="false">
      <c r="A4396" s="37" t="s">
        <v>8509</v>
      </c>
      <c r="B4396" s="34" t="s">
        <v>8510</v>
      </c>
      <c r="C4396" s="34" t="s">
        <v>546</v>
      </c>
    </row>
    <row r="4397" customFormat="false" ht="89.25" hidden="false" customHeight="false" outlineLevel="0" collapsed="false">
      <c r="A4397" s="37" t="s">
        <v>8511</v>
      </c>
      <c r="B4397" s="34" t="s">
        <v>8512</v>
      </c>
      <c r="C4397" s="34" t="s">
        <v>1115</v>
      </c>
    </row>
    <row r="4398" customFormat="false" ht="63.75" hidden="false" customHeight="false" outlineLevel="0" collapsed="false">
      <c r="A4398" s="37" t="s">
        <v>8513</v>
      </c>
      <c r="B4398" s="34" t="s">
        <v>8514</v>
      </c>
      <c r="C4398" s="34" t="s">
        <v>8515</v>
      </c>
    </row>
    <row r="4399" customFormat="false" ht="63.75" hidden="false" customHeight="false" outlineLevel="0" collapsed="false">
      <c r="A4399" s="37" t="s">
        <v>8516</v>
      </c>
      <c r="B4399" s="34" t="s">
        <v>8517</v>
      </c>
      <c r="C4399" s="34" t="s">
        <v>8515</v>
      </c>
    </row>
    <row r="4400" customFormat="false" ht="63.75" hidden="false" customHeight="false" outlineLevel="0" collapsed="false">
      <c r="A4400" s="37" t="s">
        <v>8518</v>
      </c>
      <c r="B4400" s="34" t="s">
        <v>8519</v>
      </c>
      <c r="C4400" s="34" t="s">
        <v>8515</v>
      </c>
    </row>
    <row r="4401" customFormat="false" ht="63.75" hidden="false" customHeight="false" outlineLevel="0" collapsed="false">
      <c r="A4401" s="37" t="s">
        <v>8520</v>
      </c>
      <c r="B4401" s="34" t="s">
        <v>8521</v>
      </c>
      <c r="C4401" s="34" t="s">
        <v>8515</v>
      </c>
    </row>
    <row r="4402" customFormat="false" ht="63.75" hidden="false" customHeight="false" outlineLevel="0" collapsed="false">
      <c r="A4402" s="37" t="s">
        <v>8522</v>
      </c>
      <c r="B4402" s="39" t="s">
        <v>8523</v>
      </c>
      <c r="C4402" s="34" t="s">
        <v>8515</v>
      </c>
    </row>
    <row r="4403" customFormat="false" ht="51" hidden="false" customHeight="false" outlineLevel="0" collapsed="false">
      <c r="A4403" s="37" t="s">
        <v>8524</v>
      </c>
      <c r="B4403" s="34" t="s">
        <v>8525</v>
      </c>
      <c r="C4403" s="34" t="s">
        <v>8526</v>
      </c>
    </row>
    <row r="4404" customFormat="false" ht="89.25" hidden="false" customHeight="false" outlineLevel="0" collapsed="false">
      <c r="A4404" s="37" t="s">
        <v>8527</v>
      </c>
      <c r="B4404" s="34" t="s">
        <v>8528</v>
      </c>
      <c r="C4404" s="34" t="s">
        <v>387</v>
      </c>
    </row>
    <row r="4405" customFormat="false" ht="51" hidden="false" customHeight="false" outlineLevel="0" collapsed="false">
      <c r="A4405" s="37" t="s">
        <v>8529</v>
      </c>
      <c r="B4405" s="34" t="s">
        <v>8530</v>
      </c>
      <c r="C4405" s="34" t="s">
        <v>8531</v>
      </c>
    </row>
    <row r="4406" customFormat="false" ht="51" hidden="false" customHeight="false" outlineLevel="0" collapsed="false">
      <c r="A4406" s="37" t="s">
        <v>8532</v>
      </c>
      <c r="B4406" s="34" t="s">
        <v>8533</v>
      </c>
      <c r="C4406" s="34" t="s">
        <v>8531</v>
      </c>
    </row>
    <row r="4407" customFormat="false" ht="51" hidden="false" customHeight="false" outlineLevel="0" collapsed="false">
      <c r="A4407" s="37" t="s">
        <v>8534</v>
      </c>
      <c r="B4407" s="34" t="s">
        <v>8535</v>
      </c>
      <c r="C4407" s="34" t="s">
        <v>8531</v>
      </c>
    </row>
    <row r="4408" customFormat="false" ht="63.75" hidden="false" customHeight="false" outlineLevel="0" collapsed="false">
      <c r="A4408" s="37" t="s">
        <v>8536</v>
      </c>
      <c r="B4408" s="34" t="s">
        <v>8537</v>
      </c>
      <c r="C4408" s="34" t="s">
        <v>373</v>
      </c>
    </row>
    <row r="4409" customFormat="false" ht="63.75" hidden="false" customHeight="false" outlineLevel="0" collapsed="false">
      <c r="A4409" s="37" t="s">
        <v>8538</v>
      </c>
      <c r="B4409" s="34" t="s">
        <v>8539</v>
      </c>
      <c r="C4409" s="34" t="s">
        <v>373</v>
      </c>
    </row>
    <row r="4410" customFormat="false" ht="51" hidden="false" customHeight="false" outlineLevel="0" collapsed="false">
      <c r="A4410" s="37" t="s">
        <v>8540</v>
      </c>
      <c r="B4410" s="34" t="s">
        <v>8541</v>
      </c>
      <c r="C4410" s="34" t="s">
        <v>384</v>
      </c>
    </row>
    <row r="4411" customFormat="false" ht="76.5" hidden="false" customHeight="false" outlineLevel="0" collapsed="false">
      <c r="A4411" s="37" t="s">
        <v>8542</v>
      </c>
      <c r="B4411" s="34" t="s">
        <v>8543</v>
      </c>
      <c r="C4411" s="34" t="s">
        <v>1188</v>
      </c>
    </row>
    <row r="4412" customFormat="false" ht="51" hidden="false" customHeight="false" outlineLevel="0" collapsed="false">
      <c r="A4412" s="37" t="s">
        <v>8544</v>
      </c>
      <c r="B4412" s="34" t="s">
        <v>8545</v>
      </c>
      <c r="C4412" s="34" t="s">
        <v>8546</v>
      </c>
    </row>
    <row r="4413" customFormat="false" ht="51" hidden="false" customHeight="false" outlineLevel="0" collapsed="false">
      <c r="A4413" s="37" t="s">
        <v>8547</v>
      </c>
      <c r="B4413" s="34" t="s">
        <v>8548</v>
      </c>
      <c r="C4413" s="34" t="s">
        <v>8546</v>
      </c>
    </row>
    <row r="4414" customFormat="false" ht="51" hidden="false" customHeight="false" outlineLevel="0" collapsed="false">
      <c r="A4414" s="37" t="s">
        <v>8549</v>
      </c>
      <c r="B4414" s="34" t="s">
        <v>8550</v>
      </c>
      <c r="C4414" s="34" t="s">
        <v>8546</v>
      </c>
    </row>
    <row r="4415" customFormat="false" ht="51" hidden="false" customHeight="false" outlineLevel="0" collapsed="false">
      <c r="A4415" s="37" t="s">
        <v>8551</v>
      </c>
      <c r="B4415" s="34" t="s">
        <v>8552</v>
      </c>
      <c r="C4415" s="34" t="s">
        <v>8546</v>
      </c>
    </row>
    <row r="4416" customFormat="false" ht="51" hidden="false" customHeight="false" outlineLevel="0" collapsed="false">
      <c r="A4416" s="37" t="s">
        <v>8553</v>
      </c>
      <c r="B4416" s="34" t="s">
        <v>8554</v>
      </c>
      <c r="C4416" s="34" t="s">
        <v>8546</v>
      </c>
    </row>
    <row r="4417" customFormat="false" ht="51" hidden="false" customHeight="false" outlineLevel="0" collapsed="false">
      <c r="A4417" s="37" t="s">
        <v>8555</v>
      </c>
      <c r="B4417" s="34" t="s">
        <v>8556</v>
      </c>
      <c r="C4417" s="34" t="s">
        <v>8546</v>
      </c>
    </row>
    <row r="4418" customFormat="false" ht="51" hidden="false" customHeight="false" outlineLevel="0" collapsed="false">
      <c r="A4418" s="37" t="s">
        <v>8557</v>
      </c>
      <c r="B4418" s="34" t="s">
        <v>8558</v>
      </c>
      <c r="C4418" s="34" t="s">
        <v>8546</v>
      </c>
    </row>
    <row r="4419" customFormat="false" ht="51" hidden="false" customHeight="false" outlineLevel="0" collapsed="false">
      <c r="A4419" s="37" t="s">
        <v>8559</v>
      </c>
      <c r="B4419" s="34" t="s">
        <v>8560</v>
      </c>
      <c r="C4419" s="34" t="s">
        <v>8546</v>
      </c>
    </row>
    <row r="4420" customFormat="false" ht="102" hidden="false" customHeight="false" outlineLevel="0" collapsed="false">
      <c r="A4420" s="37" t="s">
        <v>8561</v>
      </c>
      <c r="B4420" s="34" t="s">
        <v>8562</v>
      </c>
      <c r="C4420" s="34" t="s">
        <v>8563</v>
      </c>
    </row>
    <row r="4421" customFormat="false" ht="38.25" hidden="false" customHeight="false" outlineLevel="0" collapsed="false">
      <c r="A4421" s="37" t="s">
        <v>8564</v>
      </c>
      <c r="B4421" s="34" t="s">
        <v>8565</v>
      </c>
      <c r="C4421" s="34" t="s">
        <v>965</v>
      </c>
    </row>
    <row r="4422" customFormat="false" ht="63.75" hidden="false" customHeight="false" outlineLevel="0" collapsed="false">
      <c r="A4422" s="37" t="s">
        <v>8566</v>
      </c>
      <c r="B4422" s="34" t="s">
        <v>8567</v>
      </c>
      <c r="C4422" s="34" t="s">
        <v>139</v>
      </c>
    </row>
    <row r="4423" customFormat="false" ht="63.75" hidden="false" customHeight="false" outlineLevel="0" collapsed="false">
      <c r="A4423" s="37" t="s">
        <v>8568</v>
      </c>
      <c r="B4423" s="34" t="s">
        <v>8569</v>
      </c>
      <c r="C4423" s="34" t="s">
        <v>139</v>
      </c>
    </row>
    <row r="4424" customFormat="false" ht="63.75" hidden="false" customHeight="false" outlineLevel="0" collapsed="false">
      <c r="A4424" s="37" t="s">
        <v>8570</v>
      </c>
      <c r="B4424" s="34" t="s">
        <v>8571</v>
      </c>
      <c r="C4424" s="34" t="s">
        <v>139</v>
      </c>
    </row>
    <row r="4425" customFormat="false" ht="63.75" hidden="false" customHeight="false" outlineLevel="0" collapsed="false">
      <c r="A4425" s="37" t="s">
        <v>8572</v>
      </c>
      <c r="B4425" s="34" t="s">
        <v>8573</v>
      </c>
      <c r="C4425" s="34" t="s">
        <v>139</v>
      </c>
    </row>
    <row r="4426" customFormat="false" ht="89.25" hidden="false" customHeight="false" outlineLevel="0" collapsed="false">
      <c r="A4426" s="37" t="s">
        <v>8574</v>
      </c>
      <c r="B4426" s="34" t="s">
        <v>8575</v>
      </c>
      <c r="C4426" s="34" t="s">
        <v>122</v>
      </c>
    </row>
    <row r="4427" customFormat="false" ht="89.25" hidden="false" customHeight="false" outlineLevel="0" collapsed="false">
      <c r="A4427" s="37" t="s">
        <v>8576</v>
      </c>
      <c r="B4427" s="34" t="s">
        <v>8577</v>
      </c>
      <c r="C4427" s="34" t="s">
        <v>122</v>
      </c>
    </row>
    <row r="4428" customFormat="false" ht="89.25" hidden="false" customHeight="false" outlineLevel="0" collapsed="false">
      <c r="A4428" s="37" t="s">
        <v>8578</v>
      </c>
      <c r="B4428" s="34" t="s">
        <v>8579</v>
      </c>
      <c r="C4428" s="34" t="s">
        <v>122</v>
      </c>
    </row>
    <row r="4429" customFormat="false" ht="89.25" hidden="false" customHeight="false" outlineLevel="0" collapsed="false">
      <c r="A4429" s="37" t="s">
        <v>8580</v>
      </c>
      <c r="B4429" s="34" t="s">
        <v>8581</v>
      </c>
      <c r="C4429" s="34" t="s">
        <v>122</v>
      </c>
    </row>
    <row r="4430" customFormat="false" ht="89.25" hidden="false" customHeight="false" outlineLevel="0" collapsed="false">
      <c r="A4430" s="37" t="s">
        <v>8582</v>
      </c>
      <c r="B4430" s="34" t="s">
        <v>8583</v>
      </c>
      <c r="C4430" s="34" t="s">
        <v>122</v>
      </c>
    </row>
    <row r="4431" customFormat="false" ht="51" hidden="false" customHeight="false" outlineLevel="0" collapsed="false">
      <c r="A4431" s="37" t="s">
        <v>8584</v>
      </c>
      <c r="B4431" s="34" t="s">
        <v>8585</v>
      </c>
      <c r="C4431" s="34" t="s">
        <v>437</v>
      </c>
    </row>
    <row r="4432" customFormat="false" ht="51" hidden="false" customHeight="false" outlineLevel="0" collapsed="false">
      <c r="A4432" s="37" t="s">
        <v>8586</v>
      </c>
      <c r="B4432" s="34" t="s">
        <v>8587</v>
      </c>
      <c r="C4432" s="34" t="s">
        <v>437</v>
      </c>
    </row>
    <row r="4433" customFormat="false" ht="51" hidden="false" customHeight="false" outlineLevel="0" collapsed="false">
      <c r="A4433" s="37" t="s">
        <v>8588</v>
      </c>
      <c r="B4433" s="34" t="s">
        <v>8589</v>
      </c>
      <c r="C4433" s="34" t="s">
        <v>437</v>
      </c>
    </row>
    <row r="4434" customFormat="false" ht="89.25" hidden="false" customHeight="false" outlineLevel="0" collapsed="false">
      <c r="A4434" s="37" t="s">
        <v>8590</v>
      </c>
      <c r="B4434" s="34" t="s">
        <v>8591</v>
      </c>
      <c r="C4434" s="34" t="s">
        <v>444</v>
      </c>
    </row>
    <row r="4435" customFormat="false" ht="89.25" hidden="false" customHeight="false" outlineLevel="0" collapsed="false">
      <c r="A4435" s="37" t="s">
        <v>8592</v>
      </c>
      <c r="B4435" s="34" t="s">
        <v>8593</v>
      </c>
      <c r="C4435" s="34" t="s">
        <v>444</v>
      </c>
    </row>
    <row r="4436" customFormat="false" ht="89.25" hidden="false" customHeight="false" outlineLevel="0" collapsed="false">
      <c r="A4436" s="37" t="s">
        <v>8594</v>
      </c>
      <c r="B4436" s="34" t="s">
        <v>8595</v>
      </c>
      <c r="C4436" s="34" t="s">
        <v>449</v>
      </c>
    </row>
    <row r="4437" customFormat="false" ht="63.75" hidden="false" customHeight="false" outlineLevel="0" collapsed="false">
      <c r="A4437" s="37" t="s">
        <v>8596</v>
      </c>
      <c r="B4437" s="34" t="s">
        <v>8597</v>
      </c>
      <c r="C4437" s="34" t="s">
        <v>452</v>
      </c>
    </row>
    <row r="4438" customFormat="false" ht="63.75" hidden="false" customHeight="false" outlineLevel="0" collapsed="false">
      <c r="A4438" s="37" t="s">
        <v>8598</v>
      </c>
      <c r="B4438" s="34" t="s">
        <v>8599</v>
      </c>
      <c r="C4438" s="34" t="s">
        <v>139</v>
      </c>
    </row>
    <row r="4439" customFormat="false" ht="63.75" hidden="false" customHeight="false" outlineLevel="0" collapsed="false">
      <c r="A4439" s="37" t="s">
        <v>8600</v>
      </c>
      <c r="B4439" s="34" t="s">
        <v>8601</v>
      </c>
      <c r="C4439" s="34" t="s">
        <v>139</v>
      </c>
    </row>
    <row r="4440" customFormat="false" ht="63.75" hidden="false" customHeight="false" outlineLevel="0" collapsed="false">
      <c r="A4440" s="37" t="s">
        <v>8602</v>
      </c>
      <c r="B4440" s="34" t="s">
        <v>8603</v>
      </c>
      <c r="C4440" s="34" t="s">
        <v>139</v>
      </c>
    </row>
    <row r="4441" customFormat="false" ht="63.75" hidden="false" customHeight="false" outlineLevel="0" collapsed="false">
      <c r="A4441" s="37" t="s">
        <v>8604</v>
      </c>
      <c r="B4441" s="34" t="s">
        <v>8605</v>
      </c>
      <c r="C4441" s="34" t="s">
        <v>139</v>
      </c>
    </row>
    <row r="4442" customFormat="false" ht="38.25" hidden="false" customHeight="false" outlineLevel="0" collapsed="false">
      <c r="A4442" s="37" t="s">
        <v>8606</v>
      </c>
      <c r="B4442" s="34" t="s">
        <v>8607</v>
      </c>
      <c r="C4442" s="34" t="s">
        <v>687</v>
      </c>
    </row>
    <row r="4443" customFormat="false" ht="51" hidden="false" customHeight="false" outlineLevel="0" collapsed="false">
      <c r="A4443" s="37" t="s">
        <v>8608</v>
      </c>
      <c r="B4443" s="34" t="s">
        <v>8609</v>
      </c>
      <c r="C4443" s="34" t="s">
        <v>1038</v>
      </c>
    </row>
    <row r="4444" customFormat="false" ht="38.25" hidden="false" customHeight="false" outlineLevel="0" collapsed="false">
      <c r="A4444" s="37" t="s">
        <v>8610</v>
      </c>
      <c r="B4444" s="34" t="s">
        <v>8611</v>
      </c>
      <c r="C4444" s="34" t="s">
        <v>1041</v>
      </c>
    </row>
    <row r="4445" customFormat="false" ht="51" hidden="false" customHeight="false" outlineLevel="0" collapsed="false">
      <c r="A4445" s="37" t="s">
        <v>8612</v>
      </c>
      <c r="B4445" s="34" t="s">
        <v>8613</v>
      </c>
      <c r="C4445" s="34" t="s">
        <v>696</v>
      </c>
    </row>
    <row r="4446" customFormat="false" ht="76.5" hidden="false" customHeight="false" outlineLevel="0" collapsed="false">
      <c r="A4446" s="37" t="s">
        <v>8614</v>
      </c>
      <c r="B4446" s="34" t="s">
        <v>8615</v>
      </c>
      <c r="C4446" s="34" t="s">
        <v>2297</v>
      </c>
    </row>
    <row r="4447" customFormat="false" ht="76.5" hidden="false" customHeight="false" outlineLevel="0" collapsed="false">
      <c r="A4447" s="37" t="s">
        <v>8616</v>
      </c>
      <c r="B4447" s="34" t="s">
        <v>8617</v>
      </c>
      <c r="C4447" s="34" t="s">
        <v>2297</v>
      </c>
    </row>
    <row r="4448" customFormat="false" ht="76.5" hidden="false" customHeight="false" outlineLevel="0" collapsed="false">
      <c r="A4448" s="37" t="s">
        <v>8618</v>
      </c>
      <c r="B4448" s="34" t="s">
        <v>8619</v>
      </c>
      <c r="C4448" s="34" t="s">
        <v>2297</v>
      </c>
    </row>
    <row r="4449" customFormat="false" ht="76.5" hidden="false" customHeight="false" outlineLevel="0" collapsed="false">
      <c r="A4449" s="37" t="s">
        <v>8620</v>
      </c>
      <c r="B4449" s="34" t="s">
        <v>8621</v>
      </c>
      <c r="C4449" s="34" t="s">
        <v>2297</v>
      </c>
    </row>
    <row r="4450" customFormat="false" ht="63.75" hidden="false" customHeight="false" outlineLevel="0" collapsed="false">
      <c r="A4450" s="37" t="s">
        <v>8622</v>
      </c>
      <c r="B4450" s="34" t="s">
        <v>8623</v>
      </c>
      <c r="C4450" s="34" t="s">
        <v>139</v>
      </c>
    </row>
    <row r="4451" customFormat="false" ht="63.75" hidden="false" customHeight="false" outlineLevel="0" collapsed="false">
      <c r="A4451" s="37" t="s">
        <v>8624</v>
      </c>
      <c r="B4451" s="34" t="s">
        <v>8625</v>
      </c>
      <c r="C4451" s="34" t="s">
        <v>139</v>
      </c>
    </row>
    <row r="4452" customFormat="false" ht="63.75" hidden="false" customHeight="false" outlineLevel="0" collapsed="false">
      <c r="A4452" s="37" t="s">
        <v>8626</v>
      </c>
      <c r="B4452" s="34" t="s">
        <v>8627</v>
      </c>
      <c r="C4452" s="34" t="s">
        <v>139</v>
      </c>
    </row>
    <row r="4453" customFormat="false" ht="63.75" hidden="false" customHeight="false" outlineLevel="0" collapsed="false">
      <c r="A4453" s="37" t="s">
        <v>8628</v>
      </c>
      <c r="B4453" s="34" t="s">
        <v>8629</v>
      </c>
      <c r="C4453" s="34" t="s">
        <v>139</v>
      </c>
    </row>
    <row r="4454" customFormat="false" ht="63.75" hidden="false" customHeight="false" outlineLevel="0" collapsed="false">
      <c r="A4454" s="37" t="s">
        <v>8628</v>
      </c>
      <c r="B4454" s="34" t="s">
        <v>8629</v>
      </c>
      <c r="C4454" s="34" t="s">
        <v>142</v>
      </c>
    </row>
    <row r="4455" customFormat="false" ht="63.75" hidden="false" customHeight="false" outlineLevel="0" collapsed="false">
      <c r="A4455" s="37" t="s">
        <v>8630</v>
      </c>
      <c r="B4455" s="34" t="s">
        <v>8631</v>
      </c>
      <c r="C4455" s="34" t="s">
        <v>139</v>
      </c>
    </row>
    <row r="4456" customFormat="false" ht="63.75" hidden="false" customHeight="false" outlineLevel="0" collapsed="false">
      <c r="A4456" s="37" t="s">
        <v>8632</v>
      </c>
      <c r="B4456" s="34" t="s">
        <v>8633</v>
      </c>
      <c r="C4456" s="34" t="s">
        <v>139</v>
      </c>
    </row>
    <row r="4457" customFormat="false" ht="63.75" hidden="false" customHeight="false" outlineLevel="0" collapsed="false">
      <c r="A4457" s="37" t="s">
        <v>8634</v>
      </c>
      <c r="B4457" s="34" t="s">
        <v>8635</v>
      </c>
      <c r="C4457" s="34" t="s">
        <v>139</v>
      </c>
    </row>
    <row r="4458" customFormat="false" ht="63.75" hidden="false" customHeight="false" outlineLevel="0" collapsed="false">
      <c r="A4458" s="37" t="s">
        <v>8636</v>
      </c>
      <c r="B4458" s="34" t="s">
        <v>8637</v>
      </c>
      <c r="C4458" s="34" t="s">
        <v>139</v>
      </c>
    </row>
    <row r="4459" customFormat="false" ht="38.25" hidden="false" customHeight="false" outlineLevel="0" collapsed="false">
      <c r="A4459" s="37" t="s">
        <v>8638</v>
      </c>
      <c r="B4459" s="34" t="s">
        <v>8639</v>
      </c>
      <c r="C4459" s="34" t="s">
        <v>73</v>
      </c>
    </row>
    <row r="4460" customFormat="false" ht="38.25" hidden="false" customHeight="false" outlineLevel="0" collapsed="false">
      <c r="A4460" s="37" t="s">
        <v>8640</v>
      </c>
      <c r="B4460" s="34" t="s">
        <v>8641</v>
      </c>
      <c r="C4460" s="34" t="s">
        <v>2412</v>
      </c>
    </row>
    <row r="4461" customFormat="false" ht="89.25" hidden="false" customHeight="false" outlineLevel="0" collapsed="false">
      <c r="A4461" s="37" t="s">
        <v>8642</v>
      </c>
      <c r="B4461" s="34" t="s">
        <v>8643</v>
      </c>
      <c r="C4461" s="34" t="s">
        <v>1115</v>
      </c>
    </row>
    <row r="4462" customFormat="false" ht="63.75" hidden="false" customHeight="false" outlineLevel="0" collapsed="false">
      <c r="A4462" s="37" t="s">
        <v>8644</v>
      </c>
      <c r="B4462" s="34" t="s">
        <v>8645</v>
      </c>
      <c r="C4462" s="34" t="s">
        <v>373</v>
      </c>
    </row>
    <row r="4463" customFormat="false" ht="63.75" hidden="false" customHeight="false" outlineLevel="0" collapsed="false">
      <c r="A4463" s="37" t="s">
        <v>8644</v>
      </c>
      <c r="B4463" s="34" t="s">
        <v>8645</v>
      </c>
      <c r="C4463" s="34" t="s">
        <v>8646</v>
      </c>
    </row>
    <row r="4464" customFormat="false" ht="63.75" hidden="false" customHeight="false" outlineLevel="0" collapsed="false">
      <c r="A4464" s="37" t="s">
        <v>8647</v>
      </c>
      <c r="B4464" s="34" t="s">
        <v>8648</v>
      </c>
      <c r="C4464" s="34" t="s">
        <v>373</v>
      </c>
    </row>
    <row r="4465" customFormat="false" ht="63.75" hidden="false" customHeight="false" outlineLevel="0" collapsed="false">
      <c r="A4465" s="37" t="s">
        <v>8647</v>
      </c>
      <c r="B4465" s="34" t="s">
        <v>8648</v>
      </c>
      <c r="C4465" s="34" t="s">
        <v>8649</v>
      </c>
    </row>
    <row r="4466" customFormat="false" ht="63.75" hidden="false" customHeight="false" outlineLevel="0" collapsed="false">
      <c r="A4466" s="37" t="s">
        <v>8650</v>
      </c>
      <c r="B4466" s="34" t="s">
        <v>8651</v>
      </c>
      <c r="C4466" s="34" t="s">
        <v>373</v>
      </c>
    </row>
    <row r="4467" customFormat="false" ht="63.75" hidden="false" customHeight="false" outlineLevel="0" collapsed="false">
      <c r="A4467" s="37" t="s">
        <v>8652</v>
      </c>
      <c r="B4467" s="34" t="s">
        <v>8653</v>
      </c>
      <c r="C4467" s="34" t="s">
        <v>373</v>
      </c>
    </row>
    <row r="4468" customFormat="false" ht="51" hidden="false" customHeight="false" outlineLevel="0" collapsed="false">
      <c r="A4468" s="37" t="s">
        <v>8654</v>
      </c>
      <c r="B4468" s="34" t="s">
        <v>8655</v>
      </c>
      <c r="C4468" s="34" t="s">
        <v>384</v>
      </c>
    </row>
    <row r="4469" customFormat="false" ht="76.5" hidden="false" customHeight="false" outlineLevel="0" collapsed="false">
      <c r="A4469" s="37" t="s">
        <v>8656</v>
      </c>
      <c r="B4469" s="34" t="s">
        <v>8657</v>
      </c>
      <c r="C4469" s="34" t="s">
        <v>1188</v>
      </c>
    </row>
    <row r="4470" customFormat="false" ht="76.5" hidden="false" customHeight="false" outlineLevel="0" collapsed="false">
      <c r="A4470" s="37" t="s">
        <v>8658</v>
      </c>
      <c r="B4470" s="34" t="s">
        <v>8659</v>
      </c>
      <c r="C4470" s="34" t="s">
        <v>1188</v>
      </c>
    </row>
    <row r="4471" customFormat="false" ht="63.75" hidden="false" customHeight="false" outlineLevel="0" collapsed="false">
      <c r="A4471" s="37" t="s">
        <v>8660</v>
      </c>
      <c r="B4471" s="34" t="s">
        <v>8661</v>
      </c>
      <c r="C4471" s="34" t="s">
        <v>139</v>
      </c>
    </row>
    <row r="4472" customFormat="false" ht="63.75" hidden="false" customHeight="false" outlineLevel="0" collapsed="false">
      <c r="A4472" s="37" t="s">
        <v>8662</v>
      </c>
      <c r="B4472" s="34" t="s">
        <v>8663</v>
      </c>
      <c r="C4472" s="34" t="s">
        <v>139</v>
      </c>
    </row>
    <row r="4473" customFormat="false" ht="63.75" hidden="false" customHeight="false" outlineLevel="0" collapsed="false">
      <c r="A4473" s="37" t="s">
        <v>8664</v>
      </c>
      <c r="B4473" s="34" t="s">
        <v>8665</v>
      </c>
      <c r="C4473" s="34" t="s">
        <v>139</v>
      </c>
    </row>
    <row r="4474" customFormat="false" ht="38.25" hidden="false" customHeight="false" outlineLevel="0" collapsed="false">
      <c r="A4474" s="37" t="s">
        <v>8666</v>
      </c>
      <c r="B4474" s="34" t="s">
        <v>8667</v>
      </c>
      <c r="C4474" s="34" t="s">
        <v>687</v>
      </c>
    </row>
    <row r="4475" customFormat="false" ht="51" hidden="false" customHeight="false" outlineLevel="0" collapsed="false">
      <c r="A4475" s="37" t="s">
        <v>8668</v>
      </c>
      <c r="B4475" s="34" t="s">
        <v>8669</v>
      </c>
      <c r="C4475" s="34" t="s">
        <v>1038</v>
      </c>
    </row>
    <row r="4476" customFormat="false" ht="38.25" hidden="false" customHeight="false" outlineLevel="0" collapsed="false">
      <c r="A4476" s="37" t="s">
        <v>8670</v>
      </c>
      <c r="B4476" s="34" t="s">
        <v>8671</v>
      </c>
      <c r="C4476" s="34" t="s">
        <v>1041</v>
      </c>
    </row>
    <row r="4477" customFormat="false" ht="51" hidden="false" customHeight="false" outlineLevel="0" collapsed="false">
      <c r="A4477" s="37" t="s">
        <v>8672</v>
      </c>
      <c r="B4477" s="34" t="s">
        <v>8673</v>
      </c>
      <c r="C4477" s="34" t="s">
        <v>696</v>
      </c>
    </row>
    <row r="4478" customFormat="false" ht="76.5" hidden="false" customHeight="false" outlineLevel="0" collapsed="false">
      <c r="A4478" s="37" t="s">
        <v>8674</v>
      </c>
      <c r="B4478" s="34" t="s">
        <v>8675</v>
      </c>
      <c r="C4478" s="34" t="s">
        <v>2297</v>
      </c>
    </row>
    <row r="4479" customFormat="false" ht="76.5" hidden="false" customHeight="false" outlineLevel="0" collapsed="false">
      <c r="A4479" s="37" t="s">
        <v>8676</v>
      </c>
      <c r="B4479" s="34" t="s">
        <v>8677</v>
      </c>
      <c r="C4479" s="34" t="s">
        <v>2297</v>
      </c>
    </row>
    <row r="4480" customFormat="false" ht="76.5" hidden="false" customHeight="false" outlineLevel="0" collapsed="false">
      <c r="A4480" s="37" t="s">
        <v>8678</v>
      </c>
      <c r="B4480" s="34" t="s">
        <v>8679</v>
      </c>
      <c r="C4480" s="34" t="s">
        <v>2297</v>
      </c>
    </row>
    <row r="4481" customFormat="false" ht="76.5" hidden="false" customHeight="false" outlineLevel="0" collapsed="false">
      <c r="A4481" s="37" t="s">
        <v>8680</v>
      </c>
      <c r="B4481" s="34" t="s">
        <v>8681</v>
      </c>
      <c r="C4481" s="34" t="s">
        <v>2297</v>
      </c>
    </row>
    <row r="4482" customFormat="false" ht="63.75" hidden="false" customHeight="false" outlineLevel="0" collapsed="false">
      <c r="A4482" s="37" t="s">
        <v>8682</v>
      </c>
      <c r="B4482" s="34" t="s">
        <v>8683</v>
      </c>
      <c r="C4482" s="34" t="s">
        <v>139</v>
      </c>
    </row>
    <row r="4483" customFormat="false" ht="63.75" hidden="false" customHeight="false" outlineLevel="0" collapsed="false">
      <c r="A4483" s="37" t="s">
        <v>8684</v>
      </c>
      <c r="B4483" s="34" t="s">
        <v>8685</v>
      </c>
      <c r="C4483" s="34" t="s">
        <v>139</v>
      </c>
    </row>
    <row r="4484" customFormat="false" ht="63.75" hidden="false" customHeight="false" outlineLevel="0" collapsed="false">
      <c r="A4484" s="37" t="s">
        <v>8686</v>
      </c>
      <c r="B4484" s="34" t="s">
        <v>8687</v>
      </c>
      <c r="C4484" s="34" t="s">
        <v>139</v>
      </c>
    </row>
    <row r="4485" customFormat="false" ht="63.75" hidden="false" customHeight="false" outlineLevel="0" collapsed="false">
      <c r="A4485" s="37" t="s">
        <v>8688</v>
      </c>
      <c r="B4485" s="34" t="s">
        <v>8689</v>
      </c>
      <c r="C4485" s="34" t="s">
        <v>139</v>
      </c>
    </row>
    <row r="4486" customFormat="false" ht="63.75" hidden="false" customHeight="false" outlineLevel="0" collapsed="false">
      <c r="A4486" s="37" t="s">
        <v>8688</v>
      </c>
      <c r="B4486" s="34" t="s">
        <v>8689</v>
      </c>
      <c r="C4486" s="34" t="s">
        <v>8690</v>
      </c>
    </row>
    <row r="4487" customFormat="false" ht="63.75" hidden="false" customHeight="false" outlineLevel="0" collapsed="false">
      <c r="A4487" s="37" t="s">
        <v>8691</v>
      </c>
      <c r="B4487" s="34" t="s">
        <v>8692</v>
      </c>
      <c r="C4487" s="34" t="s">
        <v>139</v>
      </c>
    </row>
    <row r="4488" customFormat="false" ht="63.75" hidden="false" customHeight="false" outlineLevel="0" collapsed="false">
      <c r="A4488" s="37" t="s">
        <v>8693</v>
      </c>
      <c r="B4488" s="34" t="s">
        <v>8694</v>
      </c>
      <c r="C4488" s="34" t="s">
        <v>139</v>
      </c>
    </row>
    <row r="4489" customFormat="false" ht="63.75" hidden="false" customHeight="false" outlineLevel="0" collapsed="false">
      <c r="A4489" s="37" t="s">
        <v>8695</v>
      </c>
      <c r="B4489" s="34" t="s">
        <v>8696</v>
      </c>
      <c r="C4489" s="34" t="s">
        <v>139</v>
      </c>
    </row>
    <row r="4490" customFormat="false" ht="63.75" hidden="false" customHeight="false" outlineLevel="0" collapsed="false">
      <c r="A4490" s="37" t="s">
        <v>8697</v>
      </c>
      <c r="B4490" s="34" t="s">
        <v>8698</v>
      </c>
      <c r="C4490" s="34" t="s">
        <v>139</v>
      </c>
    </row>
    <row r="4491" customFormat="false" ht="38.25" hidden="false" customHeight="false" outlineLevel="0" collapsed="false">
      <c r="A4491" s="37" t="s">
        <v>8699</v>
      </c>
      <c r="B4491" s="34" t="s">
        <v>8700</v>
      </c>
      <c r="C4491" s="34" t="s">
        <v>73</v>
      </c>
    </row>
    <row r="4492" customFormat="false" ht="38.25" hidden="false" customHeight="false" outlineLevel="0" collapsed="false">
      <c r="A4492" s="37" t="s">
        <v>8701</v>
      </c>
      <c r="B4492" s="34" t="s">
        <v>8702</v>
      </c>
      <c r="C4492" s="34" t="s">
        <v>2412</v>
      </c>
    </row>
    <row r="4493" customFormat="false" ht="76.5" hidden="false" customHeight="false" outlineLevel="0" collapsed="false">
      <c r="A4493" s="37" t="s">
        <v>8703</v>
      </c>
      <c r="B4493" s="34" t="s">
        <v>8704</v>
      </c>
      <c r="C4493" s="34" t="s">
        <v>2297</v>
      </c>
    </row>
    <row r="4494" customFormat="false" ht="76.5" hidden="false" customHeight="false" outlineLevel="0" collapsed="false">
      <c r="A4494" s="37" t="s">
        <v>8705</v>
      </c>
      <c r="B4494" s="34" t="s">
        <v>8706</v>
      </c>
      <c r="C4494" s="34" t="s">
        <v>2297</v>
      </c>
    </row>
    <row r="4495" customFormat="false" ht="76.5" hidden="false" customHeight="false" outlineLevel="0" collapsed="false">
      <c r="A4495" s="37" t="s">
        <v>8707</v>
      </c>
      <c r="B4495" s="34" t="s">
        <v>8708</v>
      </c>
      <c r="C4495" s="34" t="s">
        <v>2297</v>
      </c>
    </row>
    <row r="4496" customFormat="false" ht="76.5" hidden="false" customHeight="false" outlineLevel="0" collapsed="false">
      <c r="A4496" s="37" t="s">
        <v>8709</v>
      </c>
      <c r="B4496" s="34" t="s">
        <v>8710</v>
      </c>
      <c r="C4496" s="34" t="s">
        <v>2297</v>
      </c>
    </row>
    <row r="4497" customFormat="false" ht="63.75" hidden="false" customHeight="false" outlineLevel="0" collapsed="false">
      <c r="A4497" s="37" t="s">
        <v>8711</v>
      </c>
      <c r="B4497" s="34" t="s">
        <v>8712</v>
      </c>
      <c r="C4497" s="34" t="s">
        <v>139</v>
      </c>
    </row>
    <row r="4498" customFormat="false" ht="63.75" hidden="false" customHeight="false" outlineLevel="0" collapsed="false">
      <c r="A4498" s="37" t="s">
        <v>8713</v>
      </c>
      <c r="B4498" s="34" t="s">
        <v>8714</v>
      </c>
      <c r="C4498" s="34" t="s">
        <v>139</v>
      </c>
    </row>
    <row r="4499" customFormat="false" ht="63.75" hidden="false" customHeight="false" outlineLevel="0" collapsed="false">
      <c r="A4499" s="37" t="s">
        <v>8715</v>
      </c>
      <c r="B4499" s="34" t="s">
        <v>8716</v>
      </c>
      <c r="C4499" s="34" t="s">
        <v>139</v>
      </c>
    </row>
    <row r="4500" customFormat="false" ht="63.75" hidden="false" customHeight="false" outlineLevel="0" collapsed="false">
      <c r="A4500" s="37" t="s">
        <v>8717</v>
      </c>
      <c r="B4500" s="34" t="s">
        <v>8718</v>
      </c>
      <c r="C4500" s="34" t="s">
        <v>139</v>
      </c>
    </row>
    <row r="4501" customFormat="false" ht="63.75" hidden="false" customHeight="false" outlineLevel="0" collapsed="false">
      <c r="A4501" s="37" t="s">
        <v>8717</v>
      </c>
      <c r="B4501" s="34" t="s">
        <v>8718</v>
      </c>
      <c r="C4501" s="34" t="s">
        <v>8690</v>
      </c>
    </row>
    <row r="4502" customFormat="false" ht="51" hidden="false" customHeight="false" outlineLevel="0" collapsed="false">
      <c r="A4502" s="37" t="s">
        <v>8719</v>
      </c>
      <c r="B4502" s="34" t="s">
        <v>8720</v>
      </c>
      <c r="C4502" s="34" t="s">
        <v>8721</v>
      </c>
    </row>
    <row r="4503" customFormat="false" ht="51" hidden="false" customHeight="false" outlineLevel="0" collapsed="false">
      <c r="A4503" s="37" t="s">
        <v>8722</v>
      </c>
      <c r="B4503" s="34" t="s">
        <v>8723</v>
      </c>
      <c r="C4503" s="34" t="s">
        <v>8721</v>
      </c>
    </row>
    <row r="4504" customFormat="false" ht="51" hidden="false" customHeight="false" outlineLevel="0" collapsed="false">
      <c r="A4504" s="37" t="s">
        <v>8724</v>
      </c>
      <c r="B4504" s="34" t="s">
        <v>8725</v>
      </c>
      <c r="C4504" s="34" t="s">
        <v>8721</v>
      </c>
    </row>
    <row r="4505" customFormat="false" ht="51" hidden="false" customHeight="false" outlineLevel="0" collapsed="false">
      <c r="A4505" s="37" t="s">
        <v>8726</v>
      </c>
      <c r="B4505" s="34" t="s">
        <v>8727</v>
      </c>
      <c r="C4505" s="34" t="s">
        <v>8721</v>
      </c>
    </row>
    <row r="4506" customFormat="false" ht="51" hidden="false" customHeight="false" outlineLevel="0" collapsed="false">
      <c r="A4506" s="37" t="s">
        <v>8728</v>
      </c>
      <c r="B4506" s="34" t="s">
        <v>8729</v>
      </c>
      <c r="C4506" s="34" t="s">
        <v>8721</v>
      </c>
    </row>
    <row r="4507" customFormat="false" ht="51" hidden="false" customHeight="false" outlineLevel="0" collapsed="false">
      <c r="A4507" s="37" t="s">
        <v>8730</v>
      </c>
      <c r="B4507" s="34" t="s">
        <v>8731</v>
      </c>
      <c r="C4507" s="34" t="s">
        <v>8721</v>
      </c>
    </row>
    <row r="4508" customFormat="false" ht="63.75" hidden="false" customHeight="false" outlineLevel="0" collapsed="false">
      <c r="A4508" s="37" t="s">
        <v>8732</v>
      </c>
      <c r="B4508" s="34" t="s">
        <v>8733</v>
      </c>
      <c r="C4508" s="34" t="s">
        <v>8734</v>
      </c>
    </row>
    <row r="4509" customFormat="false" ht="63.75" hidden="false" customHeight="false" outlineLevel="0" collapsed="false">
      <c r="A4509" s="37" t="s">
        <v>8735</v>
      </c>
      <c r="B4509" s="34" t="s">
        <v>8733</v>
      </c>
      <c r="C4509" s="34" t="s">
        <v>8734</v>
      </c>
    </row>
    <row r="4510" customFormat="false" ht="51" hidden="false" customHeight="false" outlineLevel="0" collapsed="false">
      <c r="A4510" s="37" t="s">
        <v>8736</v>
      </c>
      <c r="B4510" s="34" t="s">
        <v>8737</v>
      </c>
      <c r="C4510" s="34" t="s">
        <v>8738</v>
      </c>
    </row>
    <row r="4511" customFormat="false" ht="51" hidden="false" customHeight="false" outlineLevel="0" collapsed="false">
      <c r="A4511" s="37" t="s">
        <v>8739</v>
      </c>
      <c r="B4511" s="34" t="s">
        <v>8740</v>
      </c>
      <c r="C4511" s="34" t="s">
        <v>8738</v>
      </c>
    </row>
    <row r="4512" customFormat="false" ht="51" hidden="false" customHeight="false" outlineLevel="0" collapsed="false">
      <c r="A4512" s="37" t="s">
        <v>8741</v>
      </c>
      <c r="B4512" s="34" t="s">
        <v>8742</v>
      </c>
      <c r="C4512" s="34" t="s">
        <v>8738</v>
      </c>
    </row>
    <row r="4513" customFormat="false" ht="51" hidden="false" customHeight="false" outlineLevel="0" collapsed="false">
      <c r="A4513" s="37" t="s">
        <v>8743</v>
      </c>
      <c r="B4513" s="34" t="s">
        <v>8744</v>
      </c>
      <c r="C4513" s="34" t="s">
        <v>8738</v>
      </c>
    </row>
    <row r="4514" customFormat="false" ht="51" hidden="false" customHeight="false" outlineLevel="0" collapsed="false">
      <c r="A4514" s="37" t="s">
        <v>8745</v>
      </c>
      <c r="B4514" s="34" t="s">
        <v>8746</v>
      </c>
      <c r="C4514" s="34" t="s">
        <v>8738</v>
      </c>
    </row>
    <row r="4515" customFormat="false" ht="38.25" hidden="false" customHeight="false" outlineLevel="0" collapsed="false">
      <c r="A4515" s="37" t="s">
        <v>8747</v>
      </c>
      <c r="B4515" s="34" t="s">
        <v>8748</v>
      </c>
      <c r="C4515" s="34" t="s">
        <v>8738</v>
      </c>
    </row>
    <row r="4516" customFormat="false" ht="38.25" hidden="false" customHeight="false" outlineLevel="0" collapsed="false">
      <c r="A4516" s="37" t="s">
        <v>8749</v>
      </c>
      <c r="B4516" s="34" t="s">
        <v>8750</v>
      </c>
      <c r="C4516" s="34" t="s">
        <v>8738</v>
      </c>
    </row>
    <row r="4517" customFormat="false" ht="38.25" hidden="false" customHeight="false" outlineLevel="0" collapsed="false">
      <c r="A4517" s="37" t="s">
        <v>8751</v>
      </c>
      <c r="B4517" s="34" t="s">
        <v>8752</v>
      </c>
      <c r="C4517" s="34" t="s">
        <v>8738</v>
      </c>
    </row>
    <row r="4518" customFormat="false" ht="63.75" hidden="false" customHeight="false" outlineLevel="0" collapsed="false">
      <c r="A4518" s="37" t="s">
        <v>8753</v>
      </c>
      <c r="B4518" s="34" t="s">
        <v>8754</v>
      </c>
      <c r="C4518" s="34" t="s">
        <v>2365</v>
      </c>
    </row>
    <row r="4519" customFormat="false" ht="63.75" hidden="false" customHeight="false" outlineLevel="0" collapsed="false">
      <c r="A4519" s="37" t="s">
        <v>8755</v>
      </c>
      <c r="B4519" s="34" t="s">
        <v>8756</v>
      </c>
      <c r="C4519" s="34" t="s">
        <v>2365</v>
      </c>
    </row>
    <row r="4520" customFormat="false" ht="63.75" hidden="false" customHeight="false" outlineLevel="0" collapsed="false">
      <c r="A4520" s="37" t="s">
        <v>8757</v>
      </c>
      <c r="B4520" s="34" t="s">
        <v>8758</v>
      </c>
      <c r="C4520" s="34" t="s">
        <v>2365</v>
      </c>
    </row>
    <row r="4521" customFormat="false" ht="63.75" hidden="false" customHeight="false" outlineLevel="0" collapsed="false">
      <c r="A4521" s="37" t="s">
        <v>8759</v>
      </c>
      <c r="B4521" s="34" t="s">
        <v>8760</v>
      </c>
      <c r="C4521" s="34" t="s">
        <v>2365</v>
      </c>
    </row>
    <row r="4522" customFormat="false" ht="63.75" hidden="false" customHeight="false" outlineLevel="0" collapsed="false">
      <c r="A4522" s="37" t="s">
        <v>8761</v>
      </c>
      <c r="B4522" s="34" t="s">
        <v>8762</v>
      </c>
      <c r="C4522" s="34" t="s">
        <v>2365</v>
      </c>
    </row>
    <row r="4523" customFormat="false" ht="63.75" hidden="false" customHeight="false" outlineLevel="0" collapsed="false">
      <c r="A4523" s="37" t="s">
        <v>8763</v>
      </c>
      <c r="B4523" s="34" t="s">
        <v>8764</v>
      </c>
      <c r="C4523" s="34" t="s">
        <v>2365</v>
      </c>
    </row>
    <row r="4524" customFormat="false" ht="63.75" hidden="false" customHeight="false" outlineLevel="0" collapsed="false">
      <c r="A4524" s="37" t="s">
        <v>8765</v>
      </c>
      <c r="B4524" s="34" t="s">
        <v>8766</v>
      </c>
      <c r="C4524" s="34" t="s">
        <v>2365</v>
      </c>
    </row>
    <row r="4525" customFormat="false" ht="63.75" hidden="false" customHeight="false" outlineLevel="0" collapsed="false">
      <c r="A4525" s="37" t="s">
        <v>8767</v>
      </c>
      <c r="B4525" s="34" t="s">
        <v>8768</v>
      </c>
      <c r="C4525" s="34" t="s">
        <v>2365</v>
      </c>
    </row>
    <row r="4526" customFormat="false" ht="63.75" hidden="false" customHeight="false" outlineLevel="0" collapsed="false">
      <c r="A4526" s="37" t="s">
        <v>8769</v>
      </c>
      <c r="B4526" s="34" t="s">
        <v>8770</v>
      </c>
      <c r="C4526" s="34" t="s">
        <v>2365</v>
      </c>
    </row>
    <row r="4527" customFormat="false" ht="63.75" hidden="false" customHeight="false" outlineLevel="0" collapsed="false">
      <c r="A4527" s="37" t="s">
        <v>8771</v>
      </c>
      <c r="B4527" s="34" t="s">
        <v>8772</v>
      </c>
      <c r="C4527" s="34" t="s">
        <v>2365</v>
      </c>
    </row>
    <row r="4528" customFormat="false" ht="51" hidden="false" customHeight="false" outlineLevel="0" collapsed="false">
      <c r="A4528" s="37" t="s">
        <v>8773</v>
      </c>
      <c r="B4528" s="34" t="s">
        <v>8774</v>
      </c>
      <c r="C4528" s="34" t="s">
        <v>2386</v>
      </c>
    </row>
    <row r="4529" customFormat="false" ht="51" hidden="false" customHeight="false" outlineLevel="0" collapsed="false">
      <c r="A4529" s="37" t="s">
        <v>8775</v>
      </c>
      <c r="B4529" s="34" t="s">
        <v>8776</v>
      </c>
      <c r="C4529" s="34" t="s">
        <v>2386</v>
      </c>
    </row>
    <row r="4530" customFormat="false" ht="51" hidden="false" customHeight="false" outlineLevel="0" collapsed="false">
      <c r="A4530" s="37" t="s">
        <v>8777</v>
      </c>
      <c r="B4530" s="34" t="s">
        <v>8778</v>
      </c>
      <c r="C4530" s="34" t="s">
        <v>2386</v>
      </c>
    </row>
    <row r="4531" customFormat="false" ht="51" hidden="false" customHeight="false" outlineLevel="0" collapsed="false">
      <c r="A4531" s="37" t="s">
        <v>8779</v>
      </c>
      <c r="B4531" s="34" t="s">
        <v>8780</v>
      </c>
      <c r="C4531" s="34" t="s">
        <v>2386</v>
      </c>
    </row>
    <row r="4532" customFormat="false" ht="51" hidden="false" customHeight="false" outlineLevel="0" collapsed="false">
      <c r="A4532" s="37" t="s">
        <v>8781</v>
      </c>
      <c r="B4532" s="34" t="s">
        <v>8782</v>
      </c>
      <c r="C4532" s="34" t="s">
        <v>2386</v>
      </c>
    </row>
    <row r="4533" customFormat="false" ht="63.75" hidden="false" customHeight="false" outlineLevel="0" collapsed="false">
      <c r="A4533" s="37" t="s">
        <v>8783</v>
      </c>
      <c r="B4533" s="34" t="s">
        <v>8784</v>
      </c>
      <c r="C4533" s="34" t="s">
        <v>2397</v>
      </c>
    </row>
    <row r="4534" customFormat="false" ht="63.75" hidden="false" customHeight="false" outlineLevel="0" collapsed="false">
      <c r="A4534" s="37" t="s">
        <v>8785</v>
      </c>
      <c r="B4534" s="34" t="s">
        <v>8786</v>
      </c>
      <c r="C4534" s="34" t="s">
        <v>139</v>
      </c>
    </row>
    <row r="4535" customFormat="false" ht="63.75" hidden="false" customHeight="false" outlineLevel="0" collapsed="false">
      <c r="A4535" s="37" t="s">
        <v>8787</v>
      </c>
      <c r="B4535" s="34" t="s">
        <v>8788</v>
      </c>
      <c r="C4535" s="34" t="s">
        <v>139</v>
      </c>
    </row>
    <row r="4536" customFormat="false" ht="63.75" hidden="false" customHeight="false" outlineLevel="0" collapsed="false">
      <c r="A4536" s="37" t="s">
        <v>8789</v>
      </c>
      <c r="B4536" s="34" t="s">
        <v>8790</v>
      </c>
      <c r="C4536" s="34" t="s">
        <v>139</v>
      </c>
    </row>
    <row r="4537" customFormat="false" ht="51" hidden="false" customHeight="false" outlineLevel="0" collapsed="false">
      <c r="A4537" s="37" t="s">
        <v>8791</v>
      </c>
      <c r="B4537" s="34" t="s">
        <v>8792</v>
      </c>
      <c r="C4537" s="34" t="s">
        <v>73</v>
      </c>
    </row>
    <row r="4538" customFormat="false" ht="38.25" hidden="false" customHeight="false" outlineLevel="0" collapsed="false">
      <c r="A4538" s="37" t="s">
        <v>8793</v>
      </c>
      <c r="B4538" s="34" t="s">
        <v>8794</v>
      </c>
      <c r="C4538" s="34" t="s">
        <v>2412</v>
      </c>
    </row>
    <row r="4539" customFormat="false" ht="38.25" hidden="false" customHeight="false" outlineLevel="0" collapsed="false">
      <c r="A4539" s="37" t="s">
        <v>8795</v>
      </c>
      <c r="B4539" s="34" t="s">
        <v>8796</v>
      </c>
      <c r="C4539" s="34" t="s">
        <v>463</v>
      </c>
    </row>
    <row r="4540" customFormat="false" ht="38.25" hidden="false" customHeight="false" outlineLevel="0" collapsed="false">
      <c r="A4540" s="37" t="s">
        <v>8797</v>
      </c>
      <c r="B4540" s="34" t="s">
        <v>8798</v>
      </c>
      <c r="C4540" s="34" t="s">
        <v>466</v>
      </c>
    </row>
    <row r="4541" customFormat="false" ht="38.25" hidden="false" customHeight="false" outlineLevel="0" collapsed="false">
      <c r="A4541" s="37" t="s">
        <v>8799</v>
      </c>
      <c r="B4541" s="34" t="s">
        <v>8800</v>
      </c>
      <c r="C4541" s="34" t="s">
        <v>469</v>
      </c>
    </row>
    <row r="4542" customFormat="false" ht="38.25" hidden="false" customHeight="false" outlineLevel="0" collapsed="false">
      <c r="A4542" s="37" t="s">
        <v>8801</v>
      </c>
      <c r="B4542" s="34" t="s">
        <v>8802</v>
      </c>
      <c r="C4542" s="34" t="s">
        <v>472</v>
      </c>
    </row>
    <row r="4543" customFormat="false" ht="38.25" hidden="false" customHeight="false" outlineLevel="0" collapsed="false">
      <c r="A4543" s="37" t="s">
        <v>8803</v>
      </c>
      <c r="B4543" s="34" t="s">
        <v>8804</v>
      </c>
      <c r="C4543" s="34" t="s">
        <v>475</v>
      </c>
    </row>
    <row r="4544" customFormat="false" ht="38.25" hidden="false" customHeight="false" outlineLevel="0" collapsed="false">
      <c r="A4544" s="37" t="s">
        <v>8805</v>
      </c>
      <c r="B4544" s="34" t="s">
        <v>8806</v>
      </c>
      <c r="C4544" s="34" t="s">
        <v>478</v>
      </c>
    </row>
    <row r="4545" customFormat="false" ht="38.25" hidden="false" customHeight="false" outlineLevel="0" collapsed="false">
      <c r="A4545" s="37" t="s">
        <v>8807</v>
      </c>
      <c r="B4545" s="34" t="s">
        <v>8808</v>
      </c>
      <c r="C4545" s="34" t="s">
        <v>481</v>
      </c>
    </row>
    <row r="4546" customFormat="false" ht="38.25" hidden="false" customHeight="false" outlineLevel="0" collapsed="false">
      <c r="A4546" s="37" t="s">
        <v>8809</v>
      </c>
      <c r="B4546" s="34" t="s">
        <v>8810</v>
      </c>
      <c r="C4546" s="34" t="s">
        <v>484</v>
      </c>
    </row>
    <row r="4547" customFormat="false" ht="38.25" hidden="false" customHeight="false" outlineLevel="0" collapsed="false">
      <c r="A4547" s="37" t="s">
        <v>8811</v>
      </c>
      <c r="B4547" s="34" t="s">
        <v>8812</v>
      </c>
      <c r="C4547" s="34" t="s">
        <v>487</v>
      </c>
    </row>
    <row r="4548" customFormat="false" ht="38.25" hidden="false" customHeight="false" outlineLevel="0" collapsed="false">
      <c r="A4548" s="37" t="s">
        <v>8813</v>
      </c>
      <c r="B4548" s="34" t="s">
        <v>8814</v>
      </c>
      <c r="C4548" s="34" t="s">
        <v>490</v>
      </c>
    </row>
    <row r="4549" customFormat="false" ht="38.25" hidden="false" customHeight="false" outlineLevel="0" collapsed="false">
      <c r="A4549" s="37" t="s">
        <v>8815</v>
      </c>
      <c r="B4549" s="34" t="s">
        <v>8816</v>
      </c>
      <c r="C4549" s="34" t="s">
        <v>493</v>
      </c>
    </row>
    <row r="4550" customFormat="false" ht="38.25" hidden="false" customHeight="false" outlineLevel="0" collapsed="false">
      <c r="A4550" s="37" t="s">
        <v>8817</v>
      </c>
      <c r="B4550" s="34" t="s">
        <v>8818</v>
      </c>
      <c r="C4550" s="34" t="s">
        <v>496</v>
      </c>
    </row>
    <row r="4551" customFormat="false" ht="38.25" hidden="false" customHeight="false" outlineLevel="0" collapsed="false">
      <c r="A4551" s="37" t="s">
        <v>8819</v>
      </c>
      <c r="B4551" s="34" t="s">
        <v>8820</v>
      </c>
      <c r="C4551" s="34" t="s">
        <v>499</v>
      </c>
    </row>
    <row r="4552" customFormat="false" ht="38.25" hidden="false" customHeight="false" outlineLevel="0" collapsed="false">
      <c r="A4552" s="37" t="s">
        <v>8821</v>
      </c>
      <c r="B4552" s="34" t="s">
        <v>8822</v>
      </c>
      <c r="C4552" s="34" t="s">
        <v>502</v>
      </c>
    </row>
    <row r="4553" customFormat="false" ht="38.25" hidden="false" customHeight="false" outlineLevel="0" collapsed="false">
      <c r="A4553" s="37" t="s">
        <v>8823</v>
      </c>
      <c r="B4553" s="34" t="s">
        <v>8824</v>
      </c>
      <c r="C4553" s="34" t="s">
        <v>505</v>
      </c>
    </row>
    <row r="4554" customFormat="false" ht="51" hidden="false" customHeight="false" outlineLevel="0" collapsed="false">
      <c r="A4554" s="37" t="s">
        <v>8825</v>
      </c>
      <c r="B4554" s="34" t="s">
        <v>8826</v>
      </c>
      <c r="C4554" s="34" t="s">
        <v>508</v>
      </c>
    </row>
    <row r="4555" customFormat="false" ht="51" hidden="false" customHeight="false" outlineLevel="0" collapsed="false">
      <c r="A4555" s="37" t="s">
        <v>8827</v>
      </c>
      <c r="B4555" s="34" t="s">
        <v>8828</v>
      </c>
      <c r="C4555" s="34" t="s">
        <v>511</v>
      </c>
    </row>
    <row r="4556" customFormat="false" ht="51" hidden="false" customHeight="false" outlineLevel="0" collapsed="false">
      <c r="A4556" s="37" t="s">
        <v>8829</v>
      </c>
      <c r="B4556" s="34" t="s">
        <v>8830</v>
      </c>
      <c r="C4556" s="34" t="s">
        <v>514</v>
      </c>
    </row>
    <row r="4557" customFormat="false" ht="51" hidden="false" customHeight="false" outlineLevel="0" collapsed="false">
      <c r="A4557" s="37" t="s">
        <v>8831</v>
      </c>
      <c r="B4557" s="34" t="s">
        <v>8832</v>
      </c>
      <c r="C4557" s="34" t="s">
        <v>517</v>
      </c>
    </row>
    <row r="4558" customFormat="false" ht="51" hidden="false" customHeight="false" outlineLevel="0" collapsed="false">
      <c r="A4558" s="37" t="s">
        <v>8833</v>
      </c>
      <c r="B4558" s="34" t="s">
        <v>8834</v>
      </c>
      <c r="C4558" s="34" t="s">
        <v>517</v>
      </c>
    </row>
    <row r="4559" customFormat="false" ht="51" hidden="false" customHeight="false" outlineLevel="0" collapsed="false">
      <c r="A4559" s="37" t="s">
        <v>8835</v>
      </c>
      <c r="B4559" s="34" t="s">
        <v>8836</v>
      </c>
      <c r="C4559" s="34" t="s">
        <v>517</v>
      </c>
    </row>
    <row r="4560" customFormat="false" ht="51" hidden="false" customHeight="false" outlineLevel="0" collapsed="false">
      <c r="A4560" s="37" t="s">
        <v>8837</v>
      </c>
      <c r="B4560" s="34" t="s">
        <v>8838</v>
      </c>
      <c r="C4560" s="34" t="s">
        <v>517</v>
      </c>
    </row>
    <row r="4561" customFormat="false" ht="51" hidden="false" customHeight="false" outlineLevel="0" collapsed="false">
      <c r="A4561" s="37" t="s">
        <v>8839</v>
      </c>
      <c r="B4561" s="34" t="s">
        <v>8840</v>
      </c>
      <c r="C4561" s="34" t="s">
        <v>511</v>
      </c>
    </row>
    <row r="4562" customFormat="false" ht="51" hidden="false" customHeight="false" outlineLevel="0" collapsed="false">
      <c r="A4562" s="37" t="s">
        <v>8841</v>
      </c>
      <c r="B4562" s="34" t="s">
        <v>8842</v>
      </c>
      <c r="C4562" s="34" t="s">
        <v>511</v>
      </c>
    </row>
    <row r="4563" customFormat="false" ht="51" hidden="false" customHeight="false" outlineLevel="0" collapsed="false">
      <c r="A4563" s="37" t="s">
        <v>8843</v>
      </c>
      <c r="B4563" s="34" t="s">
        <v>8844</v>
      </c>
      <c r="C4563" s="34" t="s">
        <v>511</v>
      </c>
    </row>
    <row r="4564" customFormat="false" ht="51" hidden="false" customHeight="false" outlineLevel="0" collapsed="false">
      <c r="A4564" s="37" t="s">
        <v>8845</v>
      </c>
      <c r="B4564" s="34" t="s">
        <v>8846</v>
      </c>
      <c r="C4564" s="34" t="s">
        <v>511</v>
      </c>
    </row>
    <row r="4565" customFormat="false" ht="51" hidden="false" customHeight="false" outlineLevel="0" collapsed="false">
      <c r="A4565" s="37" t="s">
        <v>8847</v>
      </c>
      <c r="B4565" s="34" t="s">
        <v>8848</v>
      </c>
      <c r="C4565" s="34" t="s">
        <v>511</v>
      </c>
    </row>
    <row r="4566" customFormat="false" ht="51" hidden="false" customHeight="false" outlineLevel="0" collapsed="false">
      <c r="A4566" s="37" t="s">
        <v>8849</v>
      </c>
      <c r="B4566" s="34" t="s">
        <v>8850</v>
      </c>
      <c r="C4566" s="34" t="s">
        <v>511</v>
      </c>
    </row>
    <row r="4567" customFormat="false" ht="51" hidden="false" customHeight="false" outlineLevel="0" collapsed="false">
      <c r="A4567" s="37" t="s">
        <v>8851</v>
      </c>
      <c r="B4567" s="34" t="s">
        <v>8852</v>
      </c>
      <c r="C4567" s="34" t="s">
        <v>511</v>
      </c>
    </row>
    <row r="4568" customFormat="false" ht="51" hidden="false" customHeight="false" outlineLevel="0" collapsed="false">
      <c r="A4568" s="37" t="s">
        <v>8853</v>
      </c>
      <c r="B4568" s="34" t="s">
        <v>8854</v>
      </c>
      <c r="C4568" s="34" t="s">
        <v>511</v>
      </c>
    </row>
    <row r="4569" customFormat="false" ht="51" hidden="false" customHeight="false" outlineLevel="0" collapsed="false">
      <c r="A4569" s="37" t="s">
        <v>8855</v>
      </c>
      <c r="B4569" s="34" t="s">
        <v>8856</v>
      </c>
      <c r="C4569" s="34" t="s">
        <v>511</v>
      </c>
    </row>
    <row r="4570" customFormat="false" ht="51" hidden="false" customHeight="false" outlineLevel="0" collapsed="false">
      <c r="A4570" s="37" t="s">
        <v>8857</v>
      </c>
      <c r="B4570" s="34" t="s">
        <v>8858</v>
      </c>
      <c r="C4570" s="34" t="s">
        <v>511</v>
      </c>
    </row>
    <row r="4571" customFormat="false" ht="51" hidden="false" customHeight="false" outlineLevel="0" collapsed="false">
      <c r="A4571" s="37" t="s">
        <v>8859</v>
      </c>
      <c r="B4571" s="34" t="s">
        <v>8860</v>
      </c>
      <c r="C4571" s="34" t="s">
        <v>546</v>
      </c>
    </row>
    <row r="4572" customFormat="false" ht="51" hidden="false" customHeight="false" outlineLevel="0" collapsed="false">
      <c r="A4572" s="37" t="s">
        <v>8861</v>
      </c>
      <c r="B4572" s="34" t="s">
        <v>8862</v>
      </c>
      <c r="C4572" s="34" t="s">
        <v>546</v>
      </c>
    </row>
    <row r="4573" customFormat="false" ht="51" hidden="false" customHeight="false" outlineLevel="0" collapsed="false">
      <c r="A4573" s="37" t="s">
        <v>8863</v>
      </c>
      <c r="B4573" s="34" t="s">
        <v>8864</v>
      </c>
      <c r="C4573" s="34" t="s">
        <v>546</v>
      </c>
    </row>
    <row r="4574" customFormat="false" ht="51" hidden="false" customHeight="false" outlineLevel="0" collapsed="false">
      <c r="A4574" s="37" t="s">
        <v>8865</v>
      </c>
      <c r="B4574" s="34" t="s">
        <v>8866</v>
      </c>
      <c r="C4574" s="34" t="s">
        <v>546</v>
      </c>
    </row>
    <row r="4575" customFormat="false" ht="51" hidden="false" customHeight="false" outlineLevel="0" collapsed="false">
      <c r="A4575" s="37" t="s">
        <v>8867</v>
      </c>
      <c r="B4575" s="34" t="s">
        <v>8868</v>
      </c>
      <c r="C4575" s="34" t="s">
        <v>546</v>
      </c>
    </row>
    <row r="4576" customFormat="false" ht="51" hidden="false" customHeight="false" outlineLevel="0" collapsed="false">
      <c r="A4576" s="37" t="s">
        <v>8869</v>
      </c>
      <c r="B4576" s="34" t="s">
        <v>8870</v>
      </c>
      <c r="C4576" s="34" t="s">
        <v>546</v>
      </c>
    </row>
    <row r="4577" customFormat="false" ht="51" hidden="false" customHeight="false" outlineLevel="0" collapsed="false">
      <c r="A4577" s="37" t="s">
        <v>8871</v>
      </c>
      <c r="B4577" s="34" t="s">
        <v>8872</v>
      </c>
      <c r="C4577" s="34" t="s">
        <v>546</v>
      </c>
    </row>
    <row r="4578" customFormat="false" ht="63.75" hidden="false" customHeight="false" outlineLevel="0" collapsed="false">
      <c r="A4578" s="37" t="s">
        <v>8873</v>
      </c>
      <c r="B4578" s="34" t="s">
        <v>8874</v>
      </c>
      <c r="C4578" s="34" t="s">
        <v>561</v>
      </c>
    </row>
    <row r="4579" customFormat="false" ht="63.75" hidden="false" customHeight="false" outlineLevel="0" collapsed="false">
      <c r="A4579" s="37" t="s">
        <v>8875</v>
      </c>
      <c r="B4579" s="34" t="s">
        <v>8876</v>
      </c>
      <c r="C4579" s="34" t="s">
        <v>561</v>
      </c>
    </row>
    <row r="4580" customFormat="false" ht="89.25" hidden="false" customHeight="false" outlineLevel="0" collapsed="false">
      <c r="A4580" s="37" t="s">
        <v>8877</v>
      </c>
      <c r="B4580" s="34" t="s">
        <v>8878</v>
      </c>
      <c r="C4580" s="34" t="s">
        <v>566</v>
      </c>
    </row>
    <row r="4581" customFormat="false" ht="63.75" hidden="false" customHeight="false" outlineLevel="0" collapsed="false">
      <c r="A4581" s="37" t="s">
        <v>8879</v>
      </c>
      <c r="B4581" s="34" t="s">
        <v>8880</v>
      </c>
      <c r="C4581" s="34" t="s">
        <v>561</v>
      </c>
    </row>
    <row r="4582" customFormat="false" ht="63.75" hidden="false" customHeight="false" outlineLevel="0" collapsed="false">
      <c r="A4582" s="37" t="s">
        <v>8881</v>
      </c>
      <c r="B4582" s="34" t="s">
        <v>8882</v>
      </c>
      <c r="C4582" s="34" t="s">
        <v>571</v>
      </c>
    </row>
    <row r="4583" customFormat="false" ht="89.25" hidden="false" customHeight="false" outlineLevel="0" collapsed="false">
      <c r="A4583" s="37" t="s">
        <v>8883</v>
      </c>
      <c r="B4583" s="34" t="s">
        <v>8884</v>
      </c>
      <c r="C4583" s="34" t="s">
        <v>574</v>
      </c>
    </row>
    <row r="4584" customFormat="false" ht="89.25" hidden="false" customHeight="false" outlineLevel="0" collapsed="false">
      <c r="A4584" s="37" t="s">
        <v>8885</v>
      </c>
      <c r="B4584" s="34" t="s">
        <v>8886</v>
      </c>
      <c r="C4584" s="34" t="s">
        <v>574</v>
      </c>
    </row>
    <row r="4585" customFormat="false" ht="89.25" hidden="false" customHeight="false" outlineLevel="0" collapsed="false">
      <c r="A4585" s="37" t="s">
        <v>8887</v>
      </c>
      <c r="B4585" s="34" t="s">
        <v>8888</v>
      </c>
      <c r="C4585" s="34" t="s">
        <v>574</v>
      </c>
    </row>
    <row r="4586" customFormat="false" ht="89.25" hidden="false" customHeight="false" outlineLevel="0" collapsed="false">
      <c r="A4586" s="37" t="s">
        <v>8889</v>
      </c>
      <c r="B4586" s="34" t="s">
        <v>8890</v>
      </c>
      <c r="C4586" s="34" t="s">
        <v>574</v>
      </c>
    </row>
    <row r="4587" customFormat="false" ht="89.25" hidden="false" customHeight="false" outlineLevel="0" collapsed="false">
      <c r="A4587" s="37" t="s">
        <v>8891</v>
      </c>
      <c r="B4587" s="34" t="s">
        <v>8892</v>
      </c>
      <c r="C4587" s="34" t="s">
        <v>574</v>
      </c>
    </row>
    <row r="4588" customFormat="false" ht="63.75" hidden="false" customHeight="false" outlineLevel="0" collapsed="false">
      <c r="A4588" s="37" t="s">
        <v>8893</v>
      </c>
      <c r="B4588" s="34" t="s">
        <v>8894</v>
      </c>
      <c r="C4588" s="34" t="s">
        <v>585</v>
      </c>
    </row>
    <row r="4589" customFormat="false" ht="63.75" hidden="false" customHeight="false" outlineLevel="0" collapsed="false">
      <c r="A4589" s="37" t="s">
        <v>8895</v>
      </c>
      <c r="B4589" s="34" t="s">
        <v>8896</v>
      </c>
      <c r="C4589" s="34" t="s">
        <v>588</v>
      </c>
    </row>
    <row r="4590" customFormat="false" ht="51" hidden="false" customHeight="false" outlineLevel="0" collapsed="false">
      <c r="A4590" s="37" t="s">
        <v>8897</v>
      </c>
      <c r="B4590" s="34" t="s">
        <v>8898</v>
      </c>
      <c r="C4590" s="34" t="s">
        <v>546</v>
      </c>
    </row>
    <row r="4591" customFormat="false" ht="51" hidden="false" customHeight="false" outlineLevel="0" collapsed="false">
      <c r="A4591" s="37" t="s">
        <v>8899</v>
      </c>
      <c r="B4591" s="34" t="s">
        <v>8900</v>
      </c>
      <c r="C4591" s="34" t="s">
        <v>546</v>
      </c>
    </row>
    <row r="4592" customFormat="false" ht="51" hidden="false" customHeight="false" outlineLevel="0" collapsed="false">
      <c r="A4592" s="37" t="s">
        <v>8901</v>
      </c>
      <c r="B4592" s="34" t="s">
        <v>8902</v>
      </c>
      <c r="C4592" s="34" t="s">
        <v>546</v>
      </c>
    </row>
    <row r="4593" customFormat="false" ht="51" hidden="false" customHeight="false" outlineLevel="0" collapsed="false">
      <c r="A4593" s="37" t="s">
        <v>8903</v>
      </c>
      <c r="B4593" s="34" t="s">
        <v>8904</v>
      </c>
      <c r="C4593" s="34" t="s">
        <v>546</v>
      </c>
    </row>
    <row r="4594" customFormat="false" ht="51" hidden="false" customHeight="false" outlineLevel="0" collapsed="false">
      <c r="A4594" s="37" t="s">
        <v>8905</v>
      </c>
      <c r="B4594" s="34" t="s">
        <v>8906</v>
      </c>
      <c r="C4594" s="34" t="s">
        <v>546</v>
      </c>
    </row>
    <row r="4595" customFormat="false" ht="51" hidden="false" customHeight="false" outlineLevel="0" collapsed="false">
      <c r="A4595" s="37" t="s">
        <v>8907</v>
      </c>
      <c r="B4595" s="34" t="s">
        <v>8908</v>
      </c>
      <c r="C4595" s="34" t="s">
        <v>546</v>
      </c>
    </row>
    <row r="4596" customFormat="false" ht="51" hidden="false" customHeight="false" outlineLevel="0" collapsed="false">
      <c r="A4596" s="37" t="s">
        <v>8909</v>
      </c>
      <c r="B4596" s="34" t="s">
        <v>8910</v>
      </c>
      <c r="C4596" s="34" t="s">
        <v>546</v>
      </c>
    </row>
    <row r="4597" customFormat="false" ht="51" hidden="false" customHeight="false" outlineLevel="0" collapsed="false">
      <c r="A4597" s="37" t="s">
        <v>8911</v>
      </c>
      <c r="B4597" s="34" t="s">
        <v>8912</v>
      </c>
      <c r="C4597" s="34" t="s">
        <v>546</v>
      </c>
    </row>
    <row r="4598" customFormat="false" ht="51" hidden="false" customHeight="false" outlineLevel="0" collapsed="false">
      <c r="A4598" s="37" t="s">
        <v>8913</v>
      </c>
      <c r="B4598" s="34" t="s">
        <v>8914</v>
      </c>
      <c r="C4598" s="34" t="s">
        <v>546</v>
      </c>
    </row>
    <row r="4599" customFormat="false" ht="51" hidden="false" customHeight="false" outlineLevel="0" collapsed="false">
      <c r="A4599" s="37" t="s">
        <v>8915</v>
      </c>
      <c r="B4599" s="34" t="s">
        <v>8916</v>
      </c>
      <c r="C4599" s="34" t="s">
        <v>546</v>
      </c>
    </row>
    <row r="4600" customFormat="false" ht="51" hidden="false" customHeight="false" outlineLevel="0" collapsed="false">
      <c r="A4600" s="37" t="s">
        <v>8917</v>
      </c>
      <c r="B4600" s="34" t="s">
        <v>8918</v>
      </c>
      <c r="C4600" s="34" t="s">
        <v>546</v>
      </c>
    </row>
    <row r="4601" customFormat="false" ht="38.25" hidden="false" customHeight="false" outlineLevel="0" collapsed="false">
      <c r="A4601" s="37" t="s">
        <v>8919</v>
      </c>
      <c r="B4601" s="34" t="s">
        <v>8920</v>
      </c>
      <c r="C4601" s="34" t="s">
        <v>613</v>
      </c>
    </row>
    <row r="4602" customFormat="false" ht="51" hidden="false" customHeight="false" outlineLevel="0" collapsed="false">
      <c r="A4602" s="37" t="s">
        <v>8921</v>
      </c>
      <c r="B4602" s="34" t="s">
        <v>8922</v>
      </c>
      <c r="C4602" s="34" t="s">
        <v>546</v>
      </c>
    </row>
    <row r="4603" customFormat="false" ht="51" hidden="false" customHeight="false" outlineLevel="0" collapsed="false">
      <c r="A4603" s="37" t="s">
        <v>8923</v>
      </c>
      <c r="B4603" s="34" t="s">
        <v>8924</v>
      </c>
      <c r="C4603" s="34" t="s">
        <v>546</v>
      </c>
    </row>
    <row r="4604" customFormat="false" ht="51" hidden="false" customHeight="false" outlineLevel="0" collapsed="false">
      <c r="A4604" s="37" t="s">
        <v>8925</v>
      </c>
      <c r="B4604" s="34" t="s">
        <v>8926</v>
      </c>
      <c r="C4604" s="34" t="s">
        <v>546</v>
      </c>
    </row>
    <row r="4605" customFormat="false" ht="51" hidden="false" customHeight="false" outlineLevel="0" collapsed="false">
      <c r="A4605" s="37" t="s">
        <v>8927</v>
      </c>
      <c r="B4605" s="34" t="s">
        <v>8928</v>
      </c>
      <c r="C4605" s="34" t="s">
        <v>546</v>
      </c>
    </row>
    <row r="4606" customFormat="false" ht="51" hidden="false" customHeight="false" outlineLevel="0" collapsed="false">
      <c r="A4606" s="37" t="s">
        <v>8929</v>
      </c>
      <c r="B4606" s="34" t="s">
        <v>8930</v>
      </c>
      <c r="C4606" s="34" t="s">
        <v>546</v>
      </c>
    </row>
    <row r="4607" customFormat="false" ht="38.25" hidden="false" customHeight="false" outlineLevel="0" collapsed="false">
      <c r="A4607" s="37" t="s">
        <v>8931</v>
      </c>
      <c r="B4607" s="34" t="s">
        <v>8932</v>
      </c>
      <c r="C4607" s="34" t="s">
        <v>613</v>
      </c>
    </row>
    <row r="4608" customFormat="false" ht="51" hidden="false" customHeight="false" outlineLevel="0" collapsed="false">
      <c r="A4608" s="37" t="s">
        <v>8933</v>
      </c>
      <c r="B4608" s="34" t="s">
        <v>8934</v>
      </c>
      <c r="C4608" s="34" t="s">
        <v>546</v>
      </c>
    </row>
    <row r="4609" customFormat="false" ht="51" hidden="false" customHeight="false" outlineLevel="0" collapsed="false">
      <c r="A4609" s="37" t="s">
        <v>8935</v>
      </c>
      <c r="B4609" s="34" t="s">
        <v>8936</v>
      </c>
      <c r="C4609" s="34" t="s">
        <v>546</v>
      </c>
    </row>
    <row r="4610" customFormat="false" ht="51" hidden="false" customHeight="false" outlineLevel="0" collapsed="false">
      <c r="A4610" s="37" t="s">
        <v>8937</v>
      </c>
      <c r="B4610" s="34" t="s">
        <v>8938</v>
      </c>
      <c r="C4610" s="34" t="s">
        <v>546</v>
      </c>
    </row>
    <row r="4611" customFormat="false" ht="25.5" hidden="false" customHeight="false" outlineLevel="0" collapsed="false">
      <c r="A4611" s="37" t="s">
        <v>8939</v>
      </c>
      <c r="B4611" s="34" t="s">
        <v>8940</v>
      </c>
      <c r="C4611" s="34" t="s">
        <v>634</v>
      </c>
    </row>
    <row r="4612" customFormat="false" ht="25.5" hidden="false" customHeight="false" outlineLevel="0" collapsed="false">
      <c r="A4612" s="37" t="s">
        <v>8941</v>
      </c>
      <c r="B4612" s="34" t="s">
        <v>8942</v>
      </c>
      <c r="C4612" s="34" t="s">
        <v>637</v>
      </c>
    </row>
    <row r="4613" customFormat="false" ht="51" hidden="false" customHeight="false" outlineLevel="0" collapsed="false">
      <c r="A4613" s="37" t="s">
        <v>8943</v>
      </c>
      <c r="B4613" s="34" t="s">
        <v>8944</v>
      </c>
      <c r="C4613" s="34" t="s">
        <v>546</v>
      </c>
    </row>
    <row r="4614" customFormat="false" ht="51" hidden="false" customHeight="false" outlineLevel="0" collapsed="false">
      <c r="A4614" s="37" t="s">
        <v>8945</v>
      </c>
      <c r="B4614" s="34" t="s">
        <v>8946</v>
      </c>
      <c r="C4614" s="34" t="s">
        <v>546</v>
      </c>
    </row>
    <row r="4615" customFormat="false" ht="51" hidden="false" customHeight="false" outlineLevel="0" collapsed="false">
      <c r="A4615" s="37" t="s">
        <v>8947</v>
      </c>
      <c r="B4615" s="34" t="s">
        <v>8948</v>
      </c>
      <c r="C4615" s="34" t="s">
        <v>546</v>
      </c>
    </row>
    <row r="4616" customFormat="false" ht="63.75" hidden="false" customHeight="false" outlineLevel="0" collapsed="false">
      <c r="A4616" s="37" t="s">
        <v>8949</v>
      </c>
      <c r="B4616" s="34" t="s">
        <v>8950</v>
      </c>
      <c r="C4616" s="34" t="s">
        <v>139</v>
      </c>
    </row>
    <row r="4617" customFormat="false" ht="63.75" hidden="false" customHeight="false" outlineLevel="0" collapsed="false">
      <c r="A4617" s="37" t="s">
        <v>8951</v>
      </c>
      <c r="B4617" s="34" t="s">
        <v>8952</v>
      </c>
      <c r="C4617" s="34" t="s">
        <v>139</v>
      </c>
    </row>
    <row r="4618" customFormat="false" ht="63.75" hidden="false" customHeight="false" outlineLevel="0" collapsed="false">
      <c r="A4618" s="37" t="s">
        <v>8953</v>
      </c>
      <c r="B4618" s="34" t="s">
        <v>8954</v>
      </c>
      <c r="C4618" s="34" t="s">
        <v>139</v>
      </c>
    </row>
    <row r="4619" customFormat="false" ht="63.75" hidden="false" customHeight="false" outlineLevel="0" collapsed="false">
      <c r="A4619" s="37" t="s">
        <v>8955</v>
      </c>
      <c r="B4619" s="34" t="s">
        <v>8956</v>
      </c>
      <c r="C4619" s="34" t="s">
        <v>139</v>
      </c>
    </row>
    <row r="4620" customFormat="false" ht="63.75" hidden="false" customHeight="false" outlineLevel="0" collapsed="false">
      <c r="A4620" s="37" t="s">
        <v>8957</v>
      </c>
      <c r="B4620" s="34" t="s">
        <v>8958</v>
      </c>
      <c r="C4620" s="34" t="s">
        <v>139</v>
      </c>
    </row>
    <row r="4621" customFormat="false" ht="76.5" hidden="false" customHeight="false" outlineLevel="0" collapsed="false">
      <c r="A4621" s="37" t="s">
        <v>8959</v>
      </c>
      <c r="B4621" s="34" t="s">
        <v>8960</v>
      </c>
      <c r="C4621" s="34" t="s">
        <v>2297</v>
      </c>
    </row>
    <row r="4622" customFormat="false" ht="76.5" hidden="false" customHeight="false" outlineLevel="0" collapsed="false">
      <c r="A4622" s="37" t="s">
        <v>8961</v>
      </c>
      <c r="B4622" s="34" t="s">
        <v>8962</v>
      </c>
      <c r="C4622" s="34" t="s">
        <v>2297</v>
      </c>
    </row>
    <row r="4623" customFormat="false" ht="76.5" hidden="false" customHeight="false" outlineLevel="0" collapsed="false">
      <c r="A4623" s="37" t="s">
        <v>8963</v>
      </c>
      <c r="B4623" s="34" t="s">
        <v>8964</v>
      </c>
      <c r="C4623" s="34" t="s">
        <v>2297</v>
      </c>
    </row>
    <row r="4624" customFormat="false" ht="76.5" hidden="false" customHeight="false" outlineLevel="0" collapsed="false">
      <c r="A4624" s="37" t="s">
        <v>8965</v>
      </c>
      <c r="B4624" s="34" t="s">
        <v>8966</v>
      </c>
      <c r="C4624" s="34" t="s">
        <v>2297</v>
      </c>
    </row>
    <row r="4625" customFormat="false" ht="63.75" hidden="false" customHeight="false" outlineLevel="0" collapsed="false">
      <c r="A4625" s="37" t="s">
        <v>8967</v>
      </c>
      <c r="B4625" s="34" t="s">
        <v>8968</v>
      </c>
      <c r="C4625" s="34" t="s">
        <v>139</v>
      </c>
    </row>
    <row r="4626" customFormat="false" ht="63.75" hidden="false" customHeight="false" outlineLevel="0" collapsed="false">
      <c r="A4626" s="37" t="s">
        <v>8969</v>
      </c>
      <c r="B4626" s="34" t="s">
        <v>8970</v>
      </c>
      <c r="C4626" s="34" t="s">
        <v>139</v>
      </c>
    </row>
    <row r="4627" customFormat="false" ht="63.75" hidden="false" customHeight="false" outlineLevel="0" collapsed="false">
      <c r="A4627" s="37" t="s">
        <v>8971</v>
      </c>
      <c r="B4627" s="34" t="s">
        <v>8972</v>
      </c>
      <c r="C4627" s="34" t="s">
        <v>139</v>
      </c>
    </row>
    <row r="4628" customFormat="false" ht="63.75" hidden="false" customHeight="false" outlineLevel="0" collapsed="false">
      <c r="A4628" s="37" t="s">
        <v>8973</v>
      </c>
      <c r="B4628" s="34" t="s">
        <v>8974</v>
      </c>
      <c r="C4628" s="34" t="s">
        <v>139</v>
      </c>
    </row>
    <row r="4629" customFormat="false" ht="63.75" hidden="false" customHeight="false" outlineLevel="0" collapsed="false">
      <c r="A4629" s="37" t="s">
        <v>8973</v>
      </c>
      <c r="B4629" s="34" t="s">
        <v>8974</v>
      </c>
      <c r="C4629" s="34" t="s">
        <v>8690</v>
      </c>
    </row>
    <row r="4630" customFormat="false" ht="63.75" hidden="false" customHeight="false" outlineLevel="0" collapsed="false">
      <c r="A4630" s="37" t="s">
        <v>8975</v>
      </c>
      <c r="B4630" s="34" t="s">
        <v>8976</v>
      </c>
      <c r="C4630" s="34" t="s">
        <v>139</v>
      </c>
    </row>
    <row r="4631" customFormat="false" ht="63.75" hidden="false" customHeight="false" outlineLevel="0" collapsed="false">
      <c r="A4631" s="37" t="s">
        <v>8977</v>
      </c>
      <c r="B4631" s="34" t="s">
        <v>8978</v>
      </c>
      <c r="C4631" s="34" t="s">
        <v>139</v>
      </c>
    </row>
    <row r="4632" customFormat="false" ht="63.75" hidden="false" customHeight="false" outlineLevel="0" collapsed="false">
      <c r="A4632" s="37" t="s">
        <v>8979</v>
      </c>
      <c r="B4632" s="34" t="s">
        <v>8980</v>
      </c>
      <c r="C4632" s="34" t="s">
        <v>139</v>
      </c>
    </row>
    <row r="4633" customFormat="false" ht="63.75" hidden="false" customHeight="false" outlineLevel="0" collapsed="false">
      <c r="A4633" s="37" t="s">
        <v>8981</v>
      </c>
      <c r="B4633" s="34" t="s">
        <v>8982</v>
      </c>
      <c r="C4633" s="34" t="s">
        <v>139</v>
      </c>
    </row>
    <row r="4634" customFormat="false" ht="63.75" hidden="false" customHeight="false" outlineLevel="0" collapsed="false">
      <c r="A4634" s="37" t="s">
        <v>8983</v>
      </c>
      <c r="B4634" s="34" t="s">
        <v>8984</v>
      </c>
      <c r="C4634" s="34" t="s">
        <v>139</v>
      </c>
    </row>
    <row r="4635" customFormat="false" ht="51" hidden="false" customHeight="false" outlineLevel="0" collapsed="false">
      <c r="A4635" s="37" t="s">
        <v>8985</v>
      </c>
      <c r="B4635" s="34" t="s">
        <v>8986</v>
      </c>
      <c r="C4635" s="34" t="s">
        <v>965</v>
      </c>
    </row>
    <row r="4636" customFormat="false" ht="38.25" hidden="false" customHeight="false" outlineLevel="0" collapsed="false">
      <c r="A4636" s="37" t="s">
        <v>8987</v>
      </c>
      <c r="B4636" s="34" t="s">
        <v>8988</v>
      </c>
      <c r="C4636" s="34" t="s">
        <v>965</v>
      </c>
    </row>
    <row r="4637" customFormat="false" ht="38.25" hidden="false" customHeight="false" outlineLevel="0" collapsed="false">
      <c r="A4637" s="37" t="s">
        <v>8989</v>
      </c>
      <c r="B4637" s="34" t="s">
        <v>8990</v>
      </c>
      <c r="C4637" s="34" t="s">
        <v>73</v>
      </c>
    </row>
    <row r="4638" customFormat="false" ht="38.25" hidden="false" customHeight="false" outlineLevel="0" collapsed="false">
      <c r="A4638" s="37" t="s">
        <v>8991</v>
      </c>
      <c r="B4638" s="34" t="s">
        <v>8992</v>
      </c>
      <c r="C4638" s="34" t="s">
        <v>2412</v>
      </c>
    </row>
    <row r="4639" customFormat="false" ht="102" hidden="false" customHeight="false" outlineLevel="0" collapsed="false">
      <c r="A4639" s="37" t="s">
        <v>8993</v>
      </c>
      <c r="B4639" s="34" t="s">
        <v>8994</v>
      </c>
      <c r="C4639" s="34" t="s">
        <v>95</v>
      </c>
    </row>
    <row r="4640" customFormat="false" ht="102" hidden="false" customHeight="false" outlineLevel="0" collapsed="false">
      <c r="A4640" s="37" t="s">
        <v>8995</v>
      </c>
      <c r="B4640" s="34" t="s">
        <v>8996</v>
      </c>
      <c r="C4640" s="34" t="s">
        <v>1506</v>
      </c>
    </row>
    <row r="4641" customFormat="false" ht="89.25" hidden="false" customHeight="false" outlineLevel="0" collapsed="false">
      <c r="A4641" s="37" t="s">
        <v>8997</v>
      </c>
      <c r="B4641" s="34" t="s">
        <v>8998</v>
      </c>
      <c r="C4641" s="34" t="s">
        <v>1508</v>
      </c>
    </row>
    <row r="4642" customFormat="false" ht="76.5" hidden="false" customHeight="false" outlineLevel="0" collapsed="false">
      <c r="A4642" s="37" t="s">
        <v>8999</v>
      </c>
      <c r="B4642" s="34" t="s">
        <v>9000</v>
      </c>
      <c r="C4642" s="34" t="s">
        <v>9001</v>
      </c>
    </row>
    <row r="4643" customFormat="false" ht="76.5" hidden="false" customHeight="false" outlineLevel="0" collapsed="false">
      <c r="A4643" s="37" t="s">
        <v>9002</v>
      </c>
      <c r="B4643" s="34" t="s">
        <v>9003</v>
      </c>
      <c r="C4643" s="34" t="s">
        <v>1512</v>
      </c>
    </row>
    <row r="4644" customFormat="false" ht="102" hidden="false" customHeight="false" outlineLevel="0" collapsed="false">
      <c r="A4644" s="37" t="s">
        <v>9004</v>
      </c>
      <c r="B4644" s="34" t="s">
        <v>9005</v>
      </c>
      <c r="C4644" s="34" t="s">
        <v>9006</v>
      </c>
    </row>
    <row r="4645" customFormat="false" ht="89.25" hidden="false" customHeight="false" outlineLevel="0" collapsed="false">
      <c r="A4645" s="37" t="s">
        <v>9007</v>
      </c>
      <c r="B4645" s="34" t="s">
        <v>9008</v>
      </c>
      <c r="C4645" s="34" t="s">
        <v>1517</v>
      </c>
    </row>
    <row r="4646" customFormat="false" ht="51" hidden="false" customHeight="false" outlineLevel="0" collapsed="false">
      <c r="A4646" s="37" t="s">
        <v>9009</v>
      </c>
      <c r="B4646" s="34" t="s">
        <v>9010</v>
      </c>
      <c r="C4646" s="34" t="s">
        <v>1520</v>
      </c>
    </row>
    <row r="4647" customFormat="false" ht="51" hidden="false" customHeight="false" outlineLevel="0" collapsed="false">
      <c r="A4647" s="37" t="s">
        <v>9011</v>
      </c>
      <c r="B4647" s="34" t="s">
        <v>9012</v>
      </c>
      <c r="C4647" s="34" t="s">
        <v>1520</v>
      </c>
    </row>
    <row r="4648" customFormat="false" ht="51" hidden="false" customHeight="false" outlineLevel="0" collapsed="false">
      <c r="A4648" s="37" t="s">
        <v>9013</v>
      </c>
      <c r="B4648" s="34" t="s">
        <v>9014</v>
      </c>
      <c r="C4648" s="34" t="s">
        <v>1520</v>
      </c>
    </row>
    <row r="4649" customFormat="false" ht="51" hidden="false" customHeight="false" outlineLevel="0" collapsed="false">
      <c r="A4649" s="37" t="s">
        <v>9015</v>
      </c>
      <c r="B4649" s="34" t="s">
        <v>9016</v>
      </c>
      <c r="C4649" s="34" t="s">
        <v>1520</v>
      </c>
    </row>
    <row r="4650" customFormat="false" ht="51" hidden="false" customHeight="false" outlineLevel="0" collapsed="false">
      <c r="A4650" s="37" t="s">
        <v>9017</v>
      </c>
      <c r="B4650" s="34" t="s">
        <v>9018</v>
      </c>
      <c r="C4650" s="34" t="s">
        <v>1520</v>
      </c>
    </row>
    <row r="4651" customFormat="false" ht="102" hidden="false" customHeight="false" outlineLevel="0" collapsed="false">
      <c r="A4651" s="37" t="s">
        <v>9019</v>
      </c>
      <c r="B4651" s="34" t="s">
        <v>9020</v>
      </c>
      <c r="C4651" s="34" t="s">
        <v>1530</v>
      </c>
    </row>
    <row r="4652" customFormat="false" ht="102" hidden="false" customHeight="false" outlineLevel="0" collapsed="false">
      <c r="A4652" s="37" t="s">
        <v>9021</v>
      </c>
      <c r="B4652" s="34" t="s">
        <v>9022</v>
      </c>
      <c r="C4652" s="34" t="s">
        <v>97</v>
      </c>
    </row>
    <row r="4653" customFormat="false" ht="102" hidden="false" customHeight="false" outlineLevel="0" collapsed="false">
      <c r="A4653" s="37" t="s">
        <v>9023</v>
      </c>
      <c r="B4653" s="34" t="s">
        <v>9024</v>
      </c>
      <c r="C4653" s="34" t="s">
        <v>97</v>
      </c>
    </row>
    <row r="4654" customFormat="false" ht="102" hidden="false" customHeight="false" outlineLevel="0" collapsed="false">
      <c r="A4654" s="37" t="s">
        <v>9025</v>
      </c>
      <c r="B4654" s="34" t="s">
        <v>9026</v>
      </c>
      <c r="C4654" s="34" t="s">
        <v>786</v>
      </c>
    </row>
    <row r="4655" customFormat="false" ht="114.75" hidden="false" customHeight="false" outlineLevel="0" collapsed="false">
      <c r="A4655" s="37" t="s">
        <v>9027</v>
      </c>
      <c r="B4655" s="34" t="s">
        <v>9028</v>
      </c>
      <c r="C4655" s="34" t="s">
        <v>1593</v>
      </c>
    </row>
    <row r="4656" customFormat="false" ht="89.25" hidden="false" customHeight="false" outlineLevel="0" collapsed="false">
      <c r="A4656" s="37" t="s">
        <v>9029</v>
      </c>
      <c r="B4656" s="34" t="s">
        <v>9030</v>
      </c>
      <c r="C4656" s="34" t="s">
        <v>891</v>
      </c>
    </row>
    <row r="4657" customFormat="false" ht="114.75" hidden="false" customHeight="false" outlineLevel="0" collapsed="false">
      <c r="A4657" s="37" t="s">
        <v>9031</v>
      </c>
      <c r="B4657" s="34" t="s">
        <v>9032</v>
      </c>
      <c r="C4657" s="34" t="s">
        <v>1596</v>
      </c>
    </row>
    <row r="4658" customFormat="false" ht="76.5" hidden="false" customHeight="false" outlineLevel="0" collapsed="false">
      <c r="A4658" s="37" t="s">
        <v>9033</v>
      </c>
      <c r="B4658" s="34" t="s">
        <v>9034</v>
      </c>
      <c r="C4658" s="34" t="s">
        <v>108</v>
      </c>
    </row>
    <row r="4659" customFormat="false" ht="89.25" hidden="false" customHeight="false" outlineLevel="0" collapsed="false">
      <c r="A4659" s="37" t="s">
        <v>9035</v>
      </c>
      <c r="B4659" s="34" t="s">
        <v>9036</v>
      </c>
      <c r="C4659" s="34" t="s">
        <v>871</v>
      </c>
    </row>
    <row r="4660" customFormat="false" ht="89.25" hidden="false" customHeight="false" outlineLevel="0" collapsed="false">
      <c r="A4660" s="37" t="s">
        <v>9037</v>
      </c>
      <c r="B4660" s="34" t="s">
        <v>9038</v>
      </c>
      <c r="C4660" s="34" t="s">
        <v>1543</v>
      </c>
    </row>
    <row r="4661" customFormat="false" ht="89.25" hidden="false" customHeight="false" outlineLevel="0" collapsed="false">
      <c r="A4661" s="37" t="s">
        <v>9039</v>
      </c>
      <c r="B4661" s="34" t="s">
        <v>9040</v>
      </c>
      <c r="C4661" s="34" t="s">
        <v>1546</v>
      </c>
    </row>
    <row r="4662" customFormat="false" ht="89.25" hidden="false" customHeight="false" outlineLevel="0" collapsed="false">
      <c r="A4662" s="37" t="s">
        <v>9041</v>
      </c>
      <c r="B4662" s="34" t="s">
        <v>9042</v>
      </c>
      <c r="C4662" s="34" t="s">
        <v>1546</v>
      </c>
    </row>
    <row r="4663" customFormat="false" ht="89.25" hidden="false" customHeight="false" outlineLevel="0" collapsed="false">
      <c r="A4663" s="37" t="s">
        <v>9043</v>
      </c>
      <c r="B4663" s="34" t="s">
        <v>9044</v>
      </c>
      <c r="C4663" s="34" t="s">
        <v>122</v>
      </c>
    </row>
    <row r="4664" customFormat="false" ht="89.25" hidden="false" customHeight="false" outlineLevel="0" collapsed="false">
      <c r="A4664" s="37" t="s">
        <v>9045</v>
      </c>
      <c r="B4664" s="34" t="s">
        <v>9046</v>
      </c>
      <c r="C4664" s="34" t="s">
        <v>874</v>
      </c>
    </row>
    <row r="4665" customFormat="false" ht="89.25" hidden="false" customHeight="false" outlineLevel="0" collapsed="false">
      <c r="A4665" s="37" t="s">
        <v>9047</v>
      </c>
      <c r="B4665" s="34" t="s">
        <v>9048</v>
      </c>
      <c r="C4665" s="34" t="s">
        <v>874</v>
      </c>
    </row>
    <row r="4666" customFormat="false" ht="89.25" hidden="false" customHeight="false" outlineLevel="0" collapsed="false">
      <c r="A4666" s="37" t="s">
        <v>9049</v>
      </c>
      <c r="B4666" s="34" t="s">
        <v>9050</v>
      </c>
      <c r="C4666" s="34" t="s">
        <v>874</v>
      </c>
    </row>
    <row r="4667" customFormat="false" ht="89.25" hidden="false" customHeight="false" outlineLevel="0" collapsed="false">
      <c r="A4667" s="37" t="s">
        <v>9051</v>
      </c>
      <c r="B4667" s="34" t="s">
        <v>9052</v>
      </c>
      <c r="C4667" s="34" t="s">
        <v>874</v>
      </c>
    </row>
    <row r="4668" customFormat="false" ht="102" hidden="false" customHeight="false" outlineLevel="0" collapsed="false">
      <c r="A4668" s="37" t="s">
        <v>9053</v>
      </c>
      <c r="B4668" s="34" t="s">
        <v>9054</v>
      </c>
      <c r="C4668" s="34" t="s">
        <v>883</v>
      </c>
    </row>
    <row r="4669" customFormat="false" ht="102" hidden="false" customHeight="false" outlineLevel="0" collapsed="false">
      <c r="A4669" s="37" t="s">
        <v>9055</v>
      </c>
      <c r="B4669" s="34" t="s">
        <v>9056</v>
      </c>
      <c r="C4669" s="34" t="s">
        <v>97</v>
      </c>
    </row>
    <row r="4670" customFormat="false" ht="102" hidden="false" customHeight="false" outlineLevel="0" collapsed="false">
      <c r="A4670" s="37" t="s">
        <v>9057</v>
      </c>
      <c r="B4670" s="34" t="s">
        <v>9058</v>
      </c>
      <c r="C4670" s="34" t="s">
        <v>97</v>
      </c>
    </row>
    <row r="4671" customFormat="false" ht="102" hidden="false" customHeight="false" outlineLevel="0" collapsed="false">
      <c r="A4671" s="37" t="s">
        <v>9059</v>
      </c>
      <c r="B4671" s="34" t="s">
        <v>9060</v>
      </c>
      <c r="C4671" s="34" t="s">
        <v>887</v>
      </c>
    </row>
    <row r="4672" customFormat="false" ht="114.75" hidden="false" customHeight="false" outlineLevel="0" collapsed="false">
      <c r="A4672" s="37" t="s">
        <v>9061</v>
      </c>
      <c r="B4672" s="34" t="s">
        <v>9062</v>
      </c>
      <c r="C4672" s="34" t="s">
        <v>849</v>
      </c>
    </row>
    <row r="4673" customFormat="false" ht="89.25" hidden="false" customHeight="false" outlineLevel="0" collapsed="false">
      <c r="A4673" s="37" t="s">
        <v>9063</v>
      </c>
      <c r="B4673" s="34" t="s">
        <v>9064</v>
      </c>
      <c r="C4673" s="34" t="s">
        <v>891</v>
      </c>
    </row>
    <row r="4674" customFormat="false" ht="114.75" hidden="false" customHeight="false" outlineLevel="0" collapsed="false">
      <c r="A4674" s="37" t="s">
        <v>9065</v>
      </c>
      <c r="B4674" s="34" t="s">
        <v>9066</v>
      </c>
      <c r="C4674" s="34" t="s">
        <v>853</v>
      </c>
    </row>
    <row r="4675" customFormat="false" ht="76.5" hidden="false" customHeight="false" outlineLevel="0" collapsed="false">
      <c r="A4675" s="37" t="s">
        <v>9067</v>
      </c>
      <c r="B4675" s="34" t="s">
        <v>9068</v>
      </c>
      <c r="C4675" s="34" t="s">
        <v>108</v>
      </c>
    </row>
    <row r="4676" customFormat="false" ht="89.25" hidden="false" customHeight="false" outlineLevel="0" collapsed="false">
      <c r="A4676" s="37" t="s">
        <v>9069</v>
      </c>
      <c r="B4676" s="34" t="s">
        <v>9070</v>
      </c>
      <c r="C4676" s="34" t="s">
        <v>871</v>
      </c>
    </row>
    <row r="4677" customFormat="false" ht="89.25" hidden="false" customHeight="false" outlineLevel="0" collapsed="false">
      <c r="A4677" s="37" t="s">
        <v>9071</v>
      </c>
      <c r="B4677" s="34" t="s">
        <v>9072</v>
      </c>
      <c r="C4677" s="34" t="s">
        <v>858</v>
      </c>
    </row>
    <row r="4678" customFormat="false" ht="89.25" hidden="false" customHeight="false" outlineLevel="0" collapsed="false">
      <c r="A4678" s="37" t="s">
        <v>9073</v>
      </c>
      <c r="B4678" s="34" t="s">
        <v>9074</v>
      </c>
      <c r="C4678" s="34" t="s">
        <v>902</v>
      </c>
    </row>
    <row r="4679" customFormat="false" ht="89.25" hidden="false" customHeight="false" outlineLevel="0" collapsed="false">
      <c r="A4679" s="37" t="s">
        <v>9075</v>
      </c>
      <c r="B4679" s="34" t="s">
        <v>9076</v>
      </c>
      <c r="C4679" s="34" t="s">
        <v>902</v>
      </c>
    </row>
    <row r="4680" customFormat="false" ht="89.25" hidden="false" customHeight="false" outlineLevel="0" collapsed="false">
      <c r="A4680" s="37" t="s">
        <v>9077</v>
      </c>
      <c r="B4680" s="34" t="s">
        <v>9078</v>
      </c>
      <c r="C4680" s="34" t="s">
        <v>122</v>
      </c>
    </row>
    <row r="4681" customFormat="false" ht="89.25" hidden="false" customHeight="false" outlineLevel="0" collapsed="false">
      <c r="A4681" s="37" t="s">
        <v>9079</v>
      </c>
      <c r="B4681" s="34" t="s">
        <v>9080</v>
      </c>
      <c r="C4681" s="34" t="s">
        <v>874</v>
      </c>
    </row>
    <row r="4682" customFormat="false" ht="89.25" hidden="false" customHeight="false" outlineLevel="0" collapsed="false">
      <c r="A4682" s="37" t="s">
        <v>9081</v>
      </c>
      <c r="B4682" s="34" t="s">
        <v>9082</v>
      </c>
      <c r="C4682" s="34" t="s">
        <v>874</v>
      </c>
    </row>
    <row r="4683" customFormat="false" ht="89.25" hidden="false" customHeight="false" outlineLevel="0" collapsed="false">
      <c r="A4683" s="37" t="s">
        <v>9083</v>
      </c>
      <c r="B4683" s="34" t="s">
        <v>9084</v>
      </c>
      <c r="C4683" s="34" t="s">
        <v>874</v>
      </c>
    </row>
    <row r="4684" customFormat="false" ht="89.25" hidden="false" customHeight="false" outlineLevel="0" collapsed="false">
      <c r="A4684" s="37" t="s">
        <v>9085</v>
      </c>
      <c r="B4684" s="34" t="s">
        <v>9086</v>
      </c>
      <c r="C4684" s="34" t="s">
        <v>874</v>
      </c>
    </row>
    <row r="4685" customFormat="false" ht="102" hidden="false" customHeight="false" outlineLevel="0" collapsed="false">
      <c r="A4685" s="37" t="s">
        <v>9087</v>
      </c>
      <c r="B4685" s="34" t="s">
        <v>9088</v>
      </c>
      <c r="C4685" s="34" t="s">
        <v>883</v>
      </c>
    </row>
    <row r="4686" customFormat="false" ht="102" hidden="false" customHeight="false" outlineLevel="0" collapsed="false">
      <c r="A4686" s="37" t="s">
        <v>9089</v>
      </c>
      <c r="B4686" s="34" t="s">
        <v>9090</v>
      </c>
      <c r="C4686" s="34" t="s">
        <v>9091</v>
      </c>
    </row>
    <row r="4687" customFormat="false" ht="114.75" hidden="false" customHeight="false" outlineLevel="0" collapsed="false">
      <c r="A4687" s="37" t="s">
        <v>9092</v>
      </c>
      <c r="B4687" s="34" t="s">
        <v>9093</v>
      </c>
      <c r="C4687" s="34" t="s">
        <v>1593</v>
      </c>
    </row>
    <row r="4688" customFormat="false" ht="114.75" hidden="false" customHeight="false" outlineLevel="0" collapsed="false">
      <c r="A4688" s="37" t="s">
        <v>9094</v>
      </c>
      <c r="B4688" s="34" t="s">
        <v>9095</v>
      </c>
      <c r="C4688" s="34" t="s">
        <v>853</v>
      </c>
    </row>
    <row r="4689" customFormat="false" ht="89.25" hidden="false" customHeight="false" outlineLevel="0" collapsed="false">
      <c r="A4689" s="37" t="s">
        <v>9096</v>
      </c>
      <c r="B4689" s="34" t="s">
        <v>9097</v>
      </c>
      <c r="C4689" s="34" t="s">
        <v>9098</v>
      </c>
    </row>
    <row r="4690" customFormat="false" ht="89.25" hidden="false" customHeight="false" outlineLevel="0" collapsed="false">
      <c r="A4690" s="37" t="s">
        <v>9099</v>
      </c>
      <c r="B4690" s="34" t="s">
        <v>9100</v>
      </c>
      <c r="C4690" s="34" t="s">
        <v>9101</v>
      </c>
    </row>
    <row r="4691" customFormat="false" ht="89.25" hidden="false" customHeight="false" outlineLevel="0" collapsed="false">
      <c r="A4691" s="37" t="s">
        <v>9102</v>
      </c>
      <c r="B4691" s="34" t="s">
        <v>9103</v>
      </c>
      <c r="C4691" s="34" t="s">
        <v>9101</v>
      </c>
    </row>
    <row r="4692" customFormat="false" ht="89.25" hidden="false" customHeight="false" outlineLevel="0" collapsed="false">
      <c r="A4692" s="37" t="s">
        <v>9104</v>
      </c>
      <c r="B4692" s="34" t="s">
        <v>9105</v>
      </c>
      <c r="C4692" s="34" t="s">
        <v>9101</v>
      </c>
    </row>
    <row r="4693" customFormat="false" ht="89.25" hidden="false" customHeight="false" outlineLevel="0" collapsed="false">
      <c r="A4693" s="37" t="s">
        <v>9106</v>
      </c>
      <c r="B4693" s="34" t="s">
        <v>9107</v>
      </c>
      <c r="C4693" s="34" t="s">
        <v>9101</v>
      </c>
    </row>
    <row r="4694" customFormat="false" ht="114.75" hidden="false" customHeight="false" outlineLevel="0" collapsed="false">
      <c r="A4694" s="37" t="s">
        <v>9108</v>
      </c>
      <c r="B4694" s="34" t="s">
        <v>9109</v>
      </c>
      <c r="C4694" s="34" t="s">
        <v>1593</v>
      </c>
    </row>
    <row r="4695" customFormat="false" ht="114.75" hidden="false" customHeight="false" outlineLevel="0" collapsed="false">
      <c r="A4695" s="37" t="s">
        <v>9110</v>
      </c>
      <c r="B4695" s="34" t="s">
        <v>9111</v>
      </c>
      <c r="C4695" s="34" t="s">
        <v>853</v>
      </c>
    </row>
    <row r="4696" customFormat="false" ht="89.25" hidden="false" customHeight="false" outlineLevel="0" collapsed="false">
      <c r="A4696" s="37" t="s">
        <v>9112</v>
      </c>
      <c r="B4696" s="34" t="s">
        <v>9113</v>
      </c>
      <c r="C4696" s="34" t="s">
        <v>858</v>
      </c>
    </row>
    <row r="4697" customFormat="false" ht="89.25" hidden="false" customHeight="false" outlineLevel="0" collapsed="false">
      <c r="A4697" s="37" t="s">
        <v>9114</v>
      </c>
      <c r="B4697" s="34" t="s">
        <v>9115</v>
      </c>
      <c r="C4697" s="34" t="s">
        <v>902</v>
      </c>
    </row>
    <row r="4698" customFormat="false" ht="89.25" hidden="false" customHeight="false" outlineLevel="0" collapsed="false">
      <c r="A4698" s="37" t="s">
        <v>9116</v>
      </c>
      <c r="B4698" s="34" t="s">
        <v>9117</v>
      </c>
      <c r="C4698" s="34" t="s">
        <v>902</v>
      </c>
    </row>
    <row r="4699" customFormat="false" ht="102" hidden="false" customHeight="false" outlineLevel="0" collapsed="false">
      <c r="A4699" s="37" t="s">
        <v>9118</v>
      </c>
      <c r="B4699" s="34" t="s">
        <v>9119</v>
      </c>
      <c r="C4699" s="34" t="s">
        <v>97</v>
      </c>
    </row>
    <row r="4700" customFormat="false" ht="89.25" hidden="false" customHeight="false" outlineLevel="0" collapsed="false">
      <c r="A4700" s="37" t="s">
        <v>9120</v>
      </c>
      <c r="B4700" s="34" t="s">
        <v>9121</v>
      </c>
      <c r="C4700" s="34" t="s">
        <v>2531</v>
      </c>
    </row>
    <row r="4701" customFormat="false" ht="102" hidden="false" customHeight="false" outlineLevel="0" collapsed="false">
      <c r="A4701" s="37" t="s">
        <v>9122</v>
      </c>
      <c r="B4701" s="34" t="s">
        <v>9123</v>
      </c>
      <c r="C4701" s="34" t="s">
        <v>887</v>
      </c>
    </row>
    <row r="4702" customFormat="false" ht="114.75" hidden="false" customHeight="false" outlineLevel="0" collapsed="false">
      <c r="A4702" s="37" t="s">
        <v>9124</v>
      </c>
      <c r="B4702" s="34" t="s">
        <v>9125</v>
      </c>
      <c r="C4702" s="34" t="s">
        <v>849</v>
      </c>
    </row>
    <row r="4703" customFormat="false" ht="89.25" hidden="false" customHeight="false" outlineLevel="0" collapsed="false">
      <c r="A4703" s="37" t="s">
        <v>9126</v>
      </c>
      <c r="B4703" s="34" t="s">
        <v>9127</v>
      </c>
      <c r="C4703" s="34" t="s">
        <v>891</v>
      </c>
    </row>
    <row r="4704" customFormat="false" ht="114.75" hidden="false" customHeight="false" outlineLevel="0" collapsed="false">
      <c r="A4704" s="37" t="s">
        <v>9128</v>
      </c>
      <c r="B4704" s="34" t="s">
        <v>9129</v>
      </c>
      <c r="C4704" s="34" t="s">
        <v>853</v>
      </c>
    </row>
    <row r="4705" customFormat="false" ht="76.5" hidden="false" customHeight="false" outlineLevel="0" collapsed="false">
      <c r="A4705" s="37" t="s">
        <v>9130</v>
      </c>
      <c r="B4705" s="34" t="s">
        <v>9131</v>
      </c>
      <c r="C4705" s="34" t="s">
        <v>108</v>
      </c>
    </row>
    <row r="4706" customFormat="false" ht="89.25" hidden="false" customHeight="false" outlineLevel="0" collapsed="false">
      <c r="A4706" s="37" t="s">
        <v>9132</v>
      </c>
      <c r="B4706" s="34" t="s">
        <v>9133</v>
      </c>
      <c r="C4706" s="34" t="s">
        <v>871</v>
      </c>
    </row>
    <row r="4707" customFormat="false" ht="89.25" hidden="false" customHeight="false" outlineLevel="0" collapsed="false">
      <c r="A4707" s="37" t="s">
        <v>9134</v>
      </c>
      <c r="B4707" s="34" t="s">
        <v>9135</v>
      </c>
      <c r="C4707" s="34" t="s">
        <v>858</v>
      </c>
    </row>
    <row r="4708" customFormat="false" ht="89.25" hidden="false" customHeight="false" outlineLevel="0" collapsed="false">
      <c r="A4708" s="37" t="s">
        <v>9136</v>
      </c>
      <c r="B4708" s="34" t="s">
        <v>9137</v>
      </c>
      <c r="C4708" s="34" t="s">
        <v>902</v>
      </c>
    </row>
    <row r="4709" customFormat="false" ht="89.25" hidden="false" customHeight="false" outlineLevel="0" collapsed="false">
      <c r="A4709" s="37" t="s">
        <v>9138</v>
      </c>
      <c r="B4709" s="34" t="s">
        <v>9139</v>
      </c>
      <c r="C4709" s="34" t="s">
        <v>902</v>
      </c>
    </row>
    <row r="4710" customFormat="false" ht="89.25" hidden="false" customHeight="false" outlineLevel="0" collapsed="false">
      <c r="A4710" s="37" t="s">
        <v>9140</v>
      </c>
      <c r="B4710" s="34" t="s">
        <v>9141</v>
      </c>
      <c r="C4710" s="34" t="s">
        <v>122</v>
      </c>
    </row>
    <row r="4711" customFormat="false" ht="89.25" hidden="false" customHeight="false" outlineLevel="0" collapsed="false">
      <c r="A4711" s="37" t="s">
        <v>9142</v>
      </c>
      <c r="B4711" s="34" t="s">
        <v>9143</v>
      </c>
      <c r="C4711" s="34" t="s">
        <v>874</v>
      </c>
    </row>
    <row r="4712" customFormat="false" ht="89.25" hidden="false" customHeight="false" outlineLevel="0" collapsed="false">
      <c r="A4712" s="37" t="s">
        <v>9144</v>
      </c>
      <c r="B4712" s="34" t="s">
        <v>9145</v>
      </c>
      <c r="C4712" s="34" t="s">
        <v>874</v>
      </c>
    </row>
    <row r="4713" customFormat="false" ht="89.25" hidden="false" customHeight="false" outlineLevel="0" collapsed="false">
      <c r="A4713" s="37" t="s">
        <v>9146</v>
      </c>
      <c r="B4713" s="34" t="s">
        <v>9147</v>
      </c>
      <c r="C4713" s="34" t="s">
        <v>874</v>
      </c>
    </row>
    <row r="4714" customFormat="false" ht="89.25" hidden="false" customHeight="false" outlineLevel="0" collapsed="false">
      <c r="A4714" s="37" t="s">
        <v>9148</v>
      </c>
      <c r="B4714" s="34" t="s">
        <v>9149</v>
      </c>
      <c r="C4714" s="34" t="s">
        <v>874</v>
      </c>
    </row>
    <row r="4715" customFormat="false" ht="102" hidden="false" customHeight="false" outlineLevel="0" collapsed="false">
      <c r="A4715" s="37" t="s">
        <v>9150</v>
      </c>
      <c r="B4715" s="34" t="s">
        <v>9151</v>
      </c>
      <c r="C4715" s="34" t="s">
        <v>883</v>
      </c>
    </row>
    <row r="4716" customFormat="false" ht="25.5" hidden="false" customHeight="false" outlineLevel="0" collapsed="false">
      <c r="A4716" s="37" t="s">
        <v>9152</v>
      </c>
      <c r="B4716" s="34" t="s">
        <v>9153</v>
      </c>
      <c r="C4716" s="34" t="s">
        <v>965</v>
      </c>
    </row>
    <row r="4717" customFormat="false" ht="25.5" hidden="false" customHeight="false" outlineLevel="0" collapsed="false">
      <c r="A4717" s="37" t="s">
        <v>9154</v>
      </c>
      <c r="B4717" s="34" t="s">
        <v>9153</v>
      </c>
      <c r="C4717" s="34" t="s">
        <v>965</v>
      </c>
    </row>
    <row r="4718" customFormat="false" ht="25.5" hidden="false" customHeight="false" outlineLevel="0" collapsed="false">
      <c r="A4718" s="37" t="s">
        <v>9155</v>
      </c>
      <c r="B4718" s="34" t="s">
        <v>9153</v>
      </c>
      <c r="C4718" s="34" t="s">
        <v>965</v>
      </c>
    </row>
    <row r="4719" customFormat="false" ht="25.5" hidden="false" customHeight="false" outlineLevel="0" collapsed="false">
      <c r="A4719" s="37" t="s">
        <v>9156</v>
      </c>
      <c r="B4719" s="34" t="s">
        <v>9153</v>
      </c>
      <c r="C4719" s="34" t="s">
        <v>965</v>
      </c>
    </row>
    <row r="4720" customFormat="false" ht="25.5" hidden="false" customHeight="false" outlineLevel="0" collapsed="false">
      <c r="A4720" s="37" t="s">
        <v>9157</v>
      </c>
      <c r="B4720" s="34" t="s">
        <v>9153</v>
      </c>
      <c r="C4720" s="34" t="s">
        <v>965</v>
      </c>
    </row>
    <row r="4721" customFormat="false" ht="25.5" hidden="false" customHeight="false" outlineLevel="0" collapsed="false">
      <c r="A4721" s="37" t="s">
        <v>9158</v>
      </c>
      <c r="B4721" s="34" t="s">
        <v>9153</v>
      </c>
      <c r="C4721" s="34" t="s">
        <v>965</v>
      </c>
    </row>
    <row r="4722" customFormat="false" ht="25.5" hidden="false" customHeight="false" outlineLevel="0" collapsed="false">
      <c r="A4722" s="37" t="s">
        <v>9159</v>
      </c>
      <c r="B4722" s="34" t="s">
        <v>9153</v>
      </c>
      <c r="C4722" s="34" t="s">
        <v>965</v>
      </c>
    </row>
    <row r="4723" customFormat="false" ht="25.5" hidden="false" customHeight="false" outlineLevel="0" collapsed="false">
      <c r="A4723" s="37" t="s">
        <v>9160</v>
      </c>
      <c r="B4723" s="34" t="s">
        <v>9153</v>
      </c>
      <c r="C4723" s="34" t="s">
        <v>965</v>
      </c>
    </row>
    <row r="4724" customFormat="false" ht="89.25" hidden="false" customHeight="false" outlineLevel="0" collapsed="false">
      <c r="A4724" s="37" t="s">
        <v>9161</v>
      </c>
      <c r="B4724" s="34" t="s">
        <v>9162</v>
      </c>
      <c r="C4724" s="34" t="s">
        <v>985</v>
      </c>
    </row>
    <row r="4725" customFormat="false" ht="89.25" hidden="false" customHeight="false" outlineLevel="0" collapsed="false">
      <c r="A4725" s="37" t="s">
        <v>9163</v>
      </c>
      <c r="B4725" s="34" t="s">
        <v>9164</v>
      </c>
      <c r="C4725" s="34" t="s">
        <v>1658</v>
      </c>
    </row>
    <row r="4726" customFormat="false" ht="76.5" hidden="false" customHeight="false" outlineLevel="0" collapsed="false">
      <c r="A4726" s="37" t="s">
        <v>9165</v>
      </c>
      <c r="B4726" s="34" t="s">
        <v>9166</v>
      </c>
      <c r="C4726" s="34" t="s">
        <v>1661</v>
      </c>
    </row>
    <row r="4727" customFormat="false" ht="51" hidden="false" customHeight="false" outlineLevel="0" collapsed="false">
      <c r="A4727" s="37" t="s">
        <v>9167</v>
      </c>
      <c r="B4727" s="34" t="s">
        <v>9168</v>
      </c>
      <c r="C4727" s="34" t="s">
        <v>965</v>
      </c>
    </row>
    <row r="4728" customFormat="false" ht="51" hidden="false" customHeight="false" outlineLevel="0" collapsed="false">
      <c r="A4728" s="37" t="s">
        <v>9169</v>
      </c>
      <c r="B4728" s="34" t="s">
        <v>9170</v>
      </c>
      <c r="C4728" s="34" t="s">
        <v>965</v>
      </c>
    </row>
    <row r="4729" customFormat="false" ht="51" hidden="false" customHeight="false" outlineLevel="0" collapsed="false">
      <c r="A4729" s="37" t="s">
        <v>9171</v>
      </c>
      <c r="B4729" s="34" t="s">
        <v>9172</v>
      </c>
      <c r="C4729" s="34" t="s">
        <v>965</v>
      </c>
    </row>
    <row r="4730" customFormat="false" ht="89.25" hidden="false" customHeight="false" outlineLevel="0" collapsed="false">
      <c r="A4730" s="37" t="s">
        <v>9173</v>
      </c>
      <c r="B4730" s="34" t="s">
        <v>9174</v>
      </c>
      <c r="C4730" s="34" t="s">
        <v>997</v>
      </c>
    </row>
    <row r="4731" customFormat="false" ht="89.25" hidden="false" customHeight="false" outlineLevel="0" collapsed="false">
      <c r="A4731" s="37" t="s">
        <v>9175</v>
      </c>
      <c r="B4731" s="34" t="s">
        <v>9176</v>
      </c>
      <c r="C4731" s="34" t="s">
        <v>997</v>
      </c>
    </row>
    <row r="4732" customFormat="false" ht="38.25" hidden="false" customHeight="false" outlineLevel="0" collapsed="false">
      <c r="A4732" s="37" t="s">
        <v>9177</v>
      </c>
      <c r="B4732" s="34" t="s">
        <v>9178</v>
      </c>
      <c r="C4732" s="34" t="s">
        <v>1002</v>
      </c>
    </row>
    <row r="4733" customFormat="false" ht="51" hidden="false" customHeight="false" outlineLevel="0" collapsed="false">
      <c r="A4733" s="37" t="s">
        <v>9179</v>
      </c>
      <c r="B4733" s="34" t="s">
        <v>9180</v>
      </c>
      <c r="C4733" s="34" t="s">
        <v>965</v>
      </c>
    </row>
    <row r="4734" customFormat="false" ht="38.25" hidden="false" customHeight="false" outlineLevel="0" collapsed="false">
      <c r="A4734" s="37" t="s">
        <v>9181</v>
      </c>
      <c r="B4734" s="34" t="s">
        <v>9182</v>
      </c>
      <c r="C4734" s="34" t="s">
        <v>965</v>
      </c>
    </row>
    <row r="4735" customFormat="false" ht="63.75" hidden="false" customHeight="false" outlineLevel="0" collapsed="false">
      <c r="A4735" s="37" t="s">
        <v>9183</v>
      </c>
      <c r="B4735" s="34" t="s">
        <v>9184</v>
      </c>
      <c r="C4735" s="34" t="s">
        <v>139</v>
      </c>
    </row>
    <row r="4736" customFormat="false" ht="63.75" hidden="false" customHeight="false" outlineLevel="0" collapsed="false">
      <c r="A4736" s="37" t="s">
        <v>9185</v>
      </c>
      <c r="B4736" s="34" t="s">
        <v>9186</v>
      </c>
      <c r="C4736" s="34" t="s">
        <v>142</v>
      </c>
    </row>
    <row r="4737" customFormat="false" ht="63.75" hidden="false" customHeight="false" outlineLevel="0" collapsed="false">
      <c r="A4737" s="37" t="s">
        <v>9187</v>
      </c>
      <c r="B4737" s="34" t="s">
        <v>9188</v>
      </c>
      <c r="C4737" s="34" t="s">
        <v>1033</v>
      </c>
    </row>
    <row r="4738" customFormat="false" ht="38.25" hidden="false" customHeight="false" outlineLevel="0" collapsed="false">
      <c r="A4738" s="37" t="s">
        <v>9189</v>
      </c>
      <c r="B4738" s="34" t="s">
        <v>9190</v>
      </c>
      <c r="C4738" s="34" t="s">
        <v>687</v>
      </c>
    </row>
    <row r="4739" customFormat="false" ht="51" hidden="false" customHeight="false" outlineLevel="0" collapsed="false">
      <c r="A4739" s="37" t="s">
        <v>9191</v>
      </c>
      <c r="B4739" s="34" t="s">
        <v>9192</v>
      </c>
      <c r="C4739" s="34" t="s">
        <v>1038</v>
      </c>
    </row>
    <row r="4740" customFormat="false" ht="38.25" hidden="false" customHeight="false" outlineLevel="0" collapsed="false">
      <c r="A4740" s="37" t="s">
        <v>9193</v>
      </c>
      <c r="B4740" s="34" t="s">
        <v>9194</v>
      </c>
      <c r="C4740" s="34" t="s">
        <v>1041</v>
      </c>
    </row>
    <row r="4741" customFormat="false" ht="25.5" hidden="false" customHeight="false" outlineLevel="0" collapsed="false">
      <c r="A4741" s="37" t="s">
        <v>9195</v>
      </c>
      <c r="B4741" s="34" t="s">
        <v>9196</v>
      </c>
      <c r="C4741" s="34" t="s">
        <v>1044</v>
      </c>
    </row>
    <row r="4742" customFormat="false" ht="51" hidden="false" customHeight="false" outlineLevel="0" collapsed="false">
      <c r="A4742" s="37" t="s">
        <v>9197</v>
      </c>
      <c r="B4742" s="34" t="s">
        <v>9198</v>
      </c>
      <c r="C4742" s="34" t="s">
        <v>1047</v>
      </c>
    </row>
    <row r="4743" customFormat="false" ht="51" hidden="false" customHeight="false" outlineLevel="0" collapsed="false">
      <c r="A4743" s="37" t="s">
        <v>9199</v>
      </c>
      <c r="B4743" s="34" t="s">
        <v>9200</v>
      </c>
      <c r="C4743" s="34" t="s">
        <v>1050</v>
      </c>
    </row>
    <row r="4744" customFormat="false" ht="51" hidden="false" customHeight="false" outlineLevel="0" collapsed="false">
      <c r="A4744" s="37" t="s">
        <v>9201</v>
      </c>
      <c r="B4744" s="34" t="s">
        <v>9202</v>
      </c>
      <c r="C4744" s="34" t="s">
        <v>1053</v>
      </c>
    </row>
    <row r="4745" customFormat="false" ht="38.25" hidden="false" customHeight="false" outlineLevel="0" collapsed="false">
      <c r="A4745" s="37" t="s">
        <v>9203</v>
      </c>
      <c r="B4745" s="34" t="s">
        <v>9204</v>
      </c>
      <c r="C4745" s="34" t="s">
        <v>1056</v>
      </c>
    </row>
    <row r="4746" customFormat="false" ht="63.75" hidden="false" customHeight="false" outlineLevel="0" collapsed="false">
      <c r="A4746" s="37" t="s">
        <v>9205</v>
      </c>
      <c r="B4746" s="34" t="s">
        <v>9206</v>
      </c>
      <c r="C4746" s="34" t="s">
        <v>1059</v>
      </c>
    </row>
    <row r="4747" customFormat="false" ht="63.75" hidden="false" customHeight="false" outlineLevel="0" collapsed="false">
      <c r="A4747" s="37" t="s">
        <v>9207</v>
      </c>
      <c r="B4747" s="34" t="s">
        <v>9208</v>
      </c>
      <c r="C4747" s="34" t="s">
        <v>139</v>
      </c>
    </row>
    <row r="4748" customFormat="false" ht="63.75" hidden="false" customHeight="false" outlineLevel="0" collapsed="false">
      <c r="A4748" s="37" t="s">
        <v>9209</v>
      </c>
      <c r="B4748" s="34" t="s">
        <v>9210</v>
      </c>
      <c r="C4748" s="34" t="s">
        <v>139</v>
      </c>
    </row>
    <row r="4749" customFormat="false" ht="63.75" hidden="false" customHeight="false" outlineLevel="0" collapsed="false">
      <c r="A4749" s="37" t="s">
        <v>9211</v>
      </c>
      <c r="B4749" s="34" t="s">
        <v>9212</v>
      </c>
      <c r="C4749" s="34" t="s">
        <v>139</v>
      </c>
    </row>
    <row r="4750" customFormat="false" ht="89.25" hidden="false" customHeight="false" outlineLevel="0" collapsed="false">
      <c r="A4750" s="37" t="s">
        <v>9213</v>
      </c>
      <c r="B4750" s="34" t="s">
        <v>9214</v>
      </c>
      <c r="C4750" s="34" t="s">
        <v>1717</v>
      </c>
    </row>
    <row r="4751" customFormat="false" ht="127.5" hidden="false" customHeight="false" outlineLevel="0" collapsed="false">
      <c r="A4751" s="37" t="s">
        <v>9215</v>
      </c>
      <c r="B4751" s="34" t="s">
        <v>9216</v>
      </c>
      <c r="C4751" s="34" t="s">
        <v>1069</v>
      </c>
    </row>
    <row r="4752" customFormat="false" ht="127.5" hidden="false" customHeight="false" outlineLevel="0" collapsed="false">
      <c r="A4752" s="37" t="s">
        <v>9217</v>
      </c>
      <c r="B4752" s="34" t="s">
        <v>9218</v>
      </c>
      <c r="C4752" s="34" t="s">
        <v>1069</v>
      </c>
    </row>
    <row r="4753" customFormat="false" ht="127.5" hidden="false" customHeight="false" outlineLevel="0" collapsed="false">
      <c r="A4753" s="37" t="s">
        <v>9219</v>
      </c>
      <c r="B4753" s="34" t="s">
        <v>9220</v>
      </c>
      <c r="C4753" s="34" t="s">
        <v>1069</v>
      </c>
    </row>
    <row r="4754" customFormat="false" ht="127.5" hidden="false" customHeight="false" outlineLevel="0" collapsed="false">
      <c r="A4754" s="37" t="s">
        <v>9221</v>
      </c>
      <c r="B4754" s="34" t="s">
        <v>9222</v>
      </c>
      <c r="C4754" s="34" t="s">
        <v>1069</v>
      </c>
    </row>
    <row r="4755" customFormat="false" ht="127.5" hidden="false" customHeight="false" outlineLevel="0" collapsed="false">
      <c r="A4755" s="37" t="s">
        <v>9223</v>
      </c>
      <c r="B4755" s="34" t="s">
        <v>9224</v>
      </c>
      <c r="C4755" s="34" t="s">
        <v>1069</v>
      </c>
    </row>
    <row r="4756" customFormat="false" ht="127.5" hidden="false" customHeight="false" outlineLevel="0" collapsed="false">
      <c r="A4756" s="37" t="s">
        <v>9225</v>
      </c>
      <c r="B4756" s="34" t="s">
        <v>9226</v>
      </c>
      <c r="C4756" s="34" t="s">
        <v>1069</v>
      </c>
    </row>
    <row r="4757" customFormat="false" ht="127.5" hidden="false" customHeight="false" outlineLevel="0" collapsed="false">
      <c r="A4757" s="37" t="s">
        <v>9227</v>
      </c>
      <c r="B4757" s="34" t="s">
        <v>9228</v>
      </c>
      <c r="C4757" s="34" t="s">
        <v>1069</v>
      </c>
    </row>
    <row r="4758" customFormat="false" ht="127.5" hidden="false" customHeight="false" outlineLevel="0" collapsed="false">
      <c r="A4758" s="37" t="s">
        <v>9229</v>
      </c>
      <c r="B4758" s="34" t="s">
        <v>9230</v>
      </c>
      <c r="C4758" s="34" t="s">
        <v>1069</v>
      </c>
    </row>
    <row r="4759" customFormat="false" ht="127.5" hidden="false" customHeight="false" outlineLevel="0" collapsed="false">
      <c r="A4759" s="37" t="s">
        <v>9231</v>
      </c>
      <c r="B4759" s="34" t="s">
        <v>9232</v>
      </c>
      <c r="C4759" s="34" t="s">
        <v>1069</v>
      </c>
    </row>
    <row r="4760" customFormat="false" ht="127.5" hidden="false" customHeight="false" outlineLevel="0" collapsed="false">
      <c r="A4760" s="37" t="s">
        <v>9233</v>
      </c>
      <c r="B4760" s="34" t="s">
        <v>9234</v>
      </c>
      <c r="C4760" s="34" t="s">
        <v>1069</v>
      </c>
    </row>
    <row r="4761" customFormat="false" ht="127.5" hidden="false" customHeight="false" outlineLevel="0" collapsed="false">
      <c r="A4761" s="37" t="s">
        <v>9235</v>
      </c>
      <c r="B4761" s="34" t="s">
        <v>9236</v>
      </c>
      <c r="C4761" s="34" t="s">
        <v>1732</v>
      </c>
    </row>
    <row r="4762" customFormat="false" ht="127.5" hidden="false" customHeight="false" outlineLevel="0" collapsed="false">
      <c r="A4762" s="37" t="s">
        <v>9237</v>
      </c>
      <c r="B4762" s="34" t="s">
        <v>9238</v>
      </c>
      <c r="C4762" s="34" t="s">
        <v>1732</v>
      </c>
    </row>
    <row r="4763" customFormat="false" ht="102" hidden="false" customHeight="false" outlineLevel="0" collapsed="false">
      <c r="A4763" s="37" t="s">
        <v>9239</v>
      </c>
      <c r="B4763" s="34" t="s">
        <v>9240</v>
      </c>
      <c r="C4763" s="34" t="s">
        <v>1737</v>
      </c>
    </row>
    <row r="4764" customFormat="false" ht="102" hidden="false" customHeight="false" outlineLevel="0" collapsed="false">
      <c r="A4764" s="37" t="s">
        <v>9241</v>
      </c>
      <c r="B4764" s="34" t="s">
        <v>9242</v>
      </c>
      <c r="C4764" s="34" t="s">
        <v>1737</v>
      </c>
    </row>
    <row r="4765" customFormat="false" ht="76.5" hidden="false" customHeight="false" outlineLevel="0" collapsed="false">
      <c r="A4765" s="37" t="s">
        <v>9243</v>
      </c>
      <c r="B4765" s="34" t="s">
        <v>9244</v>
      </c>
      <c r="C4765" s="34" t="s">
        <v>1741</v>
      </c>
    </row>
    <row r="4766" customFormat="false" ht="63.75" hidden="false" customHeight="false" outlineLevel="0" collapsed="false">
      <c r="A4766" s="37" t="s">
        <v>9245</v>
      </c>
      <c r="B4766" s="34" t="s">
        <v>9246</v>
      </c>
      <c r="C4766" s="34" t="s">
        <v>1744</v>
      </c>
    </row>
    <row r="4767" customFormat="false" ht="102" hidden="false" customHeight="false" outlineLevel="0" collapsed="false">
      <c r="A4767" s="37" t="s">
        <v>9247</v>
      </c>
      <c r="B4767" s="34" t="s">
        <v>9248</v>
      </c>
      <c r="C4767" s="34" t="s">
        <v>177</v>
      </c>
    </row>
    <row r="4768" customFormat="false" ht="102" hidden="false" customHeight="false" outlineLevel="0" collapsed="false">
      <c r="A4768" s="37" t="s">
        <v>9249</v>
      </c>
      <c r="B4768" s="34" t="s">
        <v>9250</v>
      </c>
      <c r="C4768" s="34" t="s">
        <v>177</v>
      </c>
    </row>
    <row r="4769" customFormat="false" ht="102" hidden="false" customHeight="false" outlineLevel="0" collapsed="false">
      <c r="A4769" s="37" t="s">
        <v>9251</v>
      </c>
      <c r="B4769" s="34" t="s">
        <v>9252</v>
      </c>
      <c r="C4769" s="34" t="s">
        <v>1751</v>
      </c>
    </row>
    <row r="4770" customFormat="false" ht="102" hidden="false" customHeight="false" outlineLevel="0" collapsed="false">
      <c r="A4770" s="37" t="s">
        <v>9253</v>
      </c>
      <c r="B4770" s="34" t="s">
        <v>9254</v>
      </c>
      <c r="C4770" s="34" t="s">
        <v>1751</v>
      </c>
    </row>
    <row r="4771" customFormat="false" ht="102" hidden="false" customHeight="false" outlineLevel="0" collapsed="false">
      <c r="A4771" s="37" t="s">
        <v>9255</v>
      </c>
      <c r="B4771" s="34" t="s">
        <v>9256</v>
      </c>
      <c r="C4771" s="34" t="s">
        <v>1737</v>
      </c>
    </row>
    <row r="4772" customFormat="false" ht="102" hidden="false" customHeight="false" outlineLevel="0" collapsed="false">
      <c r="A4772" s="37" t="s">
        <v>9257</v>
      </c>
      <c r="B4772" s="34" t="s">
        <v>9258</v>
      </c>
      <c r="C4772" s="34" t="s">
        <v>1737</v>
      </c>
    </row>
    <row r="4773" customFormat="false" ht="127.5" hidden="false" customHeight="false" outlineLevel="0" collapsed="false">
      <c r="A4773" s="37" t="s">
        <v>9259</v>
      </c>
      <c r="B4773" s="34" t="s">
        <v>9260</v>
      </c>
      <c r="C4773" s="34" t="s">
        <v>186</v>
      </c>
    </row>
    <row r="4774" customFormat="false" ht="89.25" hidden="false" customHeight="false" outlineLevel="0" collapsed="false">
      <c r="A4774" s="37" t="s">
        <v>9261</v>
      </c>
      <c r="B4774" s="34" t="s">
        <v>9262</v>
      </c>
      <c r="C4774" s="34" t="s">
        <v>1762</v>
      </c>
    </row>
    <row r="4775" customFormat="false" ht="63.75" hidden="false" customHeight="false" outlineLevel="0" collapsed="false">
      <c r="A4775" s="37" t="s">
        <v>9263</v>
      </c>
      <c r="B4775" s="34" t="s">
        <v>9264</v>
      </c>
      <c r="C4775" s="34" t="s">
        <v>139</v>
      </c>
    </row>
    <row r="4776" customFormat="false" ht="63.75" hidden="false" customHeight="false" outlineLevel="0" collapsed="false">
      <c r="A4776" s="37" t="s">
        <v>9265</v>
      </c>
      <c r="B4776" s="34" t="s">
        <v>9266</v>
      </c>
      <c r="C4776" s="34" t="s">
        <v>139</v>
      </c>
    </row>
    <row r="4777" customFormat="false" ht="63.75" hidden="false" customHeight="false" outlineLevel="0" collapsed="false">
      <c r="A4777" s="37" t="s">
        <v>9267</v>
      </c>
      <c r="B4777" s="34" t="s">
        <v>9268</v>
      </c>
      <c r="C4777" s="34" t="s">
        <v>139</v>
      </c>
    </row>
    <row r="4778" customFormat="false" ht="38.25" hidden="false" customHeight="false" outlineLevel="0" collapsed="false">
      <c r="A4778" s="37" t="s">
        <v>9269</v>
      </c>
      <c r="B4778" s="34" t="s">
        <v>9270</v>
      </c>
      <c r="C4778" s="34" t="s">
        <v>965</v>
      </c>
    </row>
    <row r="4779" customFormat="false" ht="25.5" hidden="false" customHeight="false" outlineLevel="0" collapsed="false">
      <c r="A4779" s="37" t="s">
        <v>9271</v>
      </c>
      <c r="B4779" s="34" t="s">
        <v>9272</v>
      </c>
      <c r="C4779" s="34" t="s">
        <v>965</v>
      </c>
    </row>
    <row r="4780" customFormat="false" ht="89.25" hidden="false" customHeight="false" outlineLevel="0" collapsed="false">
      <c r="A4780" s="37" t="s">
        <v>9273</v>
      </c>
      <c r="B4780" s="34" t="s">
        <v>9274</v>
      </c>
      <c r="C4780" s="34" t="s">
        <v>1774</v>
      </c>
    </row>
    <row r="4781" customFormat="false" ht="127.5" hidden="false" customHeight="false" outlineLevel="0" collapsed="false">
      <c r="A4781" s="37" t="s">
        <v>9275</v>
      </c>
      <c r="B4781" s="34" t="s">
        <v>9276</v>
      </c>
      <c r="C4781" s="34" t="s">
        <v>1069</v>
      </c>
    </row>
    <row r="4782" customFormat="false" ht="127.5" hidden="false" customHeight="false" outlineLevel="0" collapsed="false">
      <c r="A4782" s="37" t="s">
        <v>9277</v>
      </c>
      <c r="B4782" s="34" t="s">
        <v>9278</v>
      </c>
      <c r="C4782" s="34" t="s">
        <v>1069</v>
      </c>
    </row>
    <row r="4783" customFormat="false" ht="127.5" hidden="false" customHeight="false" outlineLevel="0" collapsed="false">
      <c r="A4783" s="37" t="s">
        <v>9279</v>
      </c>
      <c r="B4783" s="34" t="s">
        <v>9280</v>
      </c>
      <c r="C4783" s="34" t="s">
        <v>1079</v>
      </c>
    </row>
    <row r="4784" customFormat="false" ht="127.5" hidden="false" customHeight="false" outlineLevel="0" collapsed="false">
      <c r="A4784" s="37" t="s">
        <v>9281</v>
      </c>
      <c r="B4784" s="34" t="s">
        <v>9282</v>
      </c>
      <c r="C4784" s="34" t="s">
        <v>1069</v>
      </c>
    </row>
    <row r="4785" customFormat="false" ht="127.5" hidden="false" customHeight="false" outlineLevel="0" collapsed="false">
      <c r="A4785" s="37" t="s">
        <v>9283</v>
      </c>
      <c r="B4785" s="34" t="s">
        <v>9284</v>
      </c>
      <c r="C4785" s="34" t="s">
        <v>1069</v>
      </c>
    </row>
    <row r="4786" customFormat="false" ht="127.5" hidden="false" customHeight="false" outlineLevel="0" collapsed="false">
      <c r="A4786" s="37" t="s">
        <v>9285</v>
      </c>
      <c r="B4786" s="34" t="s">
        <v>9286</v>
      </c>
      <c r="C4786" s="34" t="s">
        <v>1079</v>
      </c>
    </row>
    <row r="4787" customFormat="false" ht="127.5" hidden="false" customHeight="false" outlineLevel="0" collapsed="false">
      <c r="A4787" s="37" t="s">
        <v>9287</v>
      </c>
      <c r="B4787" s="34" t="s">
        <v>9288</v>
      </c>
      <c r="C4787" s="34" t="s">
        <v>1079</v>
      </c>
    </row>
    <row r="4788" customFormat="false" ht="127.5" hidden="false" customHeight="false" outlineLevel="0" collapsed="false">
      <c r="A4788" s="37" t="s">
        <v>9287</v>
      </c>
      <c r="B4788" s="34" t="s">
        <v>9288</v>
      </c>
      <c r="C4788" s="34" t="s">
        <v>9289</v>
      </c>
    </row>
    <row r="4789" customFormat="false" ht="127.5" hidden="false" customHeight="false" outlineLevel="0" collapsed="false">
      <c r="A4789" s="37" t="s">
        <v>9290</v>
      </c>
      <c r="B4789" s="34" t="s">
        <v>9291</v>
      </c>
      <c r="C4789" s="34" t="s">
        <v>1079</v>
      </c>
    </row>
    <row r="4790" customFormat="false" ht="127.5" hidden="false" customHeight="false" outlineLevel="0" collapsed="false">
      <c r="A4790" s="37" t="s">
        <v>9292</v>
      </c>
      <c r="B4790" s="34" t="s">
        <v>9293</v>
      </c>
      <c r="C4790" s="34" t="s">
        <v>1079</v>
      </c>
    </row>
    <row r="4791" customFormat="false" ht="127.5" hidden="false" customHeight="false" outlineLevel="0" collapsed="false">
      <c r="A4791" s="37" t="s">
        <v>9294</v>
      </c>
      <c r="B4791" s="34" t="s">
        <v>9295</v>
      </c>
      <c r="C4791" s="34" t="s">
        <v>1069</v>
      </c>
    </row>
    <row r="4792" customFormat="false" ht="127.5" hidden="false" customHeight="false" outlineLevel="0" collapsed="false">
      <c r="A4792" s="37" t="s">
        <v>9296</v>
      </c>
      <c r="B4792" s="34" t="s">
        <v>9297</v>
      </c>
      <c r="C4792" s="34" t="s">
        <v>1732</v>
      </c>
    </row>
    <row r="4793" customFormat="false" ht="127.5" hidden="false" customHeight="false" outlineLevel="0" collapsed="false">
      <c r="A4793" s="37" t="s">
        <v>9298</v>
      </c>
      <c r="B4793" s="34" t="s">
        <v>9299</v>
      </c>
      <c r="C4793" s="34" t="s">
        <v>1732</v>
      </c>
    </row>
    <row r="4794" customFormat="false" ht="102" hidden="false" customHeight="false" outlineLevel="0" collapsed="false">
      <c r="A4794" s="37" t="s">
        <v>9300</v>
      </c>
      <c r="B4794" s="34" t="s">
        <v>9301</v>
      </c>
      <c r="C4794" s="34" t="s">
        <v>1737</v>
      </c>
    </row>
    <row r="4795" customFormat="false" ht="102" hidden="false" customHeight="false" outlineLevel="0" collapsed="false">
      <c r="A4795" s="37" t="s">
        <v>9302</v>
      </c>
      <c r="B4795" s="34" t="s">
        <v>9303</v>
      </c>
      <c r="C4795" s="34" t="s">
        <v>1737</v>
      </c>
    </row>
    <row r="4796" customFormat="false" ht="76.5" hidden="false" customHeight="false" outlineLevel="0" collapsed="false">
      <c r="A4796" s="37" t="s">
        <v>9304</v>
      </c>
      <c r="B4796" s="34" t="s">
        <v>9305</v>
      </c>
      <c r="C4796" s="34" t="s">
        <v>1741</v>
      </c>
    </row>
    <row r="4797" customFormat="false" ht="63.75" hidden="false" customHeight="false" outlineLevel="0" collapsed="false">
      <c r="A4797" s="37" t="s">
        <v>9306</v>
      </c>
      <c r="B4797" s="34" t="s">
        <v>9307</v>
      </c>
      <c r="C4797" s="34" t="s">
        <v>1744</v>
      </c>
    </row>
    <row r="4798" customFormat="false" ht="102" hidden="false" customHeight="false" outlineLevel="0" collapsed="false">
      <c r="A4798" s="37" t="s">
        <v>9308</v>
      </c>
      <c r="B4798" s="34" t="s">
        <v>9309</v>
      </c>
      <c r="C4798" s="34" t="s">
        <v>221</v>
      </c>
    </row>
    <row r="4799" customFormat="false" ht="102" hidden="false" customHeight="false" outlineLevel="0" collapsed="false">
      <c r="A4799" s="37" t="s">
        <v>9310</v>
      </c>
      <c r="B4799" s="34" t="s">
        <v>9311</v>
      </c>
      <c r="C4799" s="34" t="s">
        <v>221</v>
      </c>
    </row>
    <row r="4800" customFormat="false" ht="102" hidden="false" customHeight="false" outlineLevel="0" collapsed="false">
      <c r="A4800" s="37" t="s">
        <v>9312</v>
      </c>
      <c r="B4800" s="34" t="s">
        <v>9313</v>
      </c>
      <c r="C4800" s="34" t="s">
        <v>1808</v>
      </c>
    </row>
    <row r="4801" customFormat="false" ht="102" hidden="false" customHeight="false" outlineLevel="0" collapsed="false">
      <c r="A4801" s="37" t="s">
        <v>9314</v>
      </c>
      <c r="B4801" s="34" t="s">
        <v>9315</v>
      </c>
      <c r="C4801" s="34" t="s">
        <v>1808</v>
      </c>
    </row>
    <row r="4802" customFormat="false" ht="102" hidden="false" customHeight="false" outlineLevel="0" collapsed="false">
      <c r="A4802" s="37" t="s">
        <v>9316</v>
      </c>
      <c r="B4802" s="34" t="s">
        <v>9317</v>
      </c>
      <c r="C4802" s="34" t="s">
        <v>1737</v>
      </c>
    </row>
    <row r="4803" customFormat="false" ht="89.25" hidden="false" customHeight="false" outlineLevel="0" collapsed="false">
      <c r="A4803" s="37" t="s">
        <v>9318</v>
      </c>
      <c r="B4803" s="34" t="s">
        <v>9319</v>
      </c>
      <c r="C4803" s="34" t="s">
        <v>210</v>
      </c>
    </row>
    <row r="4804" customFormat="false" ht="127.5" hidden="false" customHeight="false" outlineLevel="0" collapsed="false">
      <c r="A4804" s="37" t="s">
        <v>9320</v>
      </c>
      <c r="B4804" s="34" t="s">
        <v>9321</v>
      </c>
      <c r="C4804" s="34" t="s">
        <v>230</v>
      </c>
    </row>
    <row r="4805" customFormat="false" ht="89.25" hidden="false" customHeight="false" outlineLevel="0" collapsed="false">
      <c r="A4805" s="37" t="s">
        <v>9322</v>
      </c>
      <c r="B4805" s="34" t="s">
        <v>9323</v>
      </c>
      <c r="C4805" s="34" t="s">
        <v>1762</v>
      </c>
    </row>
    <row r="4806" customFormat="false" ht="63.75" hidden="false" customHeight="false" outlineLevel="0" collapsed="false">
      <c r="A4806" s="37" t="s">
        <v>9324</v>
      </c>
      <c r="B4806" s="34" t="s">
        <v>9325</v>
      </c>
      <c r="C4806" s="34" t="s">
        <v>139</v>
      </c>
    </row>
    <row r="4807" customFormat="false" ht="63.75" hidden="false" customHeight="false" outlineLevel="0" collapsed="false">
      <c r="A4807" s="37" t="s">
        <v>9326</v>
      </c>
      <c r="B4807" s="34" t="s">
        <v>9327</v>
      </c>
      <c r="C4807" s="34" t="s">
        <v>139</v>
      </c>
    </row>
    <row r="4808" customFormat="false" ht="63.75" hidden="false" customHeight="false" outlineLevel="0" collapsed="false">
      <c r="A4808" s="37" t="s">
        <v>9328</v>
      </c>
      <c r="B4808" s="34" t="s">
        <v>9329</v>
      </c>
      <c r="C4808" s="34" t="s">
        <v>139</v>
      </c>
    </row>
    <row r="4809" customFormat="false" ht="38.25" hidden="false" customHeight="false" outlineLevel="0" collapsed="false">
      <c r="A4809" s="37" t="s">
        <v>9330</v>
      </c>
      <c r="B4809" s="34" t="s">
        <v>9331</v>
      </c>
      <c r="C4809" s="34" t="s">
        <v>965</v>
      </c>
    </row>
    <row r="4810" customFormat="false" ht="25.5" hidden="false" customHeight="false" outlineLevel="0" collapsed="false">
      <c r="A4810" s="37" t="s">
        <v>9332</v>
      </c>
      <c r="B4810" s="34" t="s">
        <v>9333</v>
      </c>
      <c r="C4810" s="34" t="s">
        <v>965</v>
      </c>
    </row>
    <row r="4811" customFormat="false" ht="89.25" hidden="false" customHeight="false" outlineLevel="0" collapsed="false">
      <c r="A4811" s="37" t="s">
        <v>9334</v>
      </c>
      <c r="B4811" s="34" t="s">
        <v>9335</v>
      </c>
      <c r="C4811" s="34" t="s">
        <v>1831</v>
      </c>
    </row>
    <row r="4812" customFormat="false" ht="127.5" hidden="false" customHeight="false" outlineLevel="0" collapsed="false">
      <c r="A4812" s="37" t="s">
        <v>9336</v>
      </c>
      <c r="B4812" s="34" t="s">
        <v>9337</v>
      </c>
      <c r="C4812" s="34" t="s">
        <v>1069</v>
      </c>
    </row>
    <row r="4813" customFormat="false" ht="127.5" hidden="false" customHeight="false" outlineLevel="0" collapsed="false">
      <c r="A4813" s="37" t="s">
        <v>9338</v>
      </c>
      <c r="B4813" s="34" t="s">
        <v>9339</v>
      </c>
      <c r="C4813" s="34" t="s">
        <v>1069</v>
      </c>
    </row>
    <row r="4814" customFormat="false" ht="127.5" hidden="false" customHeight="false" outlineLevel="0" collapsed="false">
      <c r="A4814" s="37" t="s">
        <v>9340</v>
      </c>
      <c r="B4814" s="34" t="s">
        <v>9341</v>
      </c>
      <c r="C4814" s="34" t="s">
        <v>1089</v>
      </c>
    </row>
    <row r="4815" customFormat="false" ht="127.5" hidden="false" customHeight="false" outlineLevel="0" collapsed="false">
      <c r="A4815" s="37" t="s">
        <v>9342</v>
      </c>
      <c r="B4815" s="34" t="s">
        <v>9343</v>
      </c>
      <c r="C4815" s="34" t="s">
        <v>1069</v>
      </c>
    </row>
    <row r="4816" customFormat="false" ht="127.5" hidden="false" customHeight="false" outlineLevel="0" collapsed="false">
      <c r="A4816" s="37" t="s">
        <v>9344</v>
      </c>
      <c r="B4816" s="34" t="s">
        <v>9345</v>
      </c>
      <c r="C4816" s="34" t="s">
        <v>1069</v>
      </c>
    </row>
    <row r="4817" customFormat="false" ht="127.5" hidden="false" customHeight="false" outlineLevel="0" collapsed="false">
      <c r="A4817" s="37" t="s">
        <v>9346</v>
      </c>
      <c r="B4817" s="34" t="s">
        <v>9347</v>
      </c>
      <c r="C4817" s="34" t="s">
        <v>1089</v>
      </c>
    </row>
    <row r="4818" customFormat="false" ht="127.5" hidden="false" customHeight="false" outlineLevel="0" collapsed="false">
      <c r="A4818" s="37" t="s">
        <v>9348</v>
      </c>
      <c r="B4818" s="34" t="s">
        <v>9349</v>
      </c>
      <c r="C4818" s="34" t="s">
        <v>1089</v>
      </c>
    </row>
    <row r="4819" customFormat="false" ht="127.5" hidden="false" customHeight="false" outlineLevel="0" collapsed="false">
      <c r="A4819" s="37" t="s">
        <v>9350</v>
      </c>
      <c r="B4819" s="34" t="s">
        <v>9351</v>
      </c>
      <c r="C4819" s="34" t="s">
        <v>1089</v>
      </c>
    </row>
    <row r="4820" customFormat="false" ht="127.5" hidden="false" customHeight="false" outlineLevel="0" collapsed="false">
      <c r="A4820" s="37" t="s">
        <v>9352</v>
      </c>
      <c r="B4820" s="34" t="s">
        <v>9353</v>
      </c>
      <c r="C4820" s="34" t="s">
        <v>1089</v>
      </c>
    </row>
    <row r="4821" customFormat="false" ht="127.5" hidden="false" customHeight="false" outlineLevel="0" collapsed="false">
      <c r="A4821" s="37" t="s">
        <v>9354</v>
      </c>
      <c r="B4821" s="34" t="s">
        <v>9355</v>
      </c>
      <c r="C4821" s="34" t="s">
        <v>1069</v>
      </c>
    </row>
    <row r="4822" customFormat="false" ht="127.5" hidden="false" customHeight="false" outlineLevel="0" collapsed="false">
      <c r="A4822" s="37" t="s">
        <v>9356</v>
      </c>
      <c r="B4822" s="34" t="s">
        <v>9357</v>
      </c>
      <c r="C4822" s="34" t="s">
        <v>1732</v>
      </c>
    </row>
    <row r="4823" customFormat="false" ht="127.5" hidden="false" customHeight="false" outlineLevel="0" collapsed="false">
      <c r="A4823" s="37" t="s">
        <v>9358</v>
      </c>
      <c r="B4823" s="34" t="s">
        <v>9359</v>
      </c>
      <c r="C4823" s="34" t="s">
        <v>1732</v>
      </c>
    </row>
    <row r="4824" customFormat="false" ht="102" hidden="false" customHeight="false" outlineLevel="0" collapsed="false">
      <c r="A4824" s="37" t="s">
        <v>9360</v>
      </c>
      <c r="B4824" s="34" t="s">
        <v>9361</v>
      </c>
      <c r="C4824" s="34" t="s">
        <v>1737</v>
      </c>
    </row>
    <row r="4825" customFormat="false" ht="102" hidden="false" customHeight="false" outlineLevel="0" collapsed="false">
      <c r="A4825" s="37" t="s">
        <v>9362</v>
      </c>
      <c r="B4825" s="34" t="s">
        <v>9363</v>
      </c>
      <c r="C4825" s="34" t="s">
        <v>1737</v>
      </c>
    </row>
    <row r="4826" customFormat="false" ht="76.5" hidden="false" customHeight="false" outlineLevel="0" collapsed="false">
      <c r="A4826" s="37" t="s">
        <v>9364</v>
      </c>
      <c r="B4826" s="34" t="s">
        <v>9365</v>
      </c>
      <c r="C4826" s="34" t="s">
        <v>1741</v>
      </c>
    </row>
    <row r="4827" customFormat="false" ht="63.75" hidden="false" customHeight="false" outlineLevel="0" collapsed="false">
      <c r="A4827" s="37" t="s">
        <v>9366</v>
      </c>
      <c r="B4827" s="34" t="s">
        <v>9367</v>
      </c>
      <c r="C4827" s="34" t="s">
        <v>1744</v>
      </c>
    </row>
    <row r="4828" customFormat="false" ht="102" hidden="false" customHeight="false" outlineLevel="0" collapsed="false">
      <c r="A4828" s="37" t="s">
        <v>9368</v>
      </c>
      <c r="B4828" s="34" t="s">
        <v>9369</v>
      </c>
      <c r="C4828" s="34" t="s">
        <v>265</v>
      </c>
    </row>
    <row r="4829" customFormat="false" ht="102" hidden="false" customHeight="false" outlineLevel="0" collapsed="false">
      <c r="A4829" s="37" t="s">
        <v>9370</v>
      </c>
      <c r="B4829" s="34" t="s">
        <v>9371</v>
      </c>
      <c r="C4829" s="34" t="s">
        <v>265</v>
      </c>
    </row>
    <row r="4830" customFormat="false" ht="102" hidden="false" customHeight="false" outlineLevel="0" collapsed="false">
      <c r="A4830" s="37" t="s">
        <v>9372</v>
      </c>
      <c r="B4830" s="34" t="s">
        <v>9373</v>
      </c>
      <c r="C4830" s="34" t="s">
        <v>1866</v>
      </c>
    </row>
    <row r="4831" customFormat="false" ht="102" hidden="false" customHeight="false" outlineLevel="0" collapsed="false">
      <c r="A4831" s="37" t="s">
        <v>9374</v>
      </c>
      <c r="B4831" s="34" t="s">
        <v>9375</v>
      </c>
      <c r="C4831" s="34" t="s">
        <v>1866</v>
      </c>
    </row>
    <row r="4832" customFormat="false" ht="102" hidden="false" customHeight="false" outlineLevel="0" collapsed="false">
      <c r="A4832" s="37" t="s">
        <v>9376</v>
      </c>
      <c r="B4832" s="34" t="s">
        <v>9377</v>
      </c>
      <c r="C4832" s="34" t="s">
        <v>1737</v>
      </c>
    </row>
    <row r="4833" customFormat="false" ht="89.25" hidden="false" customHeight="false" outlineLevel="0" collapsed="false">
      <c r="A4833" s="37" t="s">
        <v>9378</v>
      </c>
      <c r="B4833" s="34" t="s">
        <v>9379</v>
      </c>
      <c r="C4833" s="34" t="s">
        <v>254</v>
      </c>
    </row>
    <row r="4834" customFormat="false" ht="127.5" hidden="false" customHeight="false" outlineLevel="0" collapsed="false">
      <c r="A4834" s="37" t="s">
        <v>9380</v>
      </c>
      <c r="B4834" s="34" t="s">
        <v>9381</v>
      </c>
      <c r="C4834" s="34" t="s">
        <v>274</v>
      </c>
    </row>
    <row r="4835" customFormat="false" ht="89.25" hidden="false" customHeight="false" outlineLevel="0" collapsed="false">
      <c r="A4835" s="37" t="s">
        <v>9382</v>
      </c>
      <c r="B4835" s="34" t="s">
        <v>9383</v>
      </c>
      <c r="C4835" s="34" t="s">
        <v>1762</v>
      </c>
    </row>
    <row r="4836" customFormat="false" ht="63.75" hidden="false" customHeight="false" outlineLevel="0" collapsed="false">
      <c r="A4836" s="37" t="s">
        <v>9384</v>
      </c>
      <c r="B4836" s="34" t="s">
        <v>9385</v>
      </c>
      <c r="C4836" s="34" t="s">
        <v>139</v>
      </c>
    </row>
    <row r="4837" customFormat="false" ht="63.75" hidden="false" customHeight="false" outlineLevel="0" collapsed="false">
      <c r="A4837" s="37" t="s">
        <v>9386</v>
      </c>
      <c r="B4837" s="34" t="s">
        <v>9387</v>
      </c>
      <c r="C4837" s="34" t="s">
        <v>139</v>
      </c>
    </row>
    <row r="4838" customFormat="false" ht="63.75" hidden="false" customHeight="false" outlineLevel="0" collapsed="false">
      <c r="A4838" s="37" t="s">
        <v>9388</v>
      </c>
      <c r="B4838" s="34" t="s">
        <v>9389</v>
      </c>
      <c r="C4838" s="34" t="s">
        <v>139</v>
      </c>
    </row>
    <row r="4839" customFormat="false" ht="38.25" hidden="false" customHeight="false" outlineLevel="0" collapsed="false">
      <c r="A4839" s="37" t="s">
        <v>9390</v>
      </c>
      <c r="B4839" s="34" t="s">
        <v>9391</v>
      </c>
      <c r="C4839" s="34" t="s">
        <v>965</v>
      </c>
    </row>
    <row r="4840" customFormat="false" ht="25.5" hidden="false" customHeight="false" outlineLevel="0" collapsed="false">
      <c r="A4840" s="37" t="s">
        <v>9392</v>
      </c>
      <c r="B4840" s="34" t="s">
        <v>9393</v>
      </c>
      <c r="C4840" s="34" t="s">
        <v>965</v>
      </c>
    </row>
    <row r="4841" customFormat="false" ht="89.25" hidden="false" customHeight="false" outlineLevel="0" collapsed="false">
      <c r="A4841" s="37" t="s">
        <v>9394</v>
      </c>
      <c r="B4841" s="34" t="s">
        <v>9395</v>
      </c>
      <c r="C4841" s="34" t="s">
        <v>1889</v>
      </c>
    </row>
    <row r="4842" customFormat="false" ht="127.5" hidden="false" customHeight="false" outlineLevel="0" collapsed="false">
      <c r="A4842" s="37" t="s">
        <v>9396</v>
      </c>
      <c r="B4842" s="34" t="s">
        <v>9397</v>
      </c>
      <c r="C4842" s="34" t="s">
        <v>1069</v>
      </c>
    </row>
    <row r="4843" customFormat="false" ht="127.5" hidden="false" customHeight="false" outlineLevel="0" collapsed="false">
      <c r="A4843" s="37" t="s">
        <v>9398</v>
      </c>
      <c r="B4843" s="34" t="s">
        <v>9399</v>
      </c>
      <c r="C4843" s="34" t="s">
        <v>1069</v>
      </c>
    </row>
    <row r="4844" customFormat="false" ht="127.5" hidden="false" customHeight="false" outlineLevel="0" collapsed="false">
      <c r="A4844" s="37" t="s">
        <v>9400</v>
      </c>
      <c r="B4844" s="34" t="s">
        <v>9401</v>
      </c>
      <c r="C4844" s="34" t="s">
        <v>1099</v>
      </c>
    </row>
    <row r="4845" customFormat="false" ht="127.5" hidden="false" customHeight="false" outlineLevel="0" collapsed="false">
      <c r="A4845" s="37" t="s">
        <v>9402</v>
      </c>
      <c r="B4845" s="34" t="s">
        <v>9403</v>
      </c>
      <c r="C4845" s="34" t="s">
        <v>1069</v>
      </c>
    </row>
    <row r="4846" customFormat="false" ht="127.5" hidden="false" customHeight="false" outlineLevel="0" collapsed="false">
      <c r="A4846" s="37" t="s">
        <v>9404</v>
      </c>
      <c r="B4846" s="34" t="s">
        <v>9405</v>
      </c>
      <c r="C4846" s="34" t="s">
        <v>1069</v>
      </c>
    </row>
    <row r="4847" customFormat="false" ht="127.5" hidden="false" customHeight="false" outlineLevel="0" collapsed="false">
      <c r="A4847" s="37" t="s">
        <v>9406</v>
      </c>
      <c r="B4847" s="34" t="s">
        <v>9407</v>
      </c>
      <c r="C4847" s="34" t="s">
        <v>1099</v>
      </c>
    </row>
    <row r="4848" customFormat="false" ht="127.5" hidden="false" customHeight="false" outlineLevel="0" collapsed="false">
      <c r="A4848" s="37" t="s">
        <v>9408</v>
      </c>
      <c r="B4848" s="34" t="s">
        <v>9409</v>
      </c>
      <c r="C4848" s="34" t="s">
        <v>1099</v>
      </c>
    </row>
    <row r="4849" customFormat="false" ht="127.5" hidden="false" customHeight="false" outlineLevel="0" collapsed="false">
      <c r="A4849" s="37" t="s">
        <v>9410</v>
      </c>
      <c r="B4849" s="34" t="s">
        <v>9411</v>
      </c>
      <c r="C4849" s="34" t="s">
        <v>1099</v>
      </c>
    </row>
    <row r="4850" customFormat="false" ht="127.5" hidden="false" customHeight="false" outlineLevel="0" collapsed="false">
      <c r="A4850" s="37" t="s">
        <v>9412</v>
      </c>
      <c r="B4850" s="34" t="s">
        <v>9413</v>
      </c>
      <c r="C4850" s="34" t="s">
        <v>1099</v>
      </c>
    </row>
    <row r="4851" customFormat="false" ht="127.5" hidden="false" customHeight="false" outlineLevel="0" collapsed="false">
      <c r="A4851" s="37" t="s">
        <v>9414</v>
      </c>
      <c r="B4851" s="34" t="s">
        <v>9415</v>
      </c>
      <c r="C4851" s="34" t="s">
        <v>1069</v>
      </c>
    </row>
    <row r="4852" customFormat="false" ht="127.5" hidden="false" customHeight="false" outlineLevel="0" collapsed="false">
      <c r="A4852" s="37" t="s">
        <v>9416</v>
      </c>
      <c r="B4852" s="34" t="s">
        <v>9417</v>
      </c>
      <c r="C4852" s="34" t="s">
        <v>1732</v>
      </c>
    </row>
    <row r="4853" customFormat="false" ht="127.5" hidden="false" customHeight="false" outlineLevel="0" collapsed="false">
      <c r="A4853" s="37" t="s">
        <v>9418</v>
      </c>
      <c r="B4853" s="34" t="s">
        <v>9419</v>
      </c>
      <c r="C4853" s="34" t="s">
        <v>1732</v>
      </c>
    </row>
    <row r="4854" customFormat="false" ht="102" hidden="false" customHeight="false" outlineLevel="0" collapsed="false">
      <c r="A4854" s="37" t="s">
        <v>9420</v>
      </c>
      <c r="B4854" s="34" t="s">
        <v>9421</v>
      </c>
      <c r="C4854" s="34" t="s">
        <v>1737</v>
      </c>
    </row>
    <row r="4855" customFormat="false" ht="102" hidden="false" customHeight="false" outlineLevel="0" collapsed="false">
      <c r="A4855" s="37" t="s">
        <v>9422</v>
      </c>
      <c r="B4855" s="34" t="s">
        <v>9423</v>
      </c>
      <c r="C4855" s="34" t="s">
        <v>1737</v>
      </c>
    </row>
    <row r="4856" customFormat="false" ht="76.5" hidden="false" customHeight="false" outlineLevel="0" collapsed="false">
      <c r="A4856" s="37" t="s">
        <v>9424</v>
      </c>
      <c r="B4856" s="34" t="s">
        <v>9425</v>
      </c>
      <c r="C4856" s="34" t="s">
        <v>1741</v>
      </c>
    </row>
    <row r="4857" customFormat="false" ht="63.75" hidden="false" customHeight="false" outlineLevel="0" collapsed="false">
      <c r="A4857" s="37" t="s">
        <v>9426</v>
      </c>
      <c r="B4857" s="34" t="s">
        <v>9427</v>
      </c>
      <c r="C4857" s="34" t="s">
        <v>1744</v>
      </c>
    </row>
    <row r="4858" customFormat="false" ht="102" hidden="false" customHeight="false" outlineLevel="0" collapsed="false">
      <c r="A4858" s="37" t="s">
        <v>9428</v>
      </c>
      <c r="B4858" s="34" t="s">
        <v>9429</v>
      </c>
      <c r="C4858" s="34" t="s">
        <v>309</v>
      </c>
    </row>
    <row r="4859" customFormat="false" ht="102" hidden="false" customHeight="false" outlineLevel="0" collapsed="false">
      <c r="A4859" s="37" t="s">
        <v>9430</v>
      </c>
      <c r="B4859" s="34" t="s">
        <v>9431</v>
      </c>
      <c r="C4859" s="34" t="s">
        <v>309</v>
      </c>
    </row>
    <row r="4860" customFormat="false" ht="102" hidden="false" customHeight="false" outlineLevel="0" collapsed="false">
      <c r="A4860" s="37" t="s">
        <v>9432</v>
      </c>
      <c r="B4860" s="34" t="s">
        <v>9433</v>
      </c>
      <c r="C4860" s="34" t="s">
        <v>1924</v>
      </c>
    </row>
    <row r="4861" customFormat="false" ht="102" hidden="false" customHeight="false" outlineLevel="0" collapsed="false">
      <c r="A4861" s="37" t="s">
        <v>9434</v>
      </c>
      <c r="B4861" s="34" t="s">
        <v>9435</v>
      </c>
      <c r="C4861" s="34" t="s">
        <v>1924</v>
      </c>
    </row>
    <row r="4862" customFormat="false" ht="102" hidden="false" customHeight="false" outlineLevel="0" collapsed="false">
      <c r="A4862" s="37" t="s">
        <v>9436</v>
      </c>
      <c r="B4862" s="34" t="s">
        <v>9437</v>
      </c>
      <c r="C4862" s="34" t="s">
        <v>1737</v>
      </c>
    </row>
    <row r="4863" customFormat="false" ht="89.25" hidden="false" customHeight="false" outlineLevel="0" collapsed="false">
      <c r="A4863" s="37" t="s">
        <v>9438</v>
      </c>
      <c r="B4863" s="34" t="s">
        <v>9439</v>
      </c>
      <c r="C4863" s="34" t="s">
        <v>298</v>
      </c>
    </row>
    <row r="4864" customFormat="false" ht="127.5" hidden="false" customHeight="false" outlineLevel="0" collapsed="false">
      <c r="A4864" s="37" t="s">
        <v>9440</v>
      </c>
      <c r="B4864" s="34" t="s">
        <v>9441</v>
      </c>
      <c r="C4864" s="34" t="s">
        <v>318</v>
      </c>
    </row>
    <row r="4865" customFormat="false" ht="89.25" hidden="false" customHeight="false" outlineLevel="0" collapsed="false">
      <c r="A4865" s="37" t="s">
        <v>9442</v>
      </c>
      <c r="B4865" s="34" t="s">
        <v>9443</v>
      </c>
      <c r="C4865" s="34" t="s">
        <v>1762</v>
      </c>
    </row>
    <row r="4866" customFormat="false" ht="63.75" hidden="false" customHeight="false" outlineLevel="0" collapsed="false">
      <c r="A4866" s="37" t="s">
        <v>9444</v>
      </c>
      <c r="B4866" s="34" t="s">
        <v>9445</v>
      </c>
      <c r="C4866" s="34" t="s">
        <v>139</v>
      </c>
    </row>
    <row r="4867" customFormat="false" ht="63.75" hidden="false" customHeight="false" outlineLevel="0" collapsed="false">
      <c r="A4867" s="37" t="s">
        <v>9446</v>
      </c>
      <c r="B4867" s="34" t="s">
        <v>9447</v>
      </c>
      <c r="C4867" s="34" t="s">
        <v>139</v>
      </c>
    </row>
    <row r="4868" customFormat="false" ht="63.75" hidden="false" customHeight="false" outlineLevel="0" collapsed="false">
      <c r="A4868" s="37" t="s">
        <v>9448</v>
      </c>
      <c r="B4868" s="34" t="s">
        <v>9449</v>
      </c>
      <c r="C4868" s="34" t="s">
        <v>139</v>
      </c>
    </row>
    <row r="4869" customFormat="false" ht="38.25" hidden="false" customHeight="false" outlineLevel="0" collapsed="false">
      <c r="A4869" s="37" t="s">
        <v>9450</v>
      </c>
      <c r="B4869" s="34" t="s">
        <v>9451</v>
      </c>
      <c r="C4869" s="34" t="s">
        <v>965</v>
      </c>
    </row>
    <row r="4870" customFormat="false" ht="25.5" hidden="false" customHeight="false" outlineLevel="0" collapsed="false">
      <c r="A4870" s="37" t="s">
        <v>9452</v>
      </c>
      <c r="B4870" s="34" t="s">
        <v>9453</v>
      </c>
      <c r="C4870" s="34" t="s">
        <v>965</v>
      </c>
    </row>
    <row r="4871" customFormat="false" ht="89.25" hidden="false" customHeight="false" outlineLevel="0" collapsed="false">
      <c r="A4871" s="37" t="s">
        <v>9454</v>
      </c>
      <c r="B4871" s="34" t="s">
        <v>9455</v>
      </c>
      <c r="C4871" s="34" t="s">
        <v>1948</v>
      </c>
    </row>
    <row r="4872" customFormat="false" ht="127.5" hidden="false" customHeight="false" outlineLevel="0" collapsed="false">
      <c r="A4872" s="37" t="s">
        <v>9456</v>
      </c>
      <c r="B4872" s="34" t="s">
        <v>9457</v>
      </c>
      <c r="C4872" s="34" t="s">
        <v>1069</v>
      </c>
    </row>
    <row r="4873" customFormat="false" ht="127.5" hidden="false" customHeight="false" outlineLevel="0" collapsed="false">
      <c r="A4873" s="37" t="s">
        <v>9458</v>
      </c>
      <c r="B4873" s="34" t="s">
        <v>9459</v>
      </c>
      <c r="C4873" s="34" t="s">
        <v>1069</v>
      </c>
    </row>
    <row r="4874" customFormat="false" ht="127.5" hidden="false" customHeight="false" outlineLevel="0" collapsed="false">
      <c r="A4874" s="37" t="s">
        <v>9460</v>
      </c>
      <c r="B4874" s="34" t="s">
        <v>9461</v>
      </c>
      <c r="C4874" s="34" t="s">
        <v>1108</v>
      </c>
    </row>
    <row r="4875" customFormat="false" ht="127.5" hidden="false" customHeight="false" outlineLevel="0" collapsed="false">
      <c r="A4875" s="37" t="s">
        <v>9462</v>
      </c>
      <c r="B4875" s="34" t="s">
        <v>9463</v>
      </c>
      <c r="C4875" s="34" t="s">
        <v>1069</v>
      </c>
    </row>
    <row r="4876" customFormat="false" ht="127.5" hidden="false" customHeight="false" outlineLevel="0" collapsed="false">
      <c r="A4876" s="37" t="s">
        <v>9464</v>
      </c>
      <c r="B4876" s="34" t="s">
        <v>9465</v>
      </c>
      <c r="C4876" s="34" t="s">
        <v>1069</v>
      </c>
    </row>
    <row r="4877" customFormat="false" ht="127.5" hidden="false" customHeight="false" outlineLevel="0" collapsed="false">
      <c r="A4877" s="37" t="s">
        <v>9466</v>
      </c>
      <c r="B4877" s="34" t="s">
        <v>9467</v>
      </c>
      <c r="C4877" s="34" t="s">
        <v>1108</v>
      </c>
    </row>
    <row r="4878" customFormat="false" ht="127.5" hidden="false" customHeight="false" outlineLevel="0" collapsed="false">
      <c r="A4878" s="37" t="s">
        <v>9468</v>
      </c>
      <c r="B4878" s="34" t="s">
        <v>9469</v>
      </c>
      <c r="C4878" s="34" t="s">
        <v>1108</v>
      </c>
    </row>
    <row r="4879" customFormat="false" ht="127.5" hidden="false" customHeight="false" outlineLevel="0" collapsed="false">
      <c r="A4879" s="37" t="s">
        <v>9470</v>
      </c>
      <c r="B4879" s="34" t="s">
        <v>9471</v>
      </c>
      <c r="C4879" s="34" t="s">
        <v>1108</v>
      </c>
    </row>
    <row r="4880" customFormat="false" ht="127.5" hidden="false" customHeight="false" outlineLevel="0" collapsed="false">
      <c r="A4880" s="37" t="s">
        <v>9472</v>
      </c>
      <c r="B4880" s="34" t="s">
        <v>9473</v>
      </c>
      <c r="C4880" s="34" t="s">
        <v>1108</v>
      </c>
    </row>
    <row r="4881" customFormat="false" ht="127.5" hidden="false" customHeight="false" outlineLevel="0" collapsed="false">
      <c r="A4881" s="37" t="s">
        <v>9474</v>
      </c>
      <c r="B4881" s="34" t="s">
        <v>9475</v>
      </c>
      <c r="C4881" s="34" t="s">
        <v>1069</v>
      </c>
    </row>
    <row r="4882" customFormat="false" ht="127.5" hidden="false" customHeight="false" outlineLevel="0" collapsed="false">
      <c r="A4882" s="37" t="s">
        <v>9476</v>
      </c>
      <c r="B4882" s="34" t="s">
        <v>9477</v>
      </c>
      <c r="C4882" s="34" t="s">
        <v>1732</v>
      </c>
    </row>
    <row r="4883" customFormat="false" ht="127.5" hidden="false" customHeight="false" outlineLevel="0" collapsed="false">
      <c r="A4883" s="37" t="s">
        <v>9478</v>
      </c>
      <c r="B4883" s="34" t="s">
        <v>9479</v>
      </c>
      <c r="C4883" s="34" t="s">
        <v>1732</v>
      </c>
    </row>
    <row r="4884" customFormat="false" ht="102" hidden="false" customHeight="false" outlineLevel="0" collapsed="false">
      <c r="A4884" s="37" t="s">
        <v>9480</v>
      </c>
      <c r="B4884" s="34" t="s">
        <v>9481</v>
      </c>
      <c r="C4884" s="34" t="s">
        <v>1737</v>
      </c>
    </row>
    <row r="4885" customFormat="false" ht="102" hidden="false" customHeight="false" outlineLevel="0" collapsed="false">
      <c r="A4885" s="37" t="s">
        <v>9482</v>
      </c>
      <c r="B4885" s="34" t="s">
        <v>9483</v>
      </c>
      <c r="C4885" s="34" t="s">
        <v>1737</v>
      </c>
    </row>
    <row r="4886" customFormat="false" ht="76.5" hidden="false" customHeight="false" outlineLevel="0" collapsed="false">
      <c r="A4886" s="37" t="s">
        <v>9484</v>
      </c>
      <c r="B4886" s="34" t="s">
        <v>9485</v>
      </c>
      <c r="C4886" s="34" t="s">
        <v>1741</v>
      </c>
    </row>
    <row r="4887" customFormat="false" ht="63.75" hidden="false" customHeight="false" outlineLevel="0" collapsed="false">
      <c r="A4887" s="37" t="s">
        <v>9486</v>
      </c>
      <c r="B4887" s="34" t="s">
        <v>9487</v>
      </c>
      <c r="C4887" s="34" t="s">
        <v>1744</v>
      </c>
    </row>
    <row r="4888" customFormat="false" ht="102" hidden="false" customHeight="false" outlineLevel="0" collapsed="false">
      <c r="A4888" s="37" t="s">
        <v>9488</v>
      </c>
      <c r="B4888" s="34" t="s">
        <v>9489</v>
      </c>
      <c r="C4888" s="34" t="s">
        <v>351</v>
      </c>
    </row>
    <row r="4889" customFormat="false" ht="102" hidden="false" customHeight="false" outlineLevel="0" collapsed="false">
      <c r="A4889" s="37" t="s">
        <v>9490</v>
      </c>
      <c r="B4889" s="34" t="s">
        <v>9491</v>
      </c>
      <c r="C4889" s="34" t="s">
        <v>351</v>
      </c>
    </row>
    <row r="4890" customFormat="false" ht="102" hidden="false" customHeight="false" outlineLevel="0" collapsed="false">
      <c r="A4890" s="37" t="s">
        <v>9492</v>
      </c>
      <c r="B4890" s="34" t="s">
        <v>9493</v>
      </c>
      <c r="C4890" s="34" t="s">
        <v>1987</v>
      </c>
    </row>
    <row r="4891" customFormat="false" ht="102" hidden="false" customHeight="false" outlineLevel="0" collapsed="false">
      <c r="A4891" s="37" t="s">
        <v>9494</v>
      </c>
      <c r="B4891" s="34" t="s">
        <v>9495</v>
      </c>
      <c r="C4891" s="34" t="s">
        <v>1987</v>
      </c>
    </row>
    <row r="4892" customFormat="false" ht="102" hidden="false" customHeight="false" outlineLevel="0" collapsed="false">
      <c r="A4892" s="37" t="s">
        <v>9496</v>
      </c>
      <c r="B4892" s="34" t="s">
        <v>9497</v>
      </c>
      <c r="C4892" s="34" t="s">
        <v>1737</v>
      </c>
    </row>
    <row r="4893" customFormat="false" ht="89.25" hidden="false" customHeight="false" outlineLevel="0" collapsed="false">
      <c r="A4893" s="37" t="s">
        <v>9498</v>
      </c>
      <c r="B4893" s="34" t="s">
        <v>9499</v>
      </c>
      <c r="C4893" s="34" t="s">
        <v>340</v>
      </c>
    </row>
    <row r="4894" customFormat="false" ht="127.5" hidden="false" customHeight="false" outlineLevel="0" collapsed="false">
      <c r="A4894" s="37" t="s">
        <v>9500</v>
      </c>
      <c r="B4894" s="34" t="s">
        <v>9501</v>
      </c>
      <c r="C4894" s="34" t="s">
        <v>360</v>
      </c>
    </row>
    <row r="4895" customFormat="false" ht="89.25" hidden="false" customHeight="false" outlineLevel="0" collapsed="false">
      <c r="A4895" s="37" t="s">
        <v>9502</v>
      </c>
      <c r="B4895" s="34" t="s">
        <v>9503</v>
      </c>
      <c r="C4895" s="34" t="s">
        <v>1762</v>
      </c>
    </row>
    <row r="4896" customFormat="false" ht="63.75" hidden="false" customHeight="false" outlineLevel="0" collapsed="false">
      <c r="A4896" s="37" t="s">
        <v>9504</v>
      </c>
      <c r="B4896" s="34" t="s">
        <v>9505</v>
      </c>
      <c r="C4896" s="34" t="s">
        <v>139</v>
      </c>
    </row>
    <row r="4897" customFormat="false" ht="63.75" hidden="false" customHeight="false" outlineLevel="0" collapsed="false">
      <c r="A4897" s="37" t="s">
        <v>9506</v>
      </c>
      <c r="B4897" s="34" t="s">
        <v>9507</v>
      </c>
      <c r="C4897" s="34" t="s">
        <v>139</v>
      </c>
    </row>
    <row r="4898" customFormat="false" ht="63.75" hidden="false" customHeight="false" outlineLevel="0" collapsed="false">
      <c r="A4898" s="37" t="s">
        <v>9508</v>
      </c>
      <c r="B4898" s="34" t="s">
        <v>9509</v>
      </c>
      <c r="C4898" s="34" t="s">
        <v>139</v>
      </c>
    </row>
    <row r="4899" customFormat="false" ht="38.25" hidden="false" customHeight="false" outlineLevel="0" collapsed="false">
      <c r="A4899" s="37" t="s">
        <v>9510</v>
      </c>
      <c r="B4899" s="34" t="s">
        <v>9511</v>
      </c>
      <c r="C4899" s="34" t="s">
        <v>965</v>
      </c>
    </row>
    <row r="4900" customFormat="false" ht="25.5" hidden="false" customHeight="false" outlineLevel="0" collapsed="false">
      <c r="A4900" s="37" t="s">
        <v>9512</v>
      </c>
      <c r="B4900" s="34" t="s">
        <v>9513</v>
      </c>
      <c r="C4900" s="34" t="s">
        <v>965</v>
      </c>
    </row>
    <row r="4901" customFormat="false" ht="63.75" hidden="false" customHeight="false" outlineLevel="0" collapsed="false">
      <c r="A4901" s="37" t="s">
        <v>9514</v>
      </c>
      <c r="B4901" s="34" t="s">
        <v>9515</v>
      </c>
      <c r="C4901" s="34" t="s">
        <v>1142</v>
      </c>
    </row>
    <row r="4902" customFormat="false" ht="63.75" hidden="false" customHeight="false" outlineLevel="0" collapsed="false">
      <c r="A4902" s="37" t="s">
        <v>9516</v>
      </c>
      <c r="B4902" s="34" t="s">
        <v>9517</v>
      </c>
      <c r="C4902" s="34" t="s">
        <v>1142</v>
      </c>
    </row>
    <row r="4903" customFormat="false" ht="63.75" hidden="false" customHeight="false" outlineLevel="0" collapsed="false">
      <c r="A4903" s="37" t="s">
        <v>9518</v>
      </c>
      <c r="B4903" s="34" t="s">
        <v>9519</v>
      </c>
      <c r="C4903" s="34" t="s">
        <v>1142</v>
      </c>
    </row>
    <row r="4904" customFormat="false" ht="63.75" hidden="false" customHeight="false" outlineLevel="0" collapsed="false">
      <c r="A4904" s="37" t="s">
        <v>9520</v>
      </c>
      <c r="B4904" s="34" t="s">
        <v>9521</v>
      </c>
      <c r="C4904" s="34" t="s">
        <v>1142</v>
      </c>
    </row>
    <row r="4905" customFormat="false" ht="63.75" hidden="false" customHeight="false" outlineLevel="0" collapsed="false">
      <c r="A4905" s="37" t="s">
        <v>9522</v>
      </c>
      <c r="B4905" s="34" t="s">
        <v>9523</v>
      </c>
      <c r="C4905" s="34" t="s">
        <v>1142</v>
      </c>
    </row>
    <row r="4906" customFormat="false" ht="89.25" hidden="false" customHeight="false" outlineLevel="0" collapsed="false">
      <c r="A4906" s="37" t="s">
        <v>9524</v>
      </c>
      <c r="B4906" s="34" t="s">
        <v>9525</v>
      </c>
      <c r="C4906" s="34" t="s">
        <v>1198</v>
      </c>
    </row>
    <row r="4907" customFormat="false" ht="89.25" hidden="false" customHeight="false" outlineLevel="0" collapsed="false">
      <c r="A4907" s="37" t="s">
        <v>9526</v>
      </c>
      <c r="B4907" s="34" t="s">
        <v>9527</v>
      </c>
      <c r="C4907" s="34" t="s">
        <v>1198</v>
      </c>
    </row>
    <row r="4908" customFormat="false" ht="89.25" hidden="false" customHeight="false" outlineLevel="0" collapsed="false">
      <c r="A4908" s="37" t="s">
        <v>9528</v>
      </c>
      <c r="B4908" s="34" t="s">
        <v>9529</v>
      </c>
      <c r="C4908" s="34" t="s">
        <v>1198</v>
      </c>
    </row>
    <row r="4909" customFormat="false" ht="89.25" hidden="false" customHeight="false" outlineLevel="0" collapsed="false">
      <c r="A4909" s="37" t="s">
        <v>9530</v>
      </c>
      <c r="B4909" s="34" t="s">
        <v>9531</v>
      </c>
      <c r="C4909" s="34" t="s">
        <v>1198</v>
      </c>
    </row>
    <row r="4910" customFormat="false" ht="89.25" hidden="false" customHeight="false" outlineLevel="0" collapsed="false">
      <c r="A4910" s="37" t="s">
        <v>9532</v>
      </c>
      <c r="B4910" s="34" t="s">
        <v>9533</v>
      </c>
      <c r="C4910" s="34" t="s">
        <v>1198</v>
      </c>
    </row>
    <row r="4911" customFormat="false" ht="89.25" hidden="false" customHeight="false" outlineLevel="0" collapsed="false">
      <c r="A4911" s="37" t="s">
        <v>9534</v>
      </c>
      <c r="B4911" s="34" t="s">
        <v>9535</v>
      </c>
      <c r="C4911" s="34" t="s">
        <v>1198</v>
      </c>
    </row>
    <row r="4912" customFormat="false" ht="89.25" hidden="false" customHeight="false" outlineLevel="0" collapsed="false">
      <c r="A4912" s="37" t="s">
        <v>9536</v>
      </c>
      <c r="B4912" s="34" t="s">
        <v>9537</v>
      </c>
      <c r="C4912" s="34" t="s">
        <v>1198</v>
      </c>
    </row>
    <row r="4913" customFormat="false" ht="89.25" hidden="false" customHeight="false" outlineLevel="0" collapsed="false">
      <c r="A4913" s="37" t="s">
        <v>9538</v>
      </c>
      <c r="B4913" s="34" t="s">
        <v>9539</v>
      </c>
      <c r="C4913" s="34" t="s">
        <v>1198</v>
      </c>
    </row>
    <row r="4914" customFormat="false" ht="102" hidden="false" customHeight="false" outlineLevel="0" collapsed="false">
      <c r="A4914" s="37" t="s">
        <v>9540</v>
      </c>
      <c r="B4914" s="34" t="s">
        <v>9541</v>
      </c>
      <c r="C4914" s="34" t="s">
        <v>1215</v>
      </c>
    </row>
    <row r="4915" customFormat="false" ht="38.25" hidden="false" customHeight="false" outlineLevel="0" collapsed="false">
      <c r="A4915" s="37" t="s">
        <v>9542</v>
      </c>
      <c r="B4915" s="34" t="s">
        <v>9543</v>
      </c>
      <c r="C4915" s="34" t="s">
        <v>965</v>
      </c>
    </row>
    <row r="4916" customFormat="false" ht="63.75" hidden="false" customHeight="false" outlineLevel="0" collapsed="false">
      <c r="A4916" s="37" t="s">
        <v>9544</v>
      </c>
      <c r="B4916" s="34" t="s">
        <v>9545</v>
      </c>
      <c r="C4916" s="34" t="s">
        <v>139</v>
      </c>
    </row>
    <row r="4917" customFormat="false" ht="63.75" hidden="false" customHeight="false" outlineLevel="0" collapsed="false">
      <c r="A4917" s="37" t="s">
        <v>9546</v>
      </c>
      <c r="B4917" s="34" t="s">
        <v>9547</v>
      </c>
      <c r="C4917" s="34" t="s">
        <v>139</v>
      </c>
    </row>
    <row r="4918" customFormat="false" ht="63.75" hidden="false" customHeight="false" outlineLevel="0" collapsed="false">
      <c r="A4918" s="37" t="s">
        <v>9548</v>
      </c>
      <c r="B4918" s="34" t="s">
        <v>9549</v>
      </c>
      <c r="C4918" s="34" t="s">
        <v>139</v>
      </c>
    </row>
    <row r="4919" customFormat="false" ht="89.25" hidden="false" customHeight="false" outlineLevel="0" collapsed="false">
      <c r="A4919" s="37" t="s">
        <v>9550</v>
      </c>
      <c r="B4919" s="34" t="s">
        <v>9551</v>
      </c>
      <c r="C4919" s="34" t="s">
        <v>122</v>
      </c>
    </row>
    <row r="4920" customFormat="false" ht="89.25" hidden="false" customHeight="false" outlineLevel="0" collapsed="false">
      <c r="A4920" s="37" t="s">
        <v>9552</v>
      </c>
      <c r="B4920" s="34" t="s">
        <v>9553</v>
      </c>
      <c r="C4920" s="34" t="s">
        <v>122</v>
      </c>
    </row>
    <row r="4921" customFormat="false" ht="89.25" hidden="false" customHeight="false" outlineLevel="0" collapsed="false">
      <c r="A4921" s="37" t="s">
        <v>9554</v>
      </c>
      <c r="B4921" s="34" t="s">
        <v>9555</v>
      </c>
      <c r="C4921" s="34" t="s">
        <v>122</v>
      </c>
    </row>
    <row r="4922" customFormat="false" ht="89.25" hidden="false" customHeight="false" outlineLevel="0" collapsed="false">
      <c r="A4922" s="37" t="s">
        <v>9556</v>
      </c>
      <c r="B4922" s="34" t="s">
        <v>9078</v>
      </c>
      <c r="C4922" s="34" t="s">
        <v>122</v>
      </c>
    </row>
    <row r="4923" customFormat="false" ht="89.25" hidden="false" customHeight="false" outlineLevel="0" collapsed="false">
      <c r="A4923" s="37" t="s">
        <v>9557</v>
      </c>
      <c r="B4923" s="34" t="s">
        <v>9558</v>
      </c>
      <c r="C4923" s="34" t="s">
        <v>122</v>
      </c>
    </row>
    <row r="4924" customFormat="false" ht="51" hidden="false" customHeight="false" outlineLevel="0" collapsed="false">
      <c r="A4924" s="37" t="s">
        <v>9559</v>
      </c>
      <c r="B4924" s="34" t="s">
        <v>9560</v>
      </c>
      <c r="C4924" s="34" t="s">
        <v>437</v>
      </c>
    </row>
    <row r="4925" customFormat="false" ht="51" hidden="false" customHeight="false" outlineLevel="0" collapsed="false">
      <c r="A4925" s="37" t="s">
        <v>9561</v>
      </c>
      <c r="B4925" s="34" t="s">
        <v>9562</v>
      </c>
      <c r="C4925" s="34" t="s">
        <v>437</v>
      </c>
    </row>
    <row r="4926" customFormat="false" ht="51" hidden="false" customHeight="false" outlineLevel="0" collapsed="false">
      <c r="A4926" s="37" t="s">
        <v>9563</v>
      </c>
      <c r="B4926" s="34" t="s">
        <v>9564</v>
      </c>
      <c r="C4926" s="34" t="s">
        <v>437</v>
      </c>
    </row>
    <row r="4927" customFormat="false" ht="89.25" hidden="false" customHeight="false" outlineLevel="0" collapsed="false">
      <c r="A4927" s="37" t="s">
        <v>9565</v>
      </c>
      <c r="B4927" s="34" t="s">
        <v>9566</v>
      </c>
      <c r="C4927" s="34" t="s">
        <v>444</v>
      </c>
    </row>
    <row r="4928" customFormat="false" ht="89.25" hidden="false" customHeight="false" outlineLevel="0" collapsed="false">
      <c r="A4928" s="37" t="s">
        <v>9567</v>
      </c>
      <c r="B4928" s="34" t="s">
        <v>9568</v>
      </c>
      <c r="C4928" s="34" t="s">
        <v>444</v>
      </c>
    </row>
    <row r="4929" customFormat="false" ht="89.25" hidden="false" customHeight="false" outlineLevel="0" collapsed="false">
      <c r="A4929" s="37" t="s">
        <v>9569</v>
      </c>
      <c r="B4929" s="34" t="s">
        <v>9570</v>
      </c>
      <c r="C4929" s="34" t="s">
        <v>449</v>
      </c>
    </row>
    <row r="4930" customFormat="false" ht="89.25" hidden="false" customHeight="false" outlineLevel="0" collapsed="false">
      <c r="A4930" s="37" t="s">
        <v>9571</v>
      </c>
      <c r="B4930" s="34" t="s">
        <v>9572</v>
      </c>
      <c r="C4930" s="34" t="s">
        <v>449</v>
      </c>
    </row>
    <row r="4931" customFormat="false" ht="63.75" hidden="false" customHeight="false" outlineLevel="0" collapsed="false">
      <c r="A4931" s="37" t="s">
        <v>9573</v>
      </c>
      <c r="B4931" s="34" t="s">
        <v>9574</v>
      </c>
      <c r="C4931" s="34" t="s">
        <v>452</v>
      </c>
    </row>
    <row r="4932" customFormat="false" ht="76.5" hidden="false" customHeight="false" outlineLevel="0" collapsed="false">
      <c r="A4932" s="37" t="s">
        <v>9575</v>
      </c>
      <c r="B4932" s="34" t="s">
        <v>9576</v>
      </c>
      <c r="C4932" s="34" t="s">
        <v>2036</v>
      </c>
    </row>
    <row r="4933" customFormat="false" ht="38.25" hidden="false" customHeight="false" outlineLevel="0" collapsed="false">
      <c r="A4933" s="37" t="s">
        <v>9577</v>
      </c>
      <c r="B4933" s="34" t="s">
        <v>9578</v>
      </c>
      <c r="C4933" s="34" t="s">
        <v>965</v>
      </c>
    </row>
    <row r="4934" customFormat="false" ht="63.75" hidden="false" customHeight="false" outlineLevel="0" collapsed="false">
      <c r="A4934" s="37" t="s">
        <v>9579</v>
      </c>
      <c r="B4934" s="34" t="s">
        <v>9580</v>
      </c>
      <c r="C4934" s="34" t="s">
        <v>139</v>
      </c>
    </row>
    <row r="4935" customFormat="false" ht="63.75" hidden="false" customHeight="false" outlineLevel="0" collapsed="false">
      <c r="A4935" s="37" t="s">
        <v>9581</v>
      </c>
      <c r="B4935" s="34" t="s">
        <v>9582</v>
      </c>
      <c r="C4935" s="34" t="s">
        <v>139</v>
      </c>
    </row>
    <row r="4936" customFormat="false" ht="63.75" hidden="false" customHeight="false" outlineLevel="0" collapsed="false">
      <c r="A4936" s="37" t="s">
        <v>9583</v>
      </c>
      <c r="B4936" s="34" t="s">
        <v>9584</v>
      </c>
      <c r="C4936" s="34" t="s">
        <v>139</v>
      </c>
    </row>
    <row r="4937" customFormat="false" ht="38.25" hidden="false" customHeight="false" outlineLevel="0" collapsed="false">
      <c r="A4937" s="37" t="s">
        <v>9585</v>
      </c>
      <c r="B4937" s="34" t="s">
        <v>9586</v>
      </c>
      <c r="C4937" s="34" t="s">
        <v>463</v>
      </c>
    </row>
    <row r="4938" customFormat="false" ht="38.25" hidden="false" customHeight="false" outlineLevel="0" collapsed="false">
      <c r="A4938" s="37" t="s">
        <v>9587</v>
      </c>
      <c r="B4938" s="34" t="s">
        <v>9588</v>
      </c>
      <c r="C4938" s="34" t="s">
        <v>466</v>
      </c>
    </row>
    <row r="4939" customFormat="false" ht="38.25" hidden="false" customHeight="false" outlineLevel="0" collapsed="false">
      <c r="A4939" s="37" t="s">
        <v>9589</v>
      </c>
      <c r="B4939" s="34" t="s">
        <v>9590</v>
      </c>
      <c r="C4939" s="34" t="s">
        <v>469</v>
      </c>
    </row>
    <row r="4940" customFormat="false" ht="38.25" hidden="false" customHeight="false" outlineLevel="0" collapsed="false">
      <c r="A4940" s="37" t="s">
        <v>9591</v>
      </c>
      <c r="B4940" s="34" t="s">
        <v>9592</v>
      </c>
      <c r="C4940" s="34" t="s">
        <v>472</v>
      </c>
    </row>
    <row r="4941" customFormat="false" ht="38.25" hidden="false" customHeight="false" outlineLevel="0" collapsed="false">
      <c r="A4941" s="37" t="s">
        <v>9593</v>
      </c>
      <c r="B4941" s="34" t="s">
        <v>9594</v>
      </c>
      <c r="C4941" s="34" t="s">
        <v>475</v>
      </c>
    </row>
    <row r="4942" customFormat="false" ht="38.25" hidden="false" customHeight="false" outlineLevel="0" collapsed="false">
      <c r="A4942" s="37" t="s">
        <v>9595</v>
      </c>
      <c r="B4942" s="34" t="s">
        <v>9596</v>
      </c>
      <c r="C4942" s="34" t="s">
        <v>478</v>
      </c>
    </row>
    <row r="4943" customFormat="false" ht="38.25" hidden="false" customHeight="false" outlineLevel="0" collapsed="false">
      <c r="A4943" s="37" t="s">
        <v>9597</v>
      </c>
      <c r="B4943" s="34" t="s">
        <v>9598</v>
      </c>
      <c r="C4943" s="34" t="s">
        <v>481</v>
      </c>
    </row>
    <row r="4944" customFormat="false" ht="38.25" hidden="false" customHeight="false" outlineLevel="0" collapsed="false">
      <c r="A4944" s="37" t="s">
        <v>9599</v>
      </c>
      <c r="B4944" s="34" t="s">
        <v>9600</v>
      </c>
      <c r="C4944" s="34" t="s">
        <v>484</v>
      </c>
    </row>
    <row r="4945" customFormat="false" ht="38.25" hidden="false" customHeight="false" outlineLevel="0" collapsed="false">
      <c r="A4945" s="37" t="s">
        <v>9601</v>
      </c>
      <c r="B4945" s="34" t="s">
        <v>9602</v>
      </c>
      <c r="C4945" s="34" t="s">
        <v>487</v>
      </c>
    </row>
    <row r="4946" customFormat="false" ht="38.25" hidden="false" customHeight="false" outlineLevel="0" collapsed="false">
      <c r="A4946" s="37" t="s">
        <v>9603</v>
      </c>
      <c r="B4946" s="34" t="s">
        <v>9604</v>
      </c>
      <c r="C4946" s="34" t="s">
        <v>490</v>
      </c>
    </row>
    <row r="4947" customFormat="false" ht="38.25" hidden="false" customHeight="false" outlineLevel="0" collapsed="false">
      <c r="A4947" s="37" t="s">
        <v>9605</v>
      </c>
      <c r="B4947" s="34" t="s">
        <v>9606</v>
      </c>
      <c r="C4947" s="34" t="s">
        <v>493</v>
      </c>
    </row>
    <row r="4948" customFormat="false" ht="38.25" hidden="false" customHeight="false" outlineLevel="0" collapsed="false">
      <c r="A4948" s="37" t="s">
        <v>9607</v>
      </c>
      <c r="B4948" s="34" t="s">
        <v>9608</v>
      </c>
      <c r="C4948" s="34" t="s">
        <v>496</v>
      </c>
    </row>
    <row r="4949" customFormat="false" ht="38.25" hidden="false" customHeight="false" outlineLevel="0" collapsed="false">
      <c r="A4949" s="37" t="s">
        <v>9609</v>
      </c>
      <c r="B4949" s="34" t="s">
        <v>9610</v>
      </c>
      <c r="C4949" s="34" t="s">
        <v>499</v>
      </c>
    </row>
    <row r="4950" customFormat="false" ht="38.25" hidden="false" customHeight="false" outlineLevel="0" collapsed="false">
      <c r="A4950" s="37" t="s">
        <v>9611</v>
      </c>
      <c r="B4950" s="34" t="s">
        <v>9612</v>
      </c>
      <c r="C4950" s="34" t="s">
        <v>502</v>
      </c>
    </row>
    <row r="4951" customFormat="false" ht="38.25" hidden="false" customHeight="false" outlineLevel="0" collapsed="false">
      <c r="A4951" s="37" t="s">
        <v>9613</v>
      </c>
      <c r="B4951" s="34" t="s">
        <v>9614</v>
      </c>
      <c r="C4951" s="34" t="s">
        <v>505</v>
      </c>
    </row>
    <row r="4952" customFormat="false" ht="51" hidden="false" customHeight="false" outlineLevel="0" collapsed="false">
      <c r="A4952" s="37" t="s">
        <v>9615</v>
      </c>
      <c r="B4952" s="34" t="s">
        <v>9616</v>
      </c>
      <c r="C4952" s="34" t="s">
        <v>508</v>
      </c>
    </row>
    <row r="4953" customFormat="false" ht="51" hidden="false" customHeight="false" outlineLevel="0" collapsed="false">
      <c r="A4953" s="37" t="s">
        <v>9617</v>
      </c>
      <c r="B4953" s="34" t="s">
        <v>9618</v>
      </c>
      <c r="C4953" s="34" t="s">
        <v>511</v>
      </c>
    </row>
    <row r="4954" customFormat="false" ht="51" hidden="false" customHeight="false" outlineLevel="0" collapsed="false">
      <c r="A4954" s="37" t="s">
        <v>9619</v>
      </c>
      <c r="B4954" s="34" t="s">
        <v>9620</v>
      </c>
      <c r="C4954" s="34" t="s">
        <v>514</v>
      </c>
    </row>
    <row r="4955" customFormat="false" ht="51" hidden="false" customHeight="false" outlineLevel="0" collapsed="false">
      <c r="A4955" s="37" t="s">
        <v>9621</v>
      </c>
      <c r="B4955" s="34" t="s">
        <v>9622</v>
      </c>
      <c r="C4955" s="34" t="s">
        <v>517</v>
      </c>
    </row>
    <row r="4956" customFormat="false" ht="51" hidden="false" customHeight="false" outlineLevel="0" collapsed="false">
      <c r="A4956" s="37" t="s">
        <v>9623</v>
      </c>
      <c r="B4956" s="34" t="s">
        <v>9624</v>
      </c>
      <c r="C4956" s="34" t="s">
        <v>517</v>
      </c>
    </row>
    <row r="4957" customFormat="false" ht="51" hidden="false" customHeight="false" outlineLevel="0" collapsed="false">
      <c r="A4957" s="37" t="s">
        <v>9625</v>
      </c>
      <c r="B4957" s="34" t="s">
        <v>9626</v>
      </c>
      <c r="C4957" s="34" t="s">
        <v>517</v>
      </c>
    </row>
    <row r="4958" customFormat="false" ht="51" hidden="false" customHeight="false" outlineLevel="0" collapsed="false">
      <c r="A4958" s="37" t="s">
        <v>9627</v>
      </c>
      <c r="B4958" s="34" t="s">
        <v>9628</v>
      </c>
      <c r="C4958" s="34" t="s">
        <v>517</v>
      </c>
    </row>
    <row r="4959" customFormat="false" ht="51" hidden="false" customHeight="false" outlineLevel="0" collapsed="false">
      <c r="A4959" s="37" t="s">
        <v>9629</v>
      </c>
      <c r="B4959" s="34" t="s">
        <v>9630</v>
      </c>
      <c r="C4959" s="34" t="s">
        <v>511</v>
      </c>
    </row>
    <row r="4960" customFormat="false" ht="51" hidden="false" customHeight="false" outlineLevel="0" collapsed="false">
      <c r="A4960" s="37" t="s">
        <v>9631</v>
      </c>
      <c r="B4960" s="34" t="s">
        <v>9632</v>
      </c>
      <c r="C4960" s="34" t="s">
        <v>511</v>
      </c>
    </row>
    <row r="4961" customFormat="false" ht="51" hidden="false" customHeight="false" outlineLevel="0" collapsed="false">
      <c r="A4961" s="37" t="s">
        <v>9633</v>
      </c>
      <c r="B4961" s="34" t="s">
        <v>9634</v>
      </c>
      <c r="C4961" s="34" t="s">
        <v>511</v>
      </c>
    </row>
    <row r="4962" customFormat="false" ht="51" hidden="false" customHeight="false" outlineLevel="0" collapsed="false">
      <c r="A4962" s="37" t="s">
        <v>9635</v>
      </c>
      <c r="B4962" s="34" t="s">
        <v>9636</v>
      </c>
      <c r="C4962" s="34" t="s">
        <v>511</v>
      </c>
    </row>
    <row r="4963" customFormat="false" ht="51" hidden="false" customHeight="false" outlineLevel="0" collapsed="false">
      <c r="A4963" s="37" t="s">
        <v>9637</v>
      </c>
      <c r="B4963" s="34" t="s">
        <v>9638</v>
      </c>
      <c r="C4963" s="34" t="s">
        <v>511</v>
      </c>
    </row>
    <row r="4964" customFormat="false" ht="51" hidden="false" customHeight="false" outlineLevel="0" collapsed="false">
      <c r="A4964" s="37" t="s">
        <v>9639</v>
      </c>
      <c r="B4964" s="34" t="s">
        <v>9640</v>
      </c>
      <c r="C4964" s="34" t="s">
        <v>511</v>
      </c>
    </row>
    <row r="4965" customFormat="false" ht="51" hidden="false" customHeight="false" outlineLevel="0" collapsed="false">
      <c r="A4965" s="37" t="s">
        <v>9641</v>
      </c>
      <c r="B4965" s="34" t="s">
        <v>9642</v>
      </c>
      <c r="C4965" s="34" t="s">
        <v>511</v>
      </c>
    </row>
    <row r="4966" customFormat="false" ht="51" hidden="false" customHeight="false" outlineLevel="0" collapsed="false">
      <c r="A4966" s="37" t="s">
        <v>9643</v>
      </c>
      <c r="B4966" s="34" t="s">
        <v>9644</v>
      </c>
      <c r="C4966" s="34" t="s">
        <v>511</v>
      </c>
    </row>
    <row r="4967" customFormat="false" ht="51" hidden="false" customHeight="false" outlineLevel="0" collapsed="false">
      <c r="A4967" s="37" t="s">
        <v>9645</v>
      </c>
      <c r="B4967" s="34" t="s">
        <v>9646</v>
      </c>
      <c r="C4967" s="34" t="s">
        <v>511</v>
      </c>
    </row>
    <row r="4968" customFormat="false" ht="51" hidden="false" customHeight="false" outlineLevel="0" collapsed="false">
      <c r="A4968" s="37" t="s">
        <v>9647</v>
      </c>
      <c r="B4968" s="34" t="s">
        <v>9648</v>
      </c>
      <c r="C4968" s="34" t="s">
        <v>511</v>
      </c>
    </row>
    <row r="4969" customFormat="false" ht="51" hidden="false" customHeight="false" outlineLevel="0" collapsed="false">
      <c r="A4969" s="37" t="s">
        <v>9649</v>
      </c>
      <c r="B4969" s="34" t="s">
        <v>9650</v>
      </c>
      <c r="C4969" s="34" t="s">
        <v>546</v>
      </c>
    </row>
    <row r="4970" customFormat="false" ht="51" hidden="false" customHeight="false" outlineLevel="0" collapsed="false">
      <c r="A4970" s="37" t="s">
        <v>9651</v>
      </c>
      <c r="B4970" s="34" t="s">
        <v>9652</v>
      </c>
      <c r="C4970" s="34" t="s">
        <v>546</v>
      </c>
    </row>
    <row r="4971" customFormat="false" ht="51" hidden="false" customHeight="false" outlineLevel="0" collapsed="false">
      <c r="A4971" s="37" t="s">
        <v>9653</v>
      </c>
      <c r="B4971" s="34" t="s">
        <v>9654</v>
      </c>
      <c r="C4971" s="34" t="s">
        <v>546</v>
      </c>
    </row>
    <row r="4972" customFormat="false" ht="51" hidden="false" customHeight="false" outlineLevel="0" collapsed="false">
      <c r="A4972" s="37" t="s">
        <v>9655</v>
      </c>
      <c r="B4972" s="34" t="s">
        <v>9656</v>
      </c>
      <c r="C4972" s="34" t="s">
        <v>546</v>
      </c>
    </row>
    <row r="4973" customFormat="false" ht="51" hidden="false" customHeight="false" outlineLevel="0" collapsed="false">
      <c r="A4973" s="37" t="s">
        <v>9657</v>
      </c>
      <c r="B4973" s="34" t="s">
        <v>9658</v>
      </c>
      <c r="C4973" s="34" t="s">
        <v>546</v>
      </c>
    </row>
    <row r="4974" customFormat="false" ht="51" hidden="false" customHeight="false" outlineLevel="0" collapsed="false">
      <c r="A4974" s="37" t="s">
        <v>9659</v>
      </c>
      <c r="B4974" s="34" t="s">
        <v>9660</v>
      </c>
      <c r="C4974" s="34" t="s">
        <v>546</v>
      </c>
    </row>
    <row r="4975" customFormat="false" ht="51" hidden="false" customHeight="false" outlineLevel="0" collapsed="false">
      <c r="A4975" s="37" t="s">
        <v>9661</v>
      </c>
      <c r="B4975" s="34" t="s">
        <v>9662</v>
      </c>
      <c r="C4975" s="34" t="s">
        <v>546</v>
      </c>
    </row>
    <row r="4976" customFormat="false" ht="63.75" hidden="false" customHeight="false" outlineLevel="0" collapsed="false">
      <c r="A4976" s="37" t="s">
        <v>9663</v>
      </c>
      <c r="B4976" s="34" t="s">
        <v>9664</v>
      </c>
      <c r="C4976" s="34" t="s">
        <v>561</v>
      </c>
    </row>
    <row r="4977" customFormat="false" ht="63.75" hidden="false" customHeight="false" outlineLevel="0" collapsed="false">
      <c r="A4977" s="37" t="s">
        <v>9665</v>
      </c>
      <c r="B4977" s="34" t="s">
        <v>9666</v>
      </c>
      <c r="C4977" s="34" t="s">
        <v>561</v>
      </c>
    </row>
    <row r="4978" customFormat="false" ht="89.25" hidden="false" customHeight="false" outlineLevel="0" collapsed="false">
      <c r="A4978" s="37" t="s">
        <v>9667</v>
      </c>
      <c r="B4978" s="34" t="s">
        <v>9668</v>
      </c>
      <c r="C4978" s="34" t="s">
        <v>566</v>
      </c>
    </row>
    <row r="4979" customFormat="false" ht="63.75" hidden="false" customHeight="false" outlineLevel="0" collapsed="false">
      <c r="A4979" s="37" t="s">
        <v>9669</v>
      </c>
      <c r="B4979" s="34" t="s">
        <v>9670</v>
      </c>
      <c r="C4979" s="34" t="s">
        <v>561</v>
      </c>
    </row>
    <row r="4980" customFormat="false" ht="63.75" hidden="false" customHeight="false" outlineLevel="0" collapsed="false">
      <c r="A4980" s="37" t="s">
        <v>9671</v>
      </c>
      <c r="B4980" s="34" t="s">
        <v>8882</v>
      </c>
      <c r="C4980" s="34" t="s">
        <v>571</v>
      </c>
    </row>
    <row r="4981" customFormat="false" ht="89.25" hidden="false" customHeight="false" outlineLevel="0" collapsed="false">
      <c r="A4981" s="37" t="s">
        <v>9672</v>
      </c>
      <c r="B4981" s="34" t="s">
        <v>9673</v>
      </c>
      <c r="C4981" s="34" t="s">
        <v>574</v>
      </c>
    </row>
    <row r="4982" customFormat="false" ht="89.25" hidden="false" customHeight="false" outlineLevel="0" collapsed="false">
      <c r="A4982" s="37" t="s">
        <v>9674</v>
      </c>
      <c r="B4982" s="34" t="s">
        <v>9675</v>
      </c>
      <c r="C4982" s="34" t="s">
        <v>574</v>
      </c>
    </row>
    <row r="4983" customFormat="false" ht="89.25" hidden="false" customHeight="false" outlineLevel="0" collapsed="false">
      <c r="A4983" s="37" t="s">
        <v>9676</v>
      </c>
      <c r="B4983" s="34" t="s">
        <v>9677</v>
      </c>
      <c r="C4983" s="34" t="s">
        <v>574</v>
      </c>
    </row>
    <row r="4984" customFormat="false" ht="89.25" hidden="false" customHeight="false" outlineLevel="0" collapsed="false">
      <c r="A4984" s="37" t="s">
        <v>9678</v>
      </c>
      <c r="B4984" s="34" t="s">
        <v>9679</v>
      </c>
      <c r="C4984" s="34" t="s">
        <v>574</v>
      </c>
    </row>
    <row r="4985" customFormat="false" ht="89.25" hidden="false" customHeight="false" outlineLevel="0" collapsed="false">
      <c r="A4985" s="37" t="s">
        <v>9680</v>
      </c>
      <c r="B4985" s="34" t="s">
        <v>9681</v>
      </c>
      <c r="C4985" s="34" t="s">
        <v>574</v>
      </c>
    </row>
    <row r="4986" customFormat="false" ht="63.75" hidden="false" customHeight="false" outlineLevel="0" collapsed="false">
      <c r="A4986" s="37" t="s">
        <v>9682</v>
      </c>
      <c r="B4986" s="34" t="s">
        <v>9683</v>
      </c>
      <c r="C4986" s="34" t="s">
        <v>585</v>
      </c>
    </row>
    <row r="4987" customFormat="false" ht="63.75" hidden="false" customHeight="false" outlineLevel="0" collapsed="false">
      <c r="A4987" s="37" t="s">
        <v>9684</v>
      </c>
      <c r="B4987" s="34" t="s">
        <v>9685</v>
      </c>
      <c r="C4987" s="34" t="s">
        <v>588</v>
      </c>
    </row>
    <row r="4988" customFormat="false" ht="51" hidden="false" customHeight="false" outlineLevel="0" collapsed="false">
      <c r="A4988" s="37" t="s">
        <v>9686</v>
      </c>
      <c r="B4988" s="34" t="s">
        <v>9687</v>
      </c>
      <c r="C4988" s="34" t="s">
        <v>546</v>
      </c>
    </row>
    <row r="4989" customFormat="false" ht="51" hidden="false" customHeight="false" outlineLevel="0" collapsed="false">
      <c r="A4989" s="37" t="s">
        <v>9688</v>
      </c>
      <c r="B4989" s="34" t="s">
        <v>9689</v>
      </c>
      <c r="C4989" s="34" t="s">
        <v>546</v>
      </c>
    </row>
    <row r="4990" customFormat="false" ht="51" hidden="false" customHeight="false" outlineLevel="0" collapsed="false">
      <c r="A4990" s="37" t="s">
        <v>9690</v>
      </c>
      <c r="B4990" s="34" t="s">
        <v>9691</v>
      </c>
      <c r="C4990" s="34" t="s">
        <v>546</v>
      </c>
    </row>
    <row r="4991" customFormat="false" ht="51" hidden="false" customHeight="false" outlineLevel="0" collapsed="false">
      <c r="A4991" s="37" t="s">
        <v>9692</v>
      </c>
      <c r="B4991" s="34" t="s">
        <v>9693</v>
      </c>
      <c r="C4991" s="34" t="s">
        <v>546</v>
      </c>
    </row>
    <row r="4992" customFormat="false" ht="51" hidden="false" customHeight="false" outlineLevel="0" collapsed="false">
      <c r="A4992" s="37" t="s">
        <v>9694</v>
      </c>
      <c r="B4992" s="34" t="s">
        <v>9695</v>
      </c>
      <c r="C4992" s="34" t="s">
        <v>546</v>
      </c>
    </row>
    <row r="4993" customFormat="false" ht="51" hidden="false" customHeight="false" outlineLevel="0" collapsed="false">
      <c r="A4993" s="37" t="s">
        <v>9696</v>
      </c>
      <c r="B4993" s="34" t="s">
        <v>9697</v>
      </c>
      <c r="C4993" s="34" t="s">
        <v>546</v>
      </c>
    </row>
    <row r="4994" customFormat="false" ht="51" hidden="false" customHeight="false" outlineLevel="0" collapsed="false">
      <c r="A4994" s="37" t="s">
        <v>9698</v>
      </c>
      <c r="B4994" s="34" t="s">
        <v>9699</v>
      </c>
      <c r="C4994" s="34" t="s">
        <v>546</v>
      </c>
    </row>
    <row r="4995" customFormat="false" ht="51" hidden="false" customHeight="false" outlineLevel="0" collapsed="false">
      <c r="A4995" s="37" t="s">
        <v>9700</v>
      </c>
      <c r="B4995" s="34" t="s">
        <v>9701</v>
      </c>
      <c r="C4995" s="34" t="s">
        <v>546</v>
      </c>
    </row>
    <row r="4996" customFormat="false" ht="51" hidden="false" customHeight="false" outlineLevel="0" collapsed="false">
      <c r="A4996" s="37" t="s">
        <v>9702</v>
      </c>
      <c r="B4996" s="34" t="s">
        <v>9703</v>
      </c>
      <c r="C4996" s="34" t="s">
        <v>546</v>
      </c>
    </row>
    <row r="4997" customFormat="false" ht="51" hidden="false" customHeight="false" outlineLevel="0" collapsed="false">
      <c r="A4997" s="37" t="s">
        <v>9704</v>
      </c>
      <c r="B4997" s="34" t="s">
        <v>9705</v>
      </c>
      <c r="C4997" s="34" t="s">
        <v>546</v>
      </c>
    </row>
    <row r="4998" customFormat="false" ht="51" hidden="false" customHeight="false" outlineLevel="0" collapsed="false">
      <c r="A4998" s="37" t="s">
        <v>9706</v>
      </c>
      <c r="B4998" s="34" t="s">
        <v>9707</v>
      </c>
      <c r="C4998" s="34" t="s">
        <v>546</v>
      </c>
    </row>
    <row r="4999" customFormat="false" ht="38.25" hidden="false" customHeight="false" outlineLevel="0" collapsed="false">
      <c r="A4999" s="37" t="s">
        <v>9708</v>
      </c>
      <c r="B4999" s="34" t="s">
        <v>9709</v>
      </c>
      <c r="C4999" s="34" t="s">
        <v>613</v>
      </c>
    </row>
    <row r="5000" customFormat="false" ht="51" hidden="false" customHeight="false" outlineLevel="0" collapsed="false">
      <c r="A5000" s="37" t="s">
        <v>9710</v>
      </c>
      <c r="B5000" s="34" t="s">
        <v>9711</v>
      </c>
      <c r="C5000" s="34" t="s">
        <v>546</v>
      </c>
    </row>
    <row r="5001" customFormat="false" ht="51" hidden="false" customHeight="false" outlineLevel="0" collapsed="false">
      <c r="A5001" s="37" t="s">
        <v>9712</v>
      </c>
      <c r="B5001" s="34" t="s">
        <v>9713</v>
      </c>
      <c r="C5001" s="34" t="s">
        <v>546</v>
      </c>
    </row>
    <row r="5002" customFormat="false" ht="51" hidden="false" customHeight="false" outlineLevel="0" collapsed="false">
      <c r="A5002" s="37" t="s">
        <v>9714</v>
      </c>
      <c r="B5002" s="34" t="s">
        <v>9715</v>
      </c>
      <c r="C5002" s="34" t="s">
        <v>546</v>
      </c>
    </row>
    <row r="5003" customFormat="false" ht="51" hidden="false" customHeight="false" outlineLevel="0" collapsed="false">
      <c r="A5003" s="37" t="s">
        <v>9716</v>
      </c>
      <c r="B5003" s="34" t="s">
        <v>9717</v>
      </c>
      <c r="C5003" s="34" t="s">
        <v>546</v>
      </c>
    </row>
    <row r="5004" customFormat="false" ht="51" hidden="false" customHeight="false" outlineLevel="0" collapsed="false">
      <c r="A5004" s="37" t="s">
        <v>9718</v>
      </c>
      <c r="B5004" s="34" t="s">
        <v>9719</v>
      </c>
      <c r="C5004" s="34" t="s">
        <v>546</v>
      </c>
    </row>
    <row r="5005" customFormat="false" ht="38.25" hidden="false" customHeight="false" outlineLevel="0" collapsed="false">
      <c r="A5005" s="37" t="s">
        <v>9720</v>
      </c>
      <c r="B5005" s="34" t="s">
        <v>9721</v>
      </c>
      <c r="C5005" s="34" t="s">
        <v>613</v>
      </c>
    </row>
    <row r="5006" customFormat="false" ht="51" hidden="false" customHeight="false" outlineLevel="0" collapsed="false">
      <c r="A5006" s="37" t="s">
        <v>9722</v>
      </c>
      <c r="B5006" s="34" t="s">
        <v>9723</v>
      </c>
      <c r="C5006" s="34" t="s">
        <v>546</v>
      </c>
    </row>
    <row r="5007" customFormat="false" ht="51" hidden="false" customHeight="false" outlineLevel="0" collapsed="false">
      <c r="A5007" s="37" t="s">
        <v>9724</v>
      </c>
      <c r="B5007" s="34" t="s">
        <v>9725</v>
      </c>
      <c r="C5007" s="34" t="s">
        <v>546</v>
      </c>
    </row>
    <row r="5008" customFormat="false" ht="51" hidden="false" customHeight="false" outlineLevel="0" collapsed="false">
      <c r="A5008" s="37" t="s">
        <v>9726</v>
      </c>
      <c r="B5008" s="34" t="s">
        <v>9727</v>
      </c>
      <c r="C5008" s="34" t="s">
        <v>546</v>
      </c>
    </row>
    <row r="5009" customFormat="false" ht="38.25" hidden="false" customHeight="false" outlineLevel="0" collapsed="false">
      <c r="A5009" s="37" t="s">
        <v>9728</v>
      </c>
      <c r="B5009" s="34" t="s">
        <v>9729</v>
      </c>
      <c r="C5009" s="34" t="s">
        <v>634</v>
      </c>
    </row>
    <row r="5010" customFormat="false" ht="38.25" hidden="false" customHeight="false" outlineLevel="0" collapsed="false">
      <c r="A5010" s="37" t="s">
        <v>9730</v>
      </c>
      <c r="B5010" s="34" t="s">
        <v>9731</v>
      </c>
      <c r="C5010" s="34" t="s">
        <v>637</v>
      </c>
    </row>
    <row r="5011" customFormat="false" ht="51" hidden="false" customHeight="false" outlineLevel="0" collapsed="false">
      <c r="A5011" s="37" t="s">
        <v>9732</v>
      </c>
      <c r="B5011" s="34" t="s">
        <v>9733</v>
      </c>
      <c r="C5011" s="34" t="s">
        <v>546</v>
      </c>
    </row>
    <row r="5012" customFormat="false" ht="51" hidden="false" customHeight="false" outlineLevel="0" collapsed="false">
      <c r="A5012" s="37" t="s">
        <v>9734</v>
      </c>
      <c r="B5012" s="34" t="s">
        <v>9735</v>
      </c>
      <c r="C5012" s="34" t="s">
        <v>546</v>
      </c>
    </row>
    <row r="5013" customFormat="false" ht="51" hidden="false" customHeight="false" outlineLevel="0" collapsed="false">
      <c r="A5013" s="37" t="s">
        <v>9736</v>
      </c>
      <c r="B5013" s="34" t="s">
        <v>9737</v>
      </c>
      <c r="C5013" s="34" t="s">
        <v>546</v>
      </c>
    </row>
    <row r="5014" customFormat="false" ht="63.75" hidden="false" customHeight="false" outlineLevel="0" collapsed="false">
      <c r="A5014" s="37" t="s">
        <v>9738</v>
      </c>
      <c r="B5014" s="34" t="s">
        <v>9739</v>
      </c>
      <c r="C5014" s="34" t="s">
        <v>139</v>
      </c>
    </row>
    <row r="5015" customFormat="false" ht="63.75" hidden="false" customHeight="false" outlineLevel="0" collapsed="false">
      <c r="A5015" s="37" t="s">
        <v>9740</v>
      </c>
      <c r="B5015" s="34" t="s">
        <v>9741</v>
      </c>
      <c r="C5015" s="34" t="s">
        <v>139</v>
      </c>
    </row>
    <row r="5016" customFormat="false" ht="63.75" hidden="false" customHeight="false" outlineLevel="0" collapsed="false">
      <c r="A5016" s="37" t="s">
        <v>9742</v>
      </c>
      <c r="B5016" s="34" t="s">
        <v>9743</v>
      </c>
      <c r="C5016" s="34" t="s">
        <v>139</v>
      </c>
    </row>
    <row r="5017" customFormat="false" ht="63.75" hidden="false" customHeight="false" outlineLevel="0" collapsed="false">
      <c r="A5017" s="37" t="s">
        <v>9744</v>
      </c>
      <c r="B5017" s="34" t="s">
        <v>9745</v>
      </c>
      <c r="C5017" s="34" t="s">
        <v>139</v>
      </c>
    </row>
    <row r="5018" customFormat="false" ht="63.75" hidden="false" customHeight="false" outlineLevel="0" collapsed="false">
      <c r="A5018" s="37" t="s">
        <v>9746</v>
      </c>
      <c r="B5018" s="34" t="s">
        <v>9747</v>
      </c>
      <c r="C5018" s="34" t="s">
        <v>139</v>
      </c>
    </row>
    <row r="5019" customFormat="false" ht="63.75" hidden="false" customHeight="false" outlineLevel="0" collapsed="false">
      <c r="A5019" s="37" t="s">
        <v>9748</v>
      </c>
      <c r="B5019" s="34" t="s">
        <v>9749</v>
      </c>
      <c r="C5019" s="34" t="s">
        <v>139</v>
      </c>
    </row>
    <row r="5020" customFormat="false" ht="63.75" hidden="false" customHeight="false" outlineLevel="0" collapsed="false">
      <c r="A5020" s="37" t="s">
        <v>9750</v>
      </c>
      <c r="B5020" s="34" t="s">
        <v>9751</v>
      </c>
      <c r="C5020" s="34" t="s">
        <v>139</v>
      </c>
    </row>
    <row r="5021" customFormat="false" ht="63.75" hidden="false" customHeight="false" outlineLevel="0" collapsed="false">
      <c r="A5021" s="37" t="s">
        <v>9752</v>
      </c>
      <c r="B5021" s="34" t="s">
        <v>9753</v>
      </c>
      <c r="C5021" s="34" t="s">
        <v>139</v>
      </c>
    </row>
    <row r="5022" customFormat="false" ht="102" hidden="false" customHeight="false" outlineLevel="0" collapsed="false">
      <c r="A5022" s="37" t="s">
        <v>9754</v>
      </c>
      <c r="B5022" s="34" t="s">
        <v>9755</v>
      </c>
      <c r="C5022" s="34" t="s">
        <v>2216</v>
      </c>
    </row>
    <row r="5023" customFormat="false" ht="102" hidden="false" customHeight="false" outlineLevel="0" collapsed="false">
      <c r="A5023" s="37" t="s">
        <v>9756</v>
      </c>
      <c r="B5023" s="34" t="s">
        <v>9757</v>
      </c>
      <c r="C5023" s="34" t="s">
        <v>2216</v>
      </c>
    </row>
    <row r="5024" customFormat="false" ht="89.25" hidden="false" customHeight="false" outlineLevel="0" collapsed="false">
      <c r="A5024" s="37" t="s">
        <v>9758</v>
      </c>
      <c r="B5024" s="34" t="s">
        <v>9759</v>
      </c>
      <c r="C5024" s="34" t="s">
        <v>1450</v>
      </c>
    </row>
    <row r="5025" customFormat="false" ht="76.5" hidden="false" customHeight="false" outlineLevel="0" collapsed="false">
      <c r="A5025" s="37" t="s">
        <v>9760</v>
      </c>
      <c r="B5025" s="34" t="s">
        <v>9761</v>
      </c>
      <c r="C5025" s="34" t="s">
        <v>2222</v>
      </c>
    </row>
    <row r="5026" customFormat="false" ht="63.75" hidden="false" customHeight="false" outlineLevel="0" collapsed="false">
      <c r="A5026" s="37" t="s">
        <v>9762</v>
      </c>
      <c r="B5026" s="34" t="s">
        <v>9763</v>
      </c>
      <c r="C5026" s="34" t="s">
        <v>139</v>
      </c>
    </row>
    <row r="5027" customFormat="false" ht="63.75" hidden="false" customHeight="false" outlineLevel="0" collapsed="false">
      <c r="A5027" s="37" t="s">
        <v>9764</v>
      </c>
      <c r="B5027" s="34" t="s">
        <v>9765</v>
      </c>
      <c r="C5027" s="34" t="s">
        <v>139</v>
      </c>
    </row>
    <row r="5028" customFormat="false" ht="63.75" hidden="false" customHeight="false" outlineLevel="0" collapsed="false">
      <c r="A5028" s="37" t="s">
        <v>9766</v>
      </c>
      <c r="B5028" s="34" t="s">
        <v>9767</v>
      </c>
      <c r="C5028" s="34" t="s">
        <v>139</v>
      </c>
    </row>
    <row r="5029" customFormat="false" ht="102" hidden="false" customHeight="false" outlineLevel="0" collapsed="false">
      <c r="A5029" s="37" t="s">
        <v>9768</v>
      </c>
      <c r="B5029" s="34" t="s">
        <v>9769</v>
      </c>
      <c r="C5029" s="34" t="s">
        <v>97</v>
      </c>
    </row>
    <row r="5030" customFormat="false" ht="102" hidden="false" customHeight="false" outlineLevel="0" collapsed="false">
      <c r="A5030" s="37" t="s">
        <v>9770</v>
      </c>
      <c r="B5030" s="34" t="s">
        <v>9771</v>
      </c>
      <c r="C5030" s="34" t="s">
        <v>97</v>
      </c>
    </row>
    <row r="5031" customFormat="false" ht="102" hidden="false" customHeight="false" outlineLevel="0" collapsed="false">
      <c r="A5031" s="37" t="s">
        <v>9772</v>
      </c>
      <c r="B5031" s="34" t="s">
        <v>9773</v>
      </c>
      <c r="C5031" s="34" t="s">
        <v>887</v>
      </c>
    </row>
    <row r="5032" customFormat="false" ht="114.75" hidden="false" customHeight="false" outlineLevel="0" collapsed="false">
      <c r="A5032" s="37" t="s">
        <v>9774</v>
      </c>
      <c r="B5032" s="34" t="s">
        <v>9775</v>
      </c>
      <c r="C5032" s="34" t="s">
        <v>849</v>
      </c>
    </row>
    <row r="5033" customFormat="false" ht="89.25" hidden="false" customHeight="false" outlineLevel="0" collapsed="false">
      <c r="A5033" s="37" t="s">
        <v>9776</v>
      </c>
      <c r="B5033" s="34" t="s">
        <v>9777</v>
      </c>
      <c r="C5033" s="34" t="s">
        <v>891</v>
      </c>
    </row>
    <row r="5034" customFormat="false" ht="114.75" hidden="false" customHeight="false" outlineLevel="0" collapsed="false">
      <c r="A5034" s="37" t="s">
        <v>9778</v>
      </c>
      <c r="B5034" s="34" t="s">
        <v>9779</v>
      </c>
      <c r="C5034" s="34" t="s">
        <v>849</v>
      </c>
    </row>
    <row r="5035" customFormat="false" ht="114.75" hidden="false" customHeight="false" outlineLevel="0" collapsed="false">
      <c r="A5035" s="37" t="s">
        <v>9778</v>
      </c>
      <c r="B5035" s="34" t="s">
        <v>9779</v>
      </c>
      <c r="C5035" s="34" t="s">
        <v>2241</v>
      </c>
    </row>
    <row r="5036" customFormat="false" ht="76.5" hidden="false" customHeight="false" outlineLevel="0" collapsed="false">
      <c r="A5036" s="37" t="s">
        <v>9780</v>
      </c>
      <c r="B5036" s="34" t="s">
        <v>9781</v>
      </c>
      <c r="C5036" s="34" t="s">
        <v>108</v>
      </c>
    </row>
    <row r="5037" customFormat="false" ht="89.25" hidden="false" customHeight="false" outlineLevel="0" collapsed="false">
      <c r="A5037" s="37" t="s">
        <v>9782</v>
      </c>
      <c r="B5037" s="34" t="s">
        <v>9783</v>
      </c>
      <c r="C5037" s="34" t="s">
        <v>871</v>
      </c>
    </row>
    <row r="5038" customFormat="false" ht="102" hidden="false" customHeight="false" outlineLevel="0" collapsed="false">
      <c r="A5038" s="37" t="s">
        <v>9784</v>
      </c>
      <c r="B5038" s="34" t="s">
        <v>9785</v>
      </c>
      <c r="C5038" s="34" t="s">
        <v>783</v>
      </c>
    </row>
    <row r="5039" customFormat="false" ht="89.25" hidden="false" customHeight="false" outlineLevel="0" collapsed="false">
      <c r="A5039" s="37" t="s">
        <v>9786</v>
      </c>
      <c r="B5039" s="34" t="s">
        <v>9787</v>
      </c>
      <c r="C5039" s="34" t="s">
        <v>858</v>
      </c>
    </row>
    <row r="5040" customFormat="false" ht="89.25" hidden="false" customHeight="false" outlineLevel="0" collapsed="false">
      <c r="A5040" s="37" t="s">
        <v>9788</v>
      </c>
      <c r="B5040" s="34" t="s">
        <v>9789</v>
      </c>
      <c r="C5040" s="34" t="s">
        <v>902</v>
      </c>
    </row>
    <row r="5041" customFormat="false" ht="89.25" hidden="false" customHeight="false" outlineLevel="0" collapsed="false">
      <c r="A5041" s="37" t="s">
        <v>9790</v>
      </c>
      <c r="B5041" s="34" t="s">
        <v>9791</v>
      </c>
      <c r="C5041" s="34" t="s">
        <v>902</v>
      </c>
    </row>
    <row r="5042" customFormat="false" ht="89.25" hidden="false" customHeight="false" outlineLevel="0" collapsed="false">
      <c r="A5042" s="37" t="s">
        <v>9792</v>
      </c>
      <c r="B5042" s="34" t="s">
        <v>9793</v>
      </c>
      <c r="C5042" s="34" t="s">
        <v>122</v>
      </c>
    </row>
    <row r="5043" customFormat="false" ht="89.25" hidden="false" customHeight="false" outlineLevel="0" collapsed="false">
      <c r="A5043" s="37" t="s">
        <v>9794</v>
      </c>
      <c r="B5043" s="34" t="s">
        <v>9795</v>
      </c>
      <c r="C5043" s="34" t="s">
        <v>874</v>
      </c>
    </row>
    <row r="5044" customFormat="false" ht="89.25" hidden="false" customHeight="false" outlineLevel="0" collapsed="false">
      <c r="A5044" s="37" t="s">
        <v>9796</v>
      </c>
      <c r="B5044" s="34" t="s">
        <v>9797</v>
      </c>
      <c r="C5044" s="34" t="s">
        <v>874</v>
      </c>
    </row>
    <row r="5045" customFormat="false" ht="89.25" hidden="false" customHeight="false" outlineLevel="0" collapsed="false">
      <c r="A5045" s="37" t="s">
        <v>9798</v>
      </c>
      <c r="B5045" s="34" t="s">
        <v>9799</v>
      </c>
      <c r="C5045" s="34" t="s">
        <v>874</v>
      </c>
    </row>
    <row r="5046" customFormat="false" ht="89.25" hidden="false" customHeight="false" outlineLevel="0" collapsed="false">
      <c r="A5046" s="37" t="s">
        <v>9800</v>
      </c>
      <c r="B5046" s="34" t="s">
        <v>9801</v>
      </c>
      <c r="C5046" s="34" t="s">
        <v>874</v>
      </c>
    </row>
    <row r="5047" customFormat="false" ht="102" hidden="false" customHeight="false" outlineLevel="0" collapsed="false">
      <c r="A5047" s="37" t="s">
        <v>9802</v>
      </c>
      <c r="B5047" s="34" t="s">
        <v>9803</v>
      </c>
      <c r="C5047" s="34" t="s">
        <v>883</v>
      </c>
    </row>
    <row r="5048" customFormat="false" ht="63.75" hidden="false" customHeight="false" outlineLevel="0" collapsed="false">
      <c r="A5048" s="37" t="s">
        <v>9804</v>
      </c>
      <c r="B5048" s="34" t="s">
        <v>9805</v>
      </c>
      <c r="C5048" s="34" t="s">
        <v>1033</v>
      </c>
    </row>
    <row r="5049" customFormat="false" ht="38.25" hidden="false" customHeight="false" outlineLevel="0" collapsed="false">
      <c r="A5049" s="37" t="s">
        <v>9806</v>
      </c>
      <c r="B5049" s="34" t="s">
        <v>9807</v>
      </c>
      <c r="C5049" s="34" t="s">
        <v>687</v>
      </c>
    </row>
    <row r="5050" customFormat="false" ht="51" hidden="false" customHeight="false" outlineLevel="0" collapsed="false">
      <c r="A5050" s="37" t="s">
        <v>9808</v>
      </c>
      <c r="B5050" s="34" t="s">
        <v>9809</v>
      </c>
      <c r="C5050" s="34" t="s">
        <v>1038</v>
      </c>
    </row>
    <row r="5051" customFormat="false" ht="38.25" hidden="false" customHeight="false" outlineLevel="0" collapsed="false">
      <c r="A5051" s="37" t="s">
        <v>9810</v>
      </c>
      <c r="B5051" s="34" t="s">
        <v>9811</v>
      </c>
      <c r="C5051" s="34" t="s">
        <v>1041</v>
      </c>
    </row>
    <row r="5052" customFormat="false" ht="51" hidden="false" customHeight="false" outlineLevel="0" collapsed="false">
      <c r="A5052" s="37" t="s">
        <v>9812</v>
      </c>
      <c r="B5052" s="34" t="s">
        <v>9813</v>
      </c>
      <c r="C5052" s="34" t="s">
        <v>696</v>
      </c>
    </row>
    <row r="5053" customFormat="false" ht="51" hidden="false" customHeight="false" outlineLevel="0" collapsed="false">
      <c r="A5053" s="37" t="s">
        <v>9814</v>
      </c>
      <c r="B5053" s="34" t="s">
        <v>9815</v>
      </c>
      <c r="C5053" s="34" t="s">
        <v>1050</v>
      </c>
    </row>
    <row r="5054" customFormat="false" ht="89.25" hidden="false" customHeight="false" outlineLevel="0" collapsed="false">
      <c r="A5054" s="37" t="s">
        <v>9816</v>
      </c>
      <c r="B5054" s="34" t="s">
        <v>9817</v>
      </c>
      <c r="C5054" s="34" t="s">
        <v>702</v>
      </c>
    </row>
    <row r="5055" customFormat="false" ht="89.25" hidden="false" customHeight="false" outlineLevel="0" collapsed="false">
      <c r="A5055" s="37" t="s">
        <v>9818</v>
      </c>
      <c r="B5055" s="34" t="s">
        <v>9819</v>
      </c>
      <c r="C5055" s="34" t="s">
        <v>702</v>
      </c>
    </row>
    <row r="5056" customFormat="false" ht="38.25" hidden="false" customHeight="false" outlineLevel="0" collapsed="false">
      <c r="A5056" s="37" t="s">
        <v>9820</v>
      </c>
      <c r="B5056" s="34" t="s">
        <v>9821</v>
      </c>
      <c r="C5056" s="34" t="s">
        <v>707</v>
      </c>
    </row>
    <row r="5057" customFormat="false" ht="89.25" hidden="false" customHeight="false" outlineLevel="0" collapsed="false">
      <c r="A5057" s="37" t="s">
        <v>9822</v>
      </c>
      <c r="B5057" s="34" t="s">
        <v>9823</v>
      </c>
      <c r="C5057" s="34" t="s">
        <v>1450</v>
      </c>
    </row>
    <row r="5058" customFormat="false" ht="76.5" hidden="false" customHeight="false" outlineLevel="0" collapsed="false">
      <c r="A5058" s="37" t="s">
        <v>9824</v>
      </c>
      <c r="B5058" s="34" t="s">
        <v>9825</v>
      </c>
      <c r="C5058" s="34" t="s">
        <v>9826</v>
      </c>
    </row>
    <row r="5059" customFormat="false" ht="76.5" hidden="false" customHeight="false" outlineLevel="0" collapsed="false">
      <c r="A5059" s="37" t="s">
        <v>9827</v>
      </c>
      <c r="B5059" s="34" t="s">
        <v>9828</v>
      </c>
      <c r="C5059" s="34" t="s">
        <v>2297</v>
      </c>
    </row>
    <row r="5060" customFormat="false" ht="76.5" hidden="false" customHeight="false" outlineLevel="0" collapsed="false">
      <c r="A5060" s="37" t="s">
        <v>9829</v>
      </c>
      <c r="B5060" s="34" t="s">
        <v>9830</v>
      </c>
      <c r="C5060" s="34" t="s">
        <v>2297</v>
      </c>
    </row>
    <row r="5061" customFormat="false" ht="76.5" hidden="false" customHeight="false" outlineLevel="0" collapsed="false">
      <c r="A5061" s="37" t="s">
        <v>9831</v>
      </c>
      <c r="B5061" s="34" t="s">
        <v>9832</v>
      </c>
      <c r="C5061" s="34" t="s">
        <v>2297</v>
      </c>
    </row>
    <row r="5062" customFormat="false" ht="76.5" hidden="false" customHeight="false" outlineLevel="0" collapsed="false">
      <c r="A5062" s="37" t="s">
        <v>9833</v>
      </c>
      <c r="B5062" s="34" t="s">
        <v>9834</v>
      </c>
      <c r="C5062" s="34" t="s">
        <v>2297</v>
      </c>
    </row>
    <row r="5063" customFormat="false" ht="63.75" hidden="false" customHeight="false" outlineLevel="0" collapsed="false">
      <c r="A5063" s="37" t="s">
        <v>9835</v>
      </c>
      <c r="B5063" s="34" t="s">
        <v>9836</v>
      </c>
      <c r="C5063" s="34" t="s">
        <v>139</v>
      </c>
    </row>
    <row r="5064" customFormat="false" ht="63.75" hidden="false" customHeight="false" outlineLevel="0" collapsed="false">
      <c r="A5064" s="37" t="s">
        <v>9837</v>
      </c>
      <c r="B5064" s="34" t="s">
        <v>9838</v>
      </c>
      <c r="C5064" s="34" t="s">
        <v>139</v>
      </c>
    </row>
    <row r="5065" customFormat="false" ht="63.75" hidden="false" customHeight="false" outlineLevel="0" collapsed="false">
      <c r="A5065" s="37" t="s">
        <v>9839</v>
      </c>
      <c r="B5065" s="34" t="s">
        <v>9840</v>
      </c>
      <c r="C5065" s="34" t="s">
        <v>139</v>
      </c>
    </row>
    <row r="5066" customFormat="false" ht="63.75" hidden="false" customHeight="false" outlineLevel="0" collapsed="false">
      <c r="A5066" s="37" t="s">
        <v>9841</v>
      </c>
      <c r="B5066" s="34" t="s">
        <v>9842</v>
      </c>
      <c r="C5066" s="34" t="s">
        <v>139</v>
      </c>
    </row>
    <row r="5067" customFormat="false" ht="63.75" hidden="false" customHeight="false" outlineLevel="0" collapsed="false">
      <c r="A5067" s="37" t="s">
        <v>9841</v>
      </c>
      <c r="B5067" s="34" t="s">
        <v>9842</v>
      </c>
      <c r="C5067" s="34" t="s">
        <v>8690</v>
      </c>
    </row>
    <row r="5068" customFormat="false" ht="63.75" hidden="false" customHeight="false" outlineLevel="0" collapsed="false">
      <c r="A5068" s="37" t="s">
        <v>9843</v>
      </c>
      <c r="B5068" s="34" t="s">
        <v>9844</v>
      </c>
      <c r="C5068" s="34" t="s">
        <v>965</v>
      </c>
    </row>
    <row r="5069" customFormat="false" ht="63.75" hidden="false" customHeight="false" outlineLevel="0" collapsed="false">
      <c r="A5069" s="37" t="s">
        <v>9845</v>
      </c>
      <c r="B5069" s="34" t="s">
        <v>9846</v>
      </c>
      <c r="C5069" s="34" t="s">
        <v>965</v>
      </c>
    </row>
    <row r="5070" customFormat="false" ht="63.75" hidden="false" customHeight="false" outlineLevel="0" collapsed="false">
      <c r="A5070" s="37" t="s">
        <v>9847</v>
      </c>
      <c r="B5070" s="34" t="s">
        <v>9848</v>
      </c>
      <c r="C5070" s="34" t="s">
        <v>139</v>
      </c>
    </row>
    <row r="5071" customFormat="false" ht="63.75" hidden="false" customHeight="false" outlineLevel="0" collapsed="false">
      <c r="A5071" s="37" t="s">
        <v>9849</v>
      </c>
      <c r="B5071" s="34" t="s">
        <v>9850</v>
      </c>
      <c r="C5071" s="34" t="s">
        <v>139</v>
      </c>
    </row>
    <row r="5072" customFormat="false" ht="63.75" hidden="false" customHeight="false" outlineLevel="0" collapsed="false">
      <c r="A5072" s="37" t="s">
        <v>9851</v>
      </c>
      <c r="B5072" s="34" t="s">
        <v>8696</v>
      </c>
      <c r="C5072" s="34" t="s">
        <v>139</v>
      </c>
    </row>
    <row r="5073" customFormat="false" ht="63.75" hidden="false" customHeight="false" outlineLevel="0" collapsed="false">
      <c r="A5073" s="37" t="s">
        <v>9852</v>
      </c>
      <c r="B5073" s="34" t="s">
        <v>9853</v>
      </c>
      <c r="C5073" s="34" t="s">
        <v>139</v>
      </c>
    </row>
    <row r="5074" customFormat="false" ht="63.75" hidden="false" customHeight="false" outlineLevel="0" collapsed="false">
      <c r="A5074" s="37" t="s">
        <v>9854</v>
      </c>
      <c r="B5074" s="34" t="s">
        <v>9855</v>
      </c>
      <c r="C5074" s="34" t="s">
        <v>139</v>
      </c>
    </row>
    <row r="5075" customFormat="false" ht="63.75" hidden="false" customHeight="false" outlineLevel="0" collapsed="false">
      <c r="A5075" s="37" t="s">
        <v>9856</v>
      </c>
      <c r="B5075" s="34" t="s">
        <v>9857</v>
      </c>
      <c r="C5075" s="34" t="s">
        <v>139</v>
      </c>
    </row>
    <row r="5076" customFormat="false" ht="63.75" hidden="false" customHeight="false" outlineLevel="0" collapsed="false">
      <c r="A5076" s="37" t="s">
        <v>9858</v>
      </c>
      <c r="B5076" s="34" t="s">
        <v>9859</v>
      </c>
      <c r="C5076" s="34" t="s">
        <v>139</v>
      </c>
    </row>
    <row r="5077" customFormat="false" ht="63.75" hidden="false" customHeight="false" outlineLevel="0" collapsed="false">
      <c r="A5077" s="37" t="s">
        <v>9860</v>
      </c>
      <c r="B5077" s="34" t="s">
        <v>9861</v>
      </c>
      <c r="C5077" s="34" t="s">
        <v>139</v>
      </c>
    </row>
    <row r="5078" customFormat="false" ht="63.75" hidden="false" customHeight="false" outlineLevel="0" collapsed="false">
      <c r="A5078" s="37" t="s">
        <v>9862</v>
      </c>
      <c r="B5078" s="34" t="s">
        <v>9863</v>
      </c>
      <c r="C5078" s="34" t="s">
        <v>965</v>
      </c>
    </row>
    <row r="5079" customFormat="false" ht="51" hidden="false" customHeight="false" outlineLevel="0" collapsed="false">
      <c r="A5079" s="37" t="s">
        <v>9864</v>
      </c>
      <c r="B5079" s="34" t="s">
        <v>9865</v>
      </c>
      <c r="C5079" s="34" t="s">
        <v>9866</v>
      </c>
    </row>
    <row r="5080" customFormat="false" ht="63.75" hidden="false" customHeight="false" outlineLevel="0" collapsed="false">
      <c r="A5080" s="37" t="s">
        <v>9867</v>
      </c>
      <c r="B5080" s="34" t="s">
        <v>9868</v>
      </c>
      <c r="C5080" s="34" t="s">
        <v>2365</v>
      </c>
    </row>
    <row r="5081" customFormat="false" ht="63.75" hidden="false" customHeight="false" outlineLevel="0" collapsed="false">
      <c r="A5081" s="37" t="s">
        <v>9869</v>
      </c>
      <c r="B5081" s="34" t="s">
        <v>9870</v>
      </c>
      <c r="C5081" s="34" t="s">
        <v>2365</v>
      </c>
    </row>
    <row r="5082" customFormat="false" ht="63.75" hidden="false" customHeight="false" outlineLevel="0" collapsed="false">
      <c r="A5082" s="37" t="s">
        <v>9871</v>
      </c>
      <c r="B5082" s="34" t="s">
        <v>9872</v>
      </c>
      <c r="C5082" s="34" t="s">
        <v>2365</v>
      </c>
    </row>
    <row r="5083" customFormat="false" ht="63.75" hidden="false" customHeight="false" outlineLevel="0" collapsed="false">
      <c r="A5083" s="37" t="s">
        <v>9873</v>
      </c>
      <c r="B5083" s="34" t="s">
        <v>9874</v>
      </c>
      <c r="C5083" s="34" t="s">
        <v>2365</v>
      </c>
    </row>
    <row r="5084" customFormat="false" ht="63.75" hidden="false" customHeight="false" outlineLevel="0" collapsed="false">
      <c r="A5084" s="37" t="s">
        <v>9875</v>
      </c>
      <c r="B5084" s="34" t="s">
        <v>9876</v>
      </c>
      <c r="C5084" s="34" t="s">
        <v>2365</v>
      </c>
    </row>
    <row r="5085" customFormat="false" ht="63.75" hidden="false" customHeight="false" outlineLevel="0" collapsed="false">
      <c r="A5085" s="37" t="s">
        <v>9877</v>
      </c>
      <c r="B5085" s="34" t="s">
        <v>9878</v>
      </c>
      <c r="C5085" s="34" t="s">
        <v>2365</v>
      </c>
    </row>
    <row r="5086" customFormat="false" ht="63.75" hidden="false" customHeight="false" outlineLevel="0" collapsed="false">
      <c r="A5086" s="37" t="s">
        <v>9879</v>
      </c>
      <c r="B5086" s="34" t="s">
        <v>9880</v>
      </c>
      <c r="C5086" s="34" t="s">
        <v>2365</v>
      </c>
    </row>
    <row r="5087" customFormat="false" ht="63.75" hidden="false" customHeight="false" outlineLevel="0" collapsed="false">
      <c r="A5087" s="37" t="s">
        <v>9881</v>
      </c>
      <c r="B5087" s="34" t="s">
        <v>9882</v>
      </c>
      <c r="C5087" s="34" t="s">
        <v>2365</v>
      </c>
    </row>
    <row r="5088" customFormat="false" ht="63.75" hidden="false" customHeight="false" outlineLevel="0" collapsed="false">
      <c r="A5088" s="37" t="s">
        <v>9883</v>
      </c>
      <c r="B5088" s="34" t="s">
        <v>9884</v>
      </c>
      <c r="C5088" s="34" t="s">
        <v>2365</v>
      </c>
    </row>
    <row r="5089" customFormat="false" ht="63.75" hidden="false" customHeight="false" outlineLevel="0" collapsed="false">
      <c r="A5089" s="37" t="s">
        <v>9885</v>
      </c>
      <c r="B5089" s="34" t="s">
        <v>9886</v>
      </c>
      <c r="C5089" s="34" t="s">
        <v>2365</v>
      </c>
    </row>
    <row r="5090" customFormat="false" ht="51" hidden="false" customHeight="false" outlineLevel="0" collapsed="false">
      <c r="A5090" s="37" t="s">
        <v>9887</v>
      </c>
      <c r="B5090" s="34" t="s">
        <v>9888</v>
      </c>
      <c r="C5090" s="34" t="s">
        <v>2386</v>
      </c>
    </row>
    <row r="5091" customFormat="false" ht="51" hidden="false" customHeight="false" outlineLevel="0" collapsed="false">
      <c r="A5091" s="37" t="s">
        <v>9889</v>
      </c>
      <c r="B5091" s="34" t="s">
        <v>9890</v>
      </c>
      <c r="C5091" s="34" t="s">
        <v>2386</v>
      </c>
    </row>
    <row r="5092" customFormat="false" ht="51" hidden="false" customHeight="false" outlineLevel="0" collapsed="false">
      <c r="A5092" s="37" t="s">
        <v>9891</v>
      </c>
      <c r="B5092" s="34" t="s">
        <v>9892</v>
      </c>
      <c r="C5092" s="34" t="s">
        <v>2386</v>
      </c>
    </row>
    <row r="5093" customFormat="false" ht="51" hidden="false" customHeight="false" outlineLevel="0" collapsed="false">
      <c r="A5093" s="37" t="s">
        <v>9893</v>
      </c>
      <c r="B5093" s="34" t="s">
        <v>9894</v>
      </c>
      <c r="C5093" s="34" t="s">
        <v>2386</v>
      </c>
    </row>
    <row r="5094" customFormat="false" ht="51" hidden="false" customHeight="false" outlineLevel="0" collapsed="false">
      <c r="A5094" s="37" t="s">
        <v>9895</v>
      </c>
      <c r="B5094" s="34" t="s">
        <v>9896</v>
      </c>
      <c r="C5094" s="34" t="s">
        <v>2386</v>
      </c>
    </row>
    <row r="5095" customFormat="false" ht="63.75" hidden="false" customHeight="false" outlineLevel="0" collapsed="false">
      <c r="A5095" s="37" t="s">
        <v>9897</v>
      </c>
      <c r="B5095" s="34" t="s">
        <v>9898</v>
      </c>
      <c r="C5095" s="34" t="s">
        <v>2397</v>
      </c>
    </row>
    <row r="5096" customFormat="false" ht="63.75" hidden="false" customHeight="false" outlineLevel="0" collapsed="false">
      <c r="A5096" s="37" t="s">
        <v>9899</v>
      </c>
      <c r="B5096" s="34" t="s">
        <v>9900</v>
      </c>
      <c r="C5096" s="34" t="s">
        <v>139</v>
      </c>
    </row>
    <row r="5097" customFormat="false" ht="63.75" hidden="false" customHeight="false" outlineLevel="0" collapsed="false">
      <c r="A5097" s="37" t="s">
        <v>9901</v>
      </c>
      <c r="B5097" s="34" t="s">
        <v>9902</v>
      </c>
      <c r="C5097" s="34" t="s">
        <v>139</v>
      </c>
    </row>
    <row r="5098" customFormat="false" ht="63.75" hidden="false" customHeight="false" outlineLevel="0" collapsed="false">
      <c r="A5098" s="37" t="s">
        <v>9903</v>
      </c>
      <c r="B5098" s="34" t="s">
        <v>9904</v>
      </c>
      <c r="C5098" s="34" t="s">
        <v>139</v>
      </c>
    </row>
    <row r="5099" customFormat="false" ht="63.75" hidden="false" customHeight="false" outlineLevel="0" collapsed="false">
      <c r="A5099" s="37" t="s">
        <v>9905</v>
      </c>
      <c r="B5099" s="34" t="s">
        <v>9906</v>
      </c>
      <c r="C5099" s="34" t="s">
        <v>139</v>
      </c>
    </row>
    <row r="5100" customFormat="false" ht="63.75" hidden="false" customHeight="false" outlineLevel="0" collapsed="false">
      <c r="A5100" s="37" t="s">
        <v>9907</v>
      </c>
      <c r="B5100" s="34" t="s">
        <v>9908</v>
      </c>
      <c r="C5100" s="34" t="s">
        <v>139</v>
      </c>
    </row>
    <row r="5101" customFormat="false" ht="38.25" hidden="false" customHeight="false" outlineLevel="0" collapsed="false">
      <c r="A5101" s="37" t="s">
        <v>9909</v>
      </c>
      <c r="B5101" s="34" t="s">
        <v>9910</v>
      </c>
      <c r="C5101" s="34" t="s">
        <v>73</v>
      </c>
    </row>
    <row r="5102" customFormat="false" ht="38.25" hidden="false" customHeight="false" outlineLevel="0" collapsed="false">
      <c r="A5102" s="37" t="s">
        <v>9911</v>
      </c>
      <c r="B5102" s="34" t="s">
        <v>9912</v>
      </c>
      <c r="C5102" s="34" t="s">
        <v>2412</v>
      </c>
    </row>
    <row r="5103" customFormat="false" ht="63.75" hidden="false" customHeight="false" outlineLevel="0" collapsed="false">
      <c r="A5103" s="37" t="s">
        <v>9913</v>
      </c>
      <c r="B5103" s="34" t="s">
        <v>9914</v>
      </c>
      <c r="C5103" s="34" t="s">
        <v>139</v>
      </c>
    </row>
    <row r="5104" customFormat="false" ht="63.75" hidden="false" customHeight="false" outlineLevel="0" collapsed="false">
      <c r="A5104" s="37" t="s">
        <v>9915</v>
      </c>
      <c r="B5104" s="34" t="s">
        <v>9916</v>
      </c>
      <c r="C5104" s="34" t="s">
        <v>139</v>
      </c>
    </row>
    <row r="5105" customFormat="false" ht="63.75" hidden="false" customHeight="false" outlineLevel="0" collapsed="false">
      <c r="A5105" s="37" t="s">
        <v>9917</v>
      </c>
      <c r="B5105" s="34" t="s">
        <v>9918</v>
      </c>
      <c r="C5105" s="34" t="s">
        <v>139</v>
      </c>
    </row>
    <row r="5106" customFormat="false" ht="38.25" hidden="false" customHeight="false" outlineLevel="0" collapsed="false">
      <c r="A5106" s="37" t="s">
        <v>9919</v>
      </c>
      <c r="B5106" s="34" t="s">
        <v>9920</v>
      </c>
      <c r="C5106" s="34" t="s">
        <v>965</v>
      </c>
    </row>
    <row r="5107" customFormat="false" ht="63.75" hidden="false" customHeight="false" outlineLevel="0" collapsed="false">
      <c r="A5107" s="37" t="s">
        <v>9921</v>
      </c>
      <c r="B5107" s="34" t="s">
        <v>9922</v>
      </c>
      <c r="C5107" s="34" t="s">
        <v>139</v>
      </c>
    </row>
    <row r="5108" customFormat="false" ht="63.75" hidden="false" customHeight="false" outlineLevel="0" collapsed="false">
      <c r="A5108" s="37" t="s">
        <v>9923</v>
      </c>
      <c r="B5108" s="34" t="s">
        <v>9924</v>
      </c>
      <c r="C5108" s="34" t="s">
        <v>139</v>
      </c>
    </row>
    <row r="5109" customFormat="false" ht="63.75" hidden="false" customHeight="false" outlineLevel="0" collapsed="false">
      <c r="A5109" s="37" t="s">
        <v>9925</v>
      </c>
      <c r="B5109" s="34" t="s">
        <v>9926</v>
      </c>
      <c r="C5109" s="34" t="s">
        <v>139</v>
      </c>
    </row>
    <row r="5110" customFormat="false" ht="63.75" hidden="false" customHeight="false" outlineLevel="0" collapsed="false">
      <c r="A5110" s="37" t="s">
        <v>9927</v>
      </c>
      <c r="B5110" s="34" t="s">
        <v>9928</v>
      </c>
      <c r="C5110" s="34" t="s">
        <v>139</v>
      </c>
    </row>
    <row r="5111" customFormat="false" ht="63.75" hidden="false" customHeight="false" outlineLevel="0" collapsed="false">
      <c r="A5111" s="37" t="s">
        <v>9927</v>
      </c>
      <c r="B5111" s="34" t="s">
        <v>9928</v>
      </c>
      <c r="C5111" s="34" t="s">
        <v>8690</v>
      </c>
    </row>
    <row r="5112" customFormat="false" ht="38.25" hidden="false" customHeight="false" outlineLevel="0" collapsed="false">
      <c r="A5112" s="37" t="s">
        <v>9929</v>
      </c>
      <c r="B5112" s="34" t="s">
        <v>9930</v>
      </c>
      <c r="C5112" s="34" t="s">
        <v>73</v>
      </c>
    </row>
    <row r="5113" customFormat="false" ht="38.25" hidden="false" customHeight="false" outlineLevel="0" collapsed="false">
      <c r="A5113" s="37" t="s">
        <v>9931</v>
      </c>
      <c r="B5113" s="34" t="s">
        <v>9932</v>
      </c>
      <c r="C5113" s="34" t="s">
        <v>2412</v>
      </c>
    </row>
    <row r="5114" customFormat="false" ht="76.5" hidden="false" customHeight="false" outlineLevel="0" collapsed="false">
      <c r="A5114" s="37" t="s">
        <v>9933</v>
      </c>
      <c r="B5114" s="34" t="s">
        <v>9934</v>
      </c>
      <c r="C5114" s="34" t="s">
        <v>2297</v>
      </c>
    </row>
    <row r="5115" customFormat="false" ht="76.5" hidden="false" customHeight="false" outlineLevel="0" collapsed="false">
      <c r="A5115" s="37" t="s">
        <v>9935</v>
      </c>
      <c r="B5115" s="34" t="s">
        <v>9936</v>
      </c>
      <c r="C5115" s="34" t="s">
        <v>2297</v>
      </c>
    </row>
    <row r="5116" customFormat="false" ht="76.5" hidden="false" customHeight="false" outlineLevel="0" collapsed="false">
      <c r="A5116" s="37" t="s">
        <v>9937</v>
      </c>
      <c r="B5116" s="34" t="s">
        <v>9938</v>
      </c>
      <c r="C5116" s="34" t="s">
        <v>2297</v>
      </c>
    </row>
    <row r="5117" customFormat="false" ht="76.5" hidden="false" customHeight="false" outlineLevel="0" collapsed="false">
      <c r="A5117" s="37" t="s">
        <v>9939</v>
      </c>
      <c r="B5117" s="34" t="s">
        <v>9940</v>
      </c>
      <c r="C5117" s="34" t="s">
        <v>2297</v>
      </c>
    </row>
    <row r="5118" customFormat="false" ht="63.75" hidden="false" customHeight="false" outlineLevel="0" collapsed="false">
      <c r="A5118" s="37" t="s">
        <v>9941</v>
      </c>
      <c r="B5118" s="34" t="s">
        <v>9942</v>
      </c>
      <c r="C5118" s="34" t="s">
        <v>139</v>
      </c>
    </row>
    <row r="5119" customFormat="false" ht="63.75" hidden="false" customHeight="false" outlineLevel="0" collapsed="false">
      <c r="A5119" s="37" t="s">
        <v>9943</v>
      </c>
      <c r="B5119" s="34" t="s">
        <v>9944</v>
      </c>
      <c r="C5119" s="34" t="s">
        <v>139</v>
      </c>
    </row>
    <row r="5120" customFormat="false" ht="63.75" hidden="false" customHeight="false" outlineLevel="0" collapsed="false">
      <c r="A5120" s="37" t="s">
        <v>9945</v>
      </c>
      <c r="B5120" s="34" t="s">
        <v>9946</v>
      </c>
      <c r="C5120" s="34" t="s">
        <v>139</v>
      </c>
    </row>
    <row r="5121" customFormat="false" ht="63.75" hidden="false" customHeight="false" outlineLevel="0" collapsed="false">
      <c r="A5121" s="37" t="s">
        <v>9947</v>
      </c>
      <c r="B5121" s="34" t="s">
        <v>9948</v>
      </c>
      <c r="C5121" s="34" t="s">
        <v>139</v>
      </c>
    </row>
    <row r="5122" customFormat="false" ht="63.75" hidden="false" customHeight="false" outlineLevel="0" collapsed="false">
      <c r="A5122" s="37" t="s">
        <v>9947</v>
      </c>
      <c r="B5122" s="34" t="s">
        <v>9948</v>
      </c>
      <c r="C5122" s="34" t="s">
        <v>8690</v>
      </c>
    </row>
    <row r="5123" customFormat="false" ht="63.75" hidden="false" customHeight="false" outlineLevel="0" collapsed="false">
      <c r="A5123" s="37" t="s">
        <v>9949</v>
      </c>
      <c r="B5123" s="34" t="s">
        <v>9950</v>
      </c>
      <c r="C5123" s="34" t="s">
        <v>2365</v>
      </c>
    </row>
    <row r="5124" customFormat="false" ht="63.75" hidden="false" customHeight="false" outlineLevel="0" collapsed="false">
      <c r="A5124" s="37" t="s">
        <v>9951</v>
      </c>
      <c r="B5124" s="34" t="s">
        <v>9952</v>
      </c>
      <c r="C5124" s="34" t="s">
        <v>2365</v>
      </c>
    </row>
    <row r="5125" customFormat="false" ht="63.75" hidden="false" customHeight="false" outlineLevel="0" collapsed="false">
      <c r="A5125" s="37" t="s">
        <v>9953</v>
      </c>
      <c r="B5125" s="34" t="s">
        <v>9954</v>
      </c>
      <c r="C5125" s="34" t="s">
        <v>2365</v>
      </c>
    </row>
    <row r="5126" customFormat="false" ht="63.75" hidden="false" customHeight="false" outlineLevel="0" collapsed="false">
      <c r="A5126" s="37" t="s">
        <v>9955</v>
      </c>
      <c r="B5126" s="34" t="s">
        <v>9956</v>
      </c>
      <c r="C5126" s="34" t="s">
        <v>2365</v>
      </c>
    </row>
    <row r="5127" customFormat="false" ht="63.75" hidden="false" customHeight="false" outlineLevel="0" collapsed="false">
      <c r="A5127" s="37" t="s">
        <v>9957</v>
      </c>
      <c r="B5127" s="34" t="s">
        <v>9958</v>
      </c>
      <c r="C5127" s="34" t="s">
        <v>2365</v>
      </c>
    </row>
    <row r="5128" customFormat="false" ht="63.75" hidden="false" customHeight="false" outlineLevel="0" collapsed="false">
      <c r="A5128" s="37" t="s">
        <v>9959</v>
      </c>
      <c r="B5128" s="34" t="s">
        <v>9960</v>
      </c>
      <c r="C5128" s="34" t="s">
        <v>2365</v>
      </c>
    </row>
    <row r="5129" customFormat="false" ht="63.75" hidden="false" customHeight="false" outlineLevel="0" collapsed="false">
      <c r="A5129" s="37" t="s">
        <v>9961</v>
      </c>
      <c r="B5129" s="34" t="s">
        <v>9962</v>
      </c>
      <c r="C5129" s="34" t="s">
        <v>2365</v>
      </c>
    </row>
    <row r="5130" customFormat="false" ht="63.75" hidden="false" customHeight="false" outlineLevel="0" collapsed="false">
      <c r="A5130" s="37" t="s">
        <v>9963</v>
      </c>
      <c r="B5130" s="34" t="s">
        <v>9964</v>
      </c>
      <c r="C5130" s="34" t="s">
        <v>2365</v>
      </c>
    </row>
    <row r="5131" customFormat="false" ht="63.75" hidden="false" customHeight="false" outlineLevel="0" collapsed="false">
      <c r="A5131" s="37" t="s">
        <v>9965</v>
      </c>
      <c r="B5131" s="34" t="s">
        <v>9966</v>
      </c>
      <c r="C5131" s="34" t="s">
        <v>2365</v>
      </c>
    </row>
    <row r="5132" customFormat="false" ht="63.75" hidden="false" customHeight="false" outlineLevel="0" collapsed="false">
      <c r="A5132" s="37" t="s">
        <v>9967</v>
      </c>
      <c r="B5132" s="34" t="s">
        <v>9968</v>
      </c>
      <c r="C5132" s="34" t="s">
        <v>2365</v>
      </c>
    </row>
    <row r="5133" customFormat="false" ht="51" hidden="false" customHeight="false" outlineLevel="0" collapsed="false">
      <c r="A5133" s="37" t="s">
        <v>9969</v>
      </c>
      <c r="B5133" s="34" t="s">
        <v>9970</v>
      </c>
      <c r="C5133" s="34" t="s">
        <v>2386</v>
      </c>
    </row>
    <row r="5134" customFormat="false" ht="51" hidden="false" customHeight="false" outlineLevel="0" collapsed="false">
      <c r="A5134" s="37" t="s">
        <v>9971</v>
      </c>
      <c r="B5134" s="34" t="s">
        <v>9972</v>
      </c>
      <c r="C5134" s="34" t="s">
        <v>2386</v>
      </c>
    </row>
    <row r="5135" customFormat="false" ht="51" hidden="false" customHeight="false" outlineLevel="0" collapsed="false">
      <c r="A5135" s="37" t="s">
        <v>9973</v>
      </c>
      <c r="B5135" s="34" t="s">
        <v>9974</v>
      </c>
      <c r="C5135" s="34" t="s">
        <v>2386</v>
      </c>
    </row>
    <row r="5136" customFormat="false" ht="51" hidden="false" customHeight="false" outlineLevel="0" collapsed="false">
      <c r="A5136" s="37" t="s">
        <v>9975</v>
      </c>
      <c r="B5136" s="34" t="s">
        <v>9976</v>
      </c>
      <c r="C5136" s="34" t="s">
        <v>2386</v>
      </c>
    </row>
    <row r="5137" customFormat="false" ht="51" hidden="false" customHeight="false" outlineLevel="0" collapsed="false">
      <c r="A5137" s="37" t="s">
        <v>9977</v>
      </c>
      <c r="B5137" s="34" t="s">
        <v>9978</v>
      </c>
      <c r="C5137" s="34" t="s">
        <v>2386</v>
      </c>
    </row>
    <row r="5138" customFormat="false" ht="63.75" hidden="false" customHeight="false" outlineLevel="0" collapsed="false">
      <c r="A5138" s="37" t="s">
        <v>9979</v>
      </c>
      <c r="B5138" s="34" t="s">
        <v>9980</v>
      </c>
      <c r="C5138" s="34" t="s">
        <v>2397</v>
      </c>
    </row>
    <row r="5139" customFormat="false" ht="63.75" hidden="false" customHeight="false" outlineLevel="0" collapsed="false">
      <c r="A5139" s="37" t="s">
        <v>9981</v>
      </c>
      <c r="B5139" s="34" t="s">
        <v>9982</v>
      </c>
      <c r="C5139" s="34" t="s">
        <v>139</v>
      </c>
    </row>
    <row r="5140" customFormat="false" ht="63.75" hidden="false" customHeight="false" outlineLevel="0" collapsed="false">
      <c r="A5140" s="37" t="s">
        <v>9983</v>
      </c>
      <c r="B5140" s="34" t="s">
        <v>9984</v>
      </c>
      <c r="C5140" s="34" t="s">
        <v>139</v>
      </c>
    </row>
    <row r="5141" customFormat="false" ht="63.75" hidden="false" customHeight="false" outlineLevel="0" collapsed="false">
      <c r="A5141" s="37" t="s">
        <v>9985</v>
      </c>
      <c r="B5141" s="34" t="s">
        <v>9986</v>
      </c>
      <c r="C5141" s="34" t="s">
        <v>139</v>
      </c>
    </row>
    <row r="5142" customFormat="false" ht="38.25" hidden="false" customHeight="false" outlineLevel="0" collapsed="false">
      <c r="A5142" s="37" t="s">
        <v>9987</v>
      </c>
      <c r="B5142" s="34" t="s">
        <v>9988</v>
      </c>
      <c r="C5142" s="34" t="s">
        <v>73</v>
      </c>
    </row>
    <row r="5143" customFormat="false" ht="38.25" hidden="false" customHeight="false" outlineLevel="0" collapsed="false">
      <c r="A5143" s="37" t="s">
        <v>9989</v>
      </c>
      <c r="B5143" s="34" t="s">
        <v>9990</v>
      </c>
      <c r="C5143" s="34" t="s">
        <v>2412</v>
      </c>
    </row>
    <row r="5144" customFormat="false" ht="63.75" hidden="false" customHeight="false" outlineLevel="0" collapsed="false">
      <c r="A5144" s="37" t="s">
        <v>9991</v>
      </c>
      <c r="B5144" s="34" t="s">
        <v>9992</v>
      </c>
      <c r="C5144" s="34" t="s">
        <v>7413</v>
      </c>
    </row>
    <row r="5145" customFormat="false" ht="63.75" hidden="false" customHeight="false" outlineLevel="0" collapsed="false">
      <c r="A5145" s="37" t="s">
        <v>9993</v>
      </c>
      <c r="B5145" s="34" t="s">
        <v>9994</v>
      </c>
      <c r="C5145" s="34" t="s">
        <v>7413</v>
      </c>
    </row>
    <row r="5146" customFormat="false" ht="51" hidden="false" customHeight="false" outlineLevel="0" collapsed="false">
      <c r="A5146" s="37" t="s">
        <v>9995</v>
      </c>
      <c r="B5146" s="34" t="s">
        <v>7420</v>
      </c>
      <c r="C5146" s="34" t="s">
        <v>9996</v>
      </c>
    </row>
    <row r="5147" customFormat="false" ht="25.5" hidden="false" customHeight="false" outlineLevel="0" collapsed="false">
      <c r="A5147" s="37" t="s">
        <v>9997</v>
      </c>
      <c r="B5147" s="34" t="s">
        <v>9998</v>
      </c>
      <c r="C5147" s="34" t="s">
        <v>7424</v>
      </c>
    </row>
    <row r="5148" customFormat="false" ht="76.5" hidden="false" customHeight="false" outlineLevel="0" collapsed="false">
      <c r="A5148" s="37" t="s">
        <v>9999</v>
      </c>
      <c r="B5148" s="34" t="s">
        <v>10000</v>
      </c>
      <c r="C5148" s="34" t="s">
        <v>2297</v>
      </c>
    </row>
    <row r="5149" customFormat="false" ht="76.5" hidden="false" customHeight="false" outlineLevel="0" collapsed="false">
      <c r="A5149" s="37" t="s">
        <v>10001</v>
      </c>
      <c r="B5149" s="34" t="s">
        <v>10002</v>
      </c>
      <c r="C5149" s="34" t="s">
        <v>2297</v>
      </c>
    </row>
    <row r="5150" customFormat="false" ht="76.5" hidden="false" customHeight="false" outlineLevel="0" collapsed="false">
      <c r="A5150" s="37" t="s">
        <v>10003</v>
      </c>
      <c r="B5150" s="34" t="s">
        <v>10004</v>
      </c>
      <c r="C5150" s="34" t="s">
        <v>2297</v>
      </c>
    </row>
    <row r="5151" customFormat="false" ht="76.5" hidden="false" customHeight="false" outlineLevel="0" collapsed="false">
      <c r="A5151" s="37" t="s">
        <v>10005</v>
      </c>
      <c r="B5151" s="39" t="s">
        <v>10006</v>
      </c>
      <c r="C5151" s="34" t="s">
        <v>2297</v>
      </c>
    </row>
    <row r="5152" customFormat="false" ht="63.75" hidden="false" customHeight="false" outlineLevel="0" collapsed="false">
      <c r="A5152" s="37" t="s">
        <v>10007</v>
      </c>
      <c r="B5152" s="34" t="s">
        <v>10008</v>
      </c>
      <c r="C5152" s="34" t="s">
        <v>139</v>
      </c>
    </row>
    <row r="5153" customFormat="false" ht="63.75" hidden="false" customHeight="false" outlineLevel="0" collapsed="false">
      <c r="A5153" s="37" t="s">
        <v>10009</v>
      </c>
      <c r="B5153" s="34" t="s">
        <v>10010</v>
      </c>
      <c r="C5153" s="34" t="s">
        <v>139</v>
      </c>
    </row>
    <row r="5154" customFormat="false" ht="63.75" hidden="false" customHeight="false" outlineLevel="0" collapsed="false">
      <c r="A5154" s="37" t="s">
        <v>10011</v>
      </c>
      <c r="B5154" s="34" t="s">
        <v>10012</v>
      </c>
      <c r="C5154" s="34" t="s">
        <v>139</v>
      </c>
    </row>
    <row r="5155" customFormat="false" ht="63.75" hidden="false" customHeight="false" outlineLevel="0" collapsed="false">
      <c r="A5155" s="37" t="s">
        <v>10013</v>
      </c>
      <c r="B5155" s="34" t="s">
        <v>10014</v>
      </c>
      <c r="C5155" s="34" t="s">
        <v>139</v>
      </c>
    </row>
    <row r="5156" customFormat="false" ht="63.75" hidden="false" customHeight="false" outlineLevel="0" collapsed="false">
      <c r="A5156" s="37" t="s">
        <v>10013</v>
      </c>
      <c r="B5156" s="34" t="s">
        <v>10014</v>
      </c>
      <c r="C5156" s="34" t="s">
        <v>8690</v>
      </c>
    </row>
    <row r="5157" customFormat="false" ht="63.75" hidden="false" customHeight="false" outlineLevel="0" collapsed="false">
      <c r="A5157" s="37" t="s">
        <v>10015</v>
      </c>
      <c r="B5157" s="34" t="s">
        <v>10016</v>
      </c>
      <c r="C5157" s="34" t="s">
        <v>2365</v>
      </c>
    </row>
    <row r="5158" customFormat="false" ht="63.75" hidden="false" customHeight="false" outlineLevel="0" collapsed="false">
      <c r="A5158" s="37" t="s">
        <v>10017</v>
      </c>
      <c r="B5158" s="34" t="s">
        <v>10018</v>
      </c>
      <c r="C5158" s="34" t="s">
        <v>2365</v>
      </c>
    </row>
    <row r="5159" customFormat="false" ht="63.75" hidden="false" customHeight="false" outlineLevel="0" collapsed="false">
      <c r="A5159" s="37" t="s">
        <v>10019</v>
      </c>
      <c r="B5159" s="34" t="s">
        <v>10020</v>
      </c>
      <c r="C5159" s="34" t="s">
        <v>2365</v>
      </c>
    </row>
    <row r="5160" customFormat="false" ht="63.75" hidden="false" customHeight="false" outlineLevel="0" collapsed="false">
      <c r="A5160" s="37" t="s">
        <v>10021</v>
      </c>
      <c r="B5160" s="34" t="s">
        <v>10022</v>
      </c>
      <c r="C5160" s="34" t="s">
        <v>2365</v>
      </c>
    </row>
    <row r="5161" customFormat="false" ht="63.75" hidden="false" customHeight="false" outlineLevel="0" collapsed="false">
      <c r="A5161" s="37" t="s">
        <v>10023</v>
      </c>
      <c r="B5161" s="34" t="s">
        <v>10024</v>
      </c>
      <c r="C5161" s="34" t="s">
        <v>2365</v>
      </c>
    </row>
    <row r="5162" customFormat="false" ht="63.75" hidden="false" customHeight="false" outlineLevel="0" collapsed="false">
      <c r="A5162" s="37" t="s">
        <v>10025</v>
      </c>
      <c r="B5162" s="34" t="s">
        <v>10026</v>
      </c>
      <c r="C5162" s="34" t="s">
        <v>2365</v>
      </c>
    </row>
    <row r="5163" customFormat="false" ht="63.75" hidden="false" customHeight="false" outlineLevel="0" collapsed="false">
      <c r="A5163" s="37" t="s">
        <v>10027</v>
      </c>
      <c r="B5163" s="34" t="s">
        <v>10028</v>
      </c>
      <c r="C5163" s="34" t="s">
        <v>2365</v>
      </c>
    </row>
    <row r="5164" customFormat="false" ht="63.75" hidden="false" customHeight="false" outlineLevel="0" collapsed="false">
      <c r="A5164" s="37" t="s">
        <v>10029</v>
      </c>
      <c r="B5164" s="34" t="s">
        <v>10030</v>
      </c>
      <c r="C5164" s="34" t="s">
        <v>2365</v>
      </c>
    </row>
    <row r="5165" customFormat="false" ht="63.75" hidden="false" customHeight="false" outlineLevel="0" collapsed="false">
      <c r="A5165" s="37" t="s">
        <v>10031</v>
      </c>
      <c r="B5165" s="34" t="s">
        <v>10032</v>
      </c>
      <c r="C5165" s="34" t="s">
        <v>2365</v>
      </c>
    </row>
    <row r="5166" customFormat="false" ht="63.75" hidden="false" customHeight="false" outlineLevel="0" collapsed="false">
      <c r="A5166" s="37" t="s">
        <v>10033</v>
      </c>
      <c r="B5166" s="34" t="s">
        <v>10034</v>
      </c>
      <c r="C5166" s="34" t="s">
        <v>2365</v>
      </c>
    </row>
    <row r="5167" customFormat="false" ht="51" hidden="false" customHeight="false" outlineLevel="0" collapsed="false">
      <c r="A5167" s="37" t="s">
        <v>10035</v>
      </c>
      <c r="B5167" s="34" t="s">
        <v>10036</v>
      </c>
      <c r="C5167" s="34" t="s">
        <v>2386</v>
      </c>
    </row>
    <row r="5168" customFormat="false" ht="51" hidden="false" customHeight="false" outlineLevel="0" collapsed="false">
      <c r="A5168" s="37" t="s">
        <v>10037</v>
      </c>
      <c r="B5168" s="34" t="s">
        <v>10038</v>
      </c>
      <c r="C5168" s="34" t="s">
        <v>2386</v>
      </c>
    </row>
    <row r="5169" customFormat="false" ht="51" hidden="false" customHeight="false" outlineLevel="0" collapsed="false">
      <c r="A5169" s="37" t="s">
        <v>10039</v>
      </c>
      <c r="B5169" s="34" t="s">
        <v>10040</v>
      </c>
      <c r="C5169" s="34" t="s">
        <v>2386</v>
      </c>
    </row>
    <row r="5170" customFormat="false" ht="51" hidden="false" customHeight="false" outlineLevel="0" collapsed="false">
      <c r="A5170" s="37" t="s">
        <v>10041</v>
      </c>
      <c r="B5170" s="34" t="s">
        <v>10042</v>
      </c>
      <c r="C5170" s="34" t="s">
        <v>2386</v>
      </c>
    </row>
    <row r="5171" customFormat="false" ht="51" hidden="false" customHeight="false" outlineLevel="0" collapsed="false">
      <c r="A5171" s="37" t="s">
        <v>10043</v>
      </c>
      <c r="B5171" s="34" t="s">
        <v>10044</v>
      </c>
      <c r="C5171" s="34" t="s">
        <v>2386</v>
      </c>
    </row>
    <row r="5172" customFormat="false" ht="63.75" hidden="false" customHeight="false" outlineLevel="0" collapsed="false">
      <c r="A5172" s="37" t="s">
        <v>10045</v>
      </c>
      <c r="B5172" s="34" t="s">
        <v>10046</v>
      </c>
      <c r="C5172" s="34" t="s">
        <v>2397</v>
      </c>
    </row>
    <row r="5173" customFormat="false" ht="63.75" hidden="false" customHeight="false" outlineLevel="0" collapsed="false">
      <c r="A5173" s="37" t="s">
        <v>10047</v>
      </c>
      <c r="B5173" s="34" t="s">
        <v>10048</v>
      </c>
      <c r="C5173" s="34" t="s">
        <v>139</v>
      </c>
    </row>
    <row r="5174" customFormat="false" ht="63.75" hidden="false" customHeight="false" outlineLevel="0" collapsed="false">
      <c r="A5174" s="37" t="s">
        <v>10049</v>
      </c>
      <c r="B5174" s="34" t="s">
        <v>10050</v>
      </c>
      <c r="C5174" s="34" t="s">
        <v>139</v>
      </c>
    </row>
    <row r="5175" customFormat="false" ht="63.75" hidden="false" customHeight="false" outlineLevel="0" collapsed="false">
      <c r="A5175" s="37" t="s">
        <v>10051</v>
      </c>
      <c r="B5175" s="34" t="s">
        <v>10052</v>
      </c>
      <c r="C5175" s="34" t="s">
        <v>139</v>
      </c>
    </row>
    <row r="5176" customFormat="false" ht="38.25" hidden="false" customHeight="false" outlineLevel="0" collapsed="false">
      <c r="A5176" s="37" t="s">
        <v>10053</v>
      </c>
      <c r="B5176" s="34" t="s">
        <v>10054</v>
      </c>
      <c r="C5176" s="34" t="s">
        <v>73</v>
      </c>
    </row>
    <row r="5177" customFormat="false" ht="38.25" hidden="false" customHeight="false" outlineLevel="0" collapsed="false">
      <c r="A5177" s="37" t="s">
        <v>10055</v>
      </c>
      <c r="B5177" s="34" t="s">
        <v>10056</v>
      </c>
      <c r="C5177" s="34" t="s">
        <v>2412</v>
      </c>
    </row>
    <row r="5178" customFormat="false" ht="89.25" hidden="false" customHeight="false" outlineLevel="0" collapsed="false">
      <c r="A5178" s="37" t="s">
        <v>10057</v>
      </c>
      <c r="B5178" s="34" t="s">
        <v>10058</v>
      </c>
      <c r="C5178" s="34" t="s">
        <v>997</v>
      </c>
    </row>
    <row r="5179" customFormat="false" ht="89.25" hidden="false" customHeight="false" outlineLevel="0" collapsed="false">
      <c r="A5179" s="37" t="s">
        <v>10059</v>
      </c>
      <c r="B5179" s="34" t="s">
        <v>10060</v>
      </c>
      <c r="C5179" s="34" t="s">
        <v>997</v>
      </c>
    </row>
    <row r="5180" customFormat="false" ht="38.25" hidden="false" customHeight="false" outlineLevel="0" collapsed="false">
      <c r="A5180" s="37" t="s">
        <v>10061</v>
      </c>
      <c r="B5180" s="34" t="s">
        <v>10062</v>
      </c>
      <c r="C5180" s="34" t="s">
        <v>1002</v>
      </c>
    </row>
    <row r="5181" customFormat="false" ht="102" hidden="false" customHeight="false" outlineLevel="0" collapsed="false">
      <c r="A5181" s="37" t="s">
        <v>10063</v>
      </c>
      <c r="B5181" s="34" t="s">
        <v>10064</v>
      </c>
      <c r="C5181" s="34" t="s">
        <v>1453</v>
      </c>
    </row>
    <row r="5182" customFormat="false" ht="102" hidden="false" customHeight="false" outlineLevel="0" collapsed="false">
      <c r="A5182" s="37" t="s">
        <v>10063</v>
      </c>
      <c r="B5182" s="34" t="s">
        <v>10064</v>
      </c>
      <c r="C5182" s="34" t="s">
        <v>1453</v>
      </c>
    </row>
    <row r="5183" customFormat="false" ht="51" hidden="false" customHeight="false" outlineLevel="0" collapsed="false">
      <c r="A5183" s="37" t="s">
        <v>10065</v>
      </c>
      <c r="B5183" s="34" t="s">
        <v>10066</v>
      </c>
      <c r="C5183" s="34" t="s">
        <v>965</v>
      </c>
    </row>
    <row r="5184" customFormat="false" ht="63.75" hidden="false" customHeight="false" outlineLevel="0" collapsed="false">
      <c r="A5184" s="37" t="s">
        <v>10067</v>
      </c>
      <c r="B5184" s="34" t="s">
        <v>10068</v>
      </c>
      <c r="C5184" s="34" t="s">
        <v>142</v>
      </c>
    </row>
    <row r="5185" customFormat="false" ht="63.75" hidden="false" customHeight="false" outlineLevel="0" collapsed="false">
      <c r="A5185" s="37" t="s">
        <v>10069</v>
      </c>
      <c r="B5185" s="34" t="s">
        <v>10070</v>
      </c>
      <c r="C5185" s="34" t="s">
        <v>1033</v>
      </c>
    </row>
    <row r="5186" customFormat="false" ht="38.25" hidden="false" customHeight="false" outlineLevel="0" collapsed="false">
      <c r="A5186" s="37" t="s">
        <v>10071</v>
      </c>
      <c r="B5186" s="34" t="s">
        <v>10072</v>
      </c>
      <c r="C5186" s="34" t="s">
        <v>687</v>
      </c>
    </row>
    <row r="5187" customFormat="false" ht="51" hidden="false" customHeight="false" outlineLevel="0" collapsed="false">
      <c r="A5187" s="37" t="s">
        <v>10073</v>
      </c>
      <c r="B5187" s="34" t="s">
        <v>10074</v>
      </c>
      <c r="C5187" s="34" t="s">
        <v>1038</v>
      </c>
    </row>
    <row r="5188" customFormat="false" ht="38.25" hidden="false" customHeight="false" outlineLevel="0" collapsed="false">
      <c r="A5188" s="37" t="s">
        <v>10075</v>
      </c>
      <c r="B5188" s="34" t="s">
        <v>10076</v>
      </c>
      <c r="C5188" s="34" t="s">
        <v>1041</v>
      </c>
    </row>
    <row r="5189" customFormat="false" ht="25.5" hidden="false" customHeight="false" outlineLevel="0" collapsed="false">
      <c r="A5189" s="37" t="s">
        <v>10077</v>
      </c>
      <c r="B5189" s="34" t="s">
        <v>10078</v>
      </c>
      <c r="C5189" s="34" t="s">
        <v>1044</v>
      </c>
    </row>
    <row r="5190" customFormat="false" ht="51" hidden="false" customHeight="false" outlineLevel="0" collapsed="false">
      <c r="A5190" s="37" t="s">
        <v>10079</v>
      </c>
      <c r="B5190" s="34" t="s">
        <v>10080</v>
      </c>
      <c r="C5190" s="34" t="s">
        <v>1047</v>
      </c>
    </row>
    <row r="5191" customFormat="false" ht="51" hidden="false" customHeight="false" outlineLevel="0" collapsed="false">
      <c r="A5191" s="37" t="s">
        <v>10081</v>
      </c>
      <c r="B5191" s="34" t="s">
        <v>10082</v>
      </c>
      <c r="C5191" s="34" t="s">
        <v>1050</v>
      </c>
    </row>
    <row r="5192" customFormat="false" ht="51" hidden="false" customHeight="false" outlineLevel="0" collapsed="false">
      <c r="A5192" s="37" t="s">
        <v>10083</v>
      </c>
      <c r="B5192" s="34" t="s">
        <v>10084</v>
      </c>
      <c r="C5192" s="34" t="s">
        <v>1053</v>
      </c>
    </row>
    <row r="5193" customFormat="false" ht="38.25" hidden="false" customHeight="false" outlineLevel="0" collapsed="false">
      <c r="A5193" s="37" t="s">
        <v>10085</v>
      </c>
      <c r="B5193" s="34" t="s">
        <v>10086</v>
      </c>
      <c r="C5193" s="34" t="s">
        <v>1056</v>
      </c>
    </row>
    <row r="5194" customFormat="false" ht="63.75" hidden="false" customHeight="false" outlineLevel="0" collapsed="false">
      <c r="A5194" s="37" t="s">
        <v>10087</v>
      </c>
      <c r="B5194" s="34" t="s">
        <v>10088</v>
      </c>
      <c r="C5194" s="34" t="s">
        <v>1059</v>
      </c>
    </row>
    <row r="5195" customFormat="false" ht="63.75" hidden="false" customHeight="false" outlineLevel="0" collapsed="false">
      <c r="A5195" s="37" t="s">
        <v>10089</v>
      </c>
      <c r="B5195" s="34" t="s">
        <v>10090</v>
      </c>
      <c r="C5195" s="34" t="s">
        <v>139</v>
      </c>
    </row>
    <row r="5196" customFormat="false" ht="63.75" hidden="false" customHeight="false" outlineLevel="0" collapsed="false">
      <c r="A5196" s="37" t="s">
        <v>10091</v>
      </c>
      <c r="B5196" s="34" t="s">
        <v>10092</v>
      </c>
      <c r="C5196" s="34" t="s">
        <v>139</v>
      </c>
    </row>
    <row r="5197" customFormat="false" ht="127.5" hidden="false" customHeight="false" outlineLevel="0" collapsed="false">
      <c r="A5197" s="37" t="s">
        <v>10093</v>
      </c>
      <c r="B5197" s="34" t="s">
        <v>10094</v>
      </c>
      <c r="C5197" s="34" t="s">
        <v>1069</v>
      </c>
    </row>
    <row r="5198" customFormat="false" ht="127.5" hidden="false" customHeight="false" outlineLevel="0" collapsed="false">
      <c r="A5198" s="37" t="s">
        <v>10095</v>
      </c>
      <c r="B5198" s="34" t="s">
        <v>10096</v>
      </c>
      <c r="C5198" s="34" t="s">
        <v>1732</v>
      </c>
    </row>
    <row r="5199" customFormat="false" ht="127.5" hidden="false" customHeight="false" outlineLevel="0" collapsed="false">
      <c r="A5199" s="37" t="s">
        <v>10097</v>
      </c>
      <c r="B5199" s="34" t="s">
        <v>10098</v>
      </c>
      <c r="C5199" s="34" t="s">
        <v>1732</v>
      </c>
    </row>
    <row r="5200" customFormat="false" ht="102" hidden="false" customHeight="false" outlineLevel="0" collapsed="false">
      <c r="A5200" s="37" t="s">
        <v>10099</v>
      </c>
      <c r="B5200" s="34" t="s">
        <v>10100</v>
      </c>
      <c r="C5200" s="34" t="s">
        <v>1737</v>
      </c>
    </row>
    <row r="5201" customFormat="false" ht="102" hidden="false" customHeight="false" outlineLevel="0" collapsed="false">
      <c r="A5201" s="37" t="s">
        <v>10101</v>
      </c>
      <c r="B5201" s="34" t="s">
        <v>10102</v>
      </c>
      <c r="C5201" s="34" t="s">
        <v>1737</v>
      </c>
    </row>
    <row r="5202" customFormat="false" ht="76.5" hidden="false" customHeight="false" outlineLevel="0" collapsed="false">
      <c r="A5202" s="37" t="s">
        <v>10103</v>
      </c>
      <c r="B5202" s="34" t="s">
        <v>10104</v>
      </c>
      <c r="C5202" s="34" t="s">
        <v>1741</v>
      </c>
    </row>
    <row r="5203" customFormat="false" ht="63.75" hidden="false" customHeight="false" outlineLevel="0" collapsed="false">
      <c r="A5203" s="37" t="s">
        <v>10105</v>
      </c>
      <c r="B5203" s="34" t="s">
        <v>10106</v>
      </c>
      <c r="C5203" s="34" t="s">
        <v>1744</v>
      </c>
    </row>
    <row r="5204" customFormat="false" ht="102" hidden="false" customHeight="false" outlineLevel="0" collapsed="false">
      <c r="A5204" s="37" t="s">
        <v>10107</v>
      </c>
      <c r="B5204" s="34" t="s">
        <v>10108</v>
      </c>
      <c r="C5204" s="34" t="s">
        <v>177</v>
      </c>
    </row>
    <row r="5205" customFormat="false" ht="102" hidden="false" customHeight="false" outlineLevel="0" collapsed="false">
      <c r="A5205" s="37" t="s">
        <v>10109</v>
      </c>
      <c r="B5205" s="34" t="s">
        <v>10110</v>
      </c>
      <c r="C5205" s="34" t="s">
        <v>177</v>
      </c>
    </row>
    <row r="5206" customFormat="false" ht="102" hidden="false" customHeight="false" outlineLevel="0" collapsed="false">
      <c r="A5206" s="37" t="s">
        <v>10111</v>
      </c>
      <c r="B5206" s="34" t="s">
        <v>10112</v>
      </c>
      <c r="C5206" s="34" t="s">
        <v>1751</v>
      </c>
    </row>
    <row r="5207" customFormat="false" ht="102" hidden="false" customHeight="false" outlineLevel="0" collapsed="false">
      <c r="A5207" s="37" t="s">
        <v>10113</v>
      </c>
      <c r="B5207" s="34" t="s">
        <v>10114</v>
      </c>
      <c r="C5207" s="34" t="s">
        <v>1751</v>
      </c>
    </row>
    <row r="5208" customFormat="false" ht="102" hidden="false" customHeight="false" outlineLevel="0" collapsed="false">
      <c r="A5208" s="37" t="s">
        <v>10115</v>
      </c>
      <c r="B5208" s="34" t="s">
        <v>10116</v>
      </c>
      <c r="C5208" s="34" t="s">
        <v>1737</v>
      </c>
    </row>
    <row r="5209" customFormat="false" ht="102" hidden="false" customHeight="false" outlineLevel="0" collapsed="false">
      <c r="A5209" s="37" t="s">
        <v>10117</v>
      </c>
      <c r="B5209" s="34" t="s">
        <v>10118</v>
      </c>
      <c r="C5209" s="34" t="s">
        <v>1737</v>
      </c>
    </row>
    <row r="5210" customFormat="false" ht="127.5" hidden="false" customHeight="false" outlineLevel="0" collapsed="false">
      <c r="A5210" s="37" t="s">
        <v>10119</v>
      </c>
      <c r="B5210" s="34" t="s">
        <v>10120</v>
      </c>
      <c r="C5210" s="34" t="s">
        <v>186</v>
      </c>
    </row>
    <row r="5211" customFormat="false" ht="89.25" hidden="false" customHeight="false" outlineLevel="0" collapsed="false">
      <c r="A5211" s="37" t="s">
        <v>10121</v>
      </c>
      <c r="B5211" s="34" t="s">
        <v>10122</v>
      </c>
      <c r="C5211" s="34" t="s">
        <v>1762</v>
      </c>
    </row>
    <row r="5212" customFormat="false" ht="63.75" hidden="false" customHeight="false" outlineLevel="0" collapsed="false">
      <c r="A5212" s="37" t="s">
        <v>10123</v>
      </c>
      <c r="B5212" s="34" t="s">
        <v>6692</v>
      </c>
      <c r="C5212" s="34" t="s">
        <v>139</v>
      </c>
    </row>
    <row r="5213" customFormat="false" ht="63.75" hidden="false" customHeight="false" outlineLevel="0" collapsed="false">
      <c r="A5213" s="37" t="s">
        <v>10124</v>
      </c>
      <c r="B5213" s="34" t="s">
        <v>10125</v>
      </c>
      <c r="C5213" s="34" t="s">
        <v>139</v>
      </c>
    </row>
    <row r="5214" customFormat="false" ht="38.25" hidden="false" customHeight="false" outlineLevel="0" collapsed="false">
      <c r="A5214" s="37" t="s">
        <v>10126</v>
      </c>
      <c r="B5214" s="34" t="s">
        <v>10127</v>
      </c>
      <c r="C5214" s="34" t="s">
        <v>965</v>
      </c>
    </row>
    <row r="5215" customFormat="false" ht="25.5" hidden="false" customHeight="false" outlineLevel="0" collapsed="false">
      <c r="A5215" s="37" t="s">
        <v>10128</v>
      </c>
      <c r="B5215" s="34" t="s">
        <v>10129</v>
      </c>
      <c r="C5215" s="34" t="s">
        <v>965</v>
      </c>
    </row>
    <row r="5216" customFormat="false" ht="127.5" hidden="false" customHeight="false" outlineLevel="0" collapsed="false">
      <c r="A5216" s="37" t="s">
        <v>10130</v>
      </c>
      <c r="B5216" s="34" t="s">
        <v>10131</v>
      </c>
      <c r="C5216" s="34" t="s">
        <v>1079</v>
      </c>
    </row>
    <row r="5217" customFormat="false" ht="127.5" hidden="false" customHeight="false" outlineLevel="0" collapsed="false">
      <c r="A5217" s="37" t="s">
        <v>10132</v>
      </c>
      <c r="B5217" s="34" t="s">
        <v>6724</v>
      </c>
      <c r="C5217" s="34" t="s">
        <v>1788</v>
      </c>
    </row>
    <row r="5218" customFormat="false" ht="127.5" hidden="false" customHeight="false" outlineLevel="0" collapsed="false">
      <c r="A5218" s="37" t="s">
        <v>10133</v>
      </c>
      <c r="B5218" s="34" t="s">
        <v>10134</v>
      </c>
      <c r="C5218" s="34" t="s">
        <v>1788</v>
      </c>
    </row>
    <row r="5219" customFormat="false" ht="102" hidden="false" customHeight="false" outlineLevel="0" collapsed="false">
      <c r="A5219" s="37" t="s">
        <v>10135</v>
      </c>
      <c r="B5219" s="34" t="s">
        <v>10136</v>
      </c>
      <c r="C5219" s="34" t="s">
        <v>1793</v>
      </c>
    </row>
    <row r="5220" customFormat="false" ht="102" hidden="false" customHeight="false" outlineLevel="0" collapsed="false">
      <c r="A5220" s="37" t="s">
        <v>10137</v>
      </c>
      <c r="B5220" s="34" t="s">
        <v>10138</v>
      </c>
      <c r="C5220" s="34" t="s">
        <v>1793</v>
      </c>
    </row>
    <row r="5221" customFormat="false" ht="76.5" hidden="false" customHeight="false" outlineLevel="0" collapsed="false">
      <c r="A5221" s="37" t="s">
        <v>10139</v>
      </c>
      <c r="B5221" s="34" t="s">
        <v>10140</v>
      </c>
      <c r="C5221" s="34" t="s">
        <v>1798</v>
      </c>
    </row>
    <row r="5222" customFormat="false" ht="63.75" hidden="false" customHeight="false" outlineLevel="0" collapsed="false">
      <c r="A5222" s="37" t="s">
        <v>10141</v>
      </c>
      <c r="B5222" s="34" t="s">
        <v>10142</v>
      </c>
      <c r="C5222" s="34" t="s">
        <v>1801</v>
      </c>
    </row>
    <row r="5223" customFormat="false" ht="102" hidden="false" customHeight="false" outlineLevel="0" collapsed="false">
      <c r="A5223" s="37" t="s">
        <v>10143</v>
      </c>
      <c r="B5223" s="34" t="s">
        <v>10144</v>
      </c>
      <c r="C5223" s="34" t="s">
        <v>221</v>
      </c>
    </row>
    <row r="5224" customFormat="false" ht="102" hidden="false" customHeight="false" outlineLevel="0" collapsed="false">
      <c r="A5224" s="37" t="s">
        <v>10145</v>
      </c>
      <c r="B5224" s="34" t="s">
        <v>10146</v>
      </c>
      <c r="C5224" s="34" t="s">
        <v>221</v>
      </c>
    </row>
    <row r="5225" customFormat="false" ht="102" hidden="false" customHeight="false" outlineLevel="0" collapsed="false">
      <c r="A5225" s="37" t="s">
        <v>10147</v>
      </c>
      <c r="B5225" s="34" t="s">
        <v>10148</v>
      </c>
      <c r="C5225" s="34" t="s">
        <v>1808</v>
      </c>
    </row>
    <row r="5226" customFormat="false" ht="102" hidden="false" customHeight="false" outlineLevel="0" collapsed="false">
      <c r="A5226" s="37" t="s">
        <v>10149</v>
      </c>
      <c r="B5226" s="34" t="s">
        <v>10150</v>
      </c>
      <c r="C5226" s="34" t="s">
        <v>1808</v>
      </c>
    </row>
    <row r="5227" customFormat="false" ht="102" hidden="false" customHeight="false" outlineLevel="0" collapsed="false">
      <c r="A5227" s="37" t="s">
        <v>10151</v>
      </c>
      <c r="B5227" s="34" t="s">
        <v>10152</v>
      </c>
      <c r="C5227" s="34" t="s">
        <v>1793</v>
      </c>
    </row>
    <row r="5228" customFormat="false" ht="89.25" hidden="false" customHeight="false" outlineLevel="0" collapsed="false">
      <c r="A5228" s="37" t="s">
        <v>10153</v>
      </c>
      <c r="B5228" s="34" t="s">
        <v>10154</v>
      </c>
      <c r="C5228" s="34" t="s">
        <v>210</v>
      </c>
    </row>
    <row r="5229" customFormat="false" ht="127.5" hidden="false" customHeight="false" outlineLevel="0" collapsed="false">
      <c r="A5229" s="37" t="s">
        <v>10155</v>
      </c>
      <c r="B5229" s="34" t="s">
        <v>10156</v>
      </c>
      <c r="C5229" s="34" t="s">
        <v>230</v>
      </c>
    </row>
    <row r="5230" customFormat="false" ht="89.25" hidden="false" customHeight="false" outlineLevel="0" collapsed="false">
      <c r="A5230" s="37" t="s">
        <v>10157</v>
      </c>
      <c r="B5230" s="34" t="s">
        <v>10158</v>
      </c>
      <c r="C5230" s="34" t="s">
        <v>1819</v>
      </c>
    </row>
    <row r="5231" customFormat="false" ht="63.75" hidden="false" customHeight="false" outlineLevel="0" collapsed="false">
      <c r="A5231" s="37" t="s">
        <v>10159</v>
      </c>
      <c r="B5231" s="34" t="s">
        <v>10160</v>
      </c>
      <c r="C5231" s="34" t="s">
        <v>139</v>
      </c>
    </row>
    <row r="5232" customFormat="false" ht="63.75" hidden="false" customHeight="false" outlineLevel="0" collapsed="false">
      <c r="A5232" s="37" t="s">
        <v>10161</v>
      </c>
      <c r="B5232" s="34" t="s">
        <v>10162</v>
      </c>
      <c r="C5232" s="34" t="s">
        <v>139</v>
      </c>
    </row>
    <row r="5233" customFormat="false" ht="38.25" hidden="false" customHeight="false" outlineLevel="0" collapsed="false">
      <c r="A5233" s="37" t="s">
        <v>10163</v>
      </c>
      <c r="B5233" s="34" t="s">
        <v>10164</v>
      </c>
      <c r="C5233" s="34" t="s">
        <v>965</v>
      </c>
    </row>
    <row r="5234" customFormat="false" ht="25.5" hidden="false" customHeight="false" outlineLevel="0" collapsed="false">
      <c r="A5234" s="37" t="s">
        <v>10165</v>
      </c>
      <c r="B5234" s="34" t="s">
        <v>10166</v>
      </c>
      <c r="C5234" s="34" t="s">
        <v>965</v>
      </c>
    </row>
    <row r="5235" customFormat="false" ht="127.5" hidden="false" customHeight="false" outlineLevel="0" collapsed="false">
      <c r="A5235" s="37" t="s">
        <v>10167</v>
      </c>
      <c r="B5235" s="34" t="s">
        <v>10168</v>
      </c>
      <c r="C5235" s="34" t="s">
        <v>1089</v>
      </c>
    </row>
    <row r="5236" customFormat="false" ht="127.5" hidden="false" customHeight="false" outlineLevel="0" collapsed="false">
      <c r="A5236" s="37" t="s">
        <v>10169</v>
      </c>
      <c r="B5236" s="34" t="s">
        <v>10170</v>
      </c>
      <c r="C5236" s="34" t="s">
        <v>1846</v>
      </c>
    </row>
    <row r="5237" customFormat="false" ht="127.5" hidden="false" customHeight="false" outlineLevel="0" collapsed="false">
      <c r="A5237" s="37" t="s">
        <v>10171</v>
      </c>
      <c r="B5237" s="34" t="s">
        <v>10172</v>
      </c>
      <c r="C5237" s="34" t="s">
        <v>1846</v>
      </c>
    </row>
    <row r="5238" customFormat="false" ht="102" hidden="false" customHeight="false" outlineLevel="0" collapsed="false">
      <c r="A5238" s="37" t="s">
        <v>10173</v>
      </c>
      <c r="B5238" s="34" t="s">
        <v>10174</v>
      </c>
      <c r="C5238" s="34" t="s">
        <v>1851</v>
      </c>
    </row>
    <row r="5239" customFormat="false" ht="102" hidden="false" customHeight="false" outlineLevel="0" collapsed="false">
      <c r="A5239" s="37" t="s">
        <v>10175</v>
      </c>
      <c r="B5239" s="34" t="s">
        <v>10176</v>
      </c>
      <c r="C5239" s="34" t="s">
        <v>1851</v>
      </c>
    </row>
    <row r="5240" customFormat="false" ht="76.5" hidden="false" customHeight="false" outlineLevel="0" collapsed="false">
      <c r="A5240" s="37" t="s">
        <v>10177</v>
      </c>
      <c r="B5240" s="34" t="s">
        <v>10178</v>
      </c>
      <c r="C5240" s="34" t="s">
        <v>1856</v>
      </c>
    </row>
    <row r="5241" customFormat="false" ht="63.75" hidden="false" customHeight="false" outlineLevel="0" collapsed="false">
      <c r="A5241" s="37" t="s">
        <v>10179</v>
      </c>
      <c r="B5241" s="34" t="s">
        <v>10180</v>
      </c>
      <c r="C5241" s="34" t="s">
        <v>1859</v>
      </c>
    </row>
    <row r="5242" customFormat="false" ht="102" hidden="false" customHeight="false" outlineLevel="0" collapsed="false">
      <c r="A5242" s="37" t="s">
        <v>10181</v>
      </c>
      <c r="B5242" s="34" t="s">
        <v>10182</v>
      </c>
      <c r="C5242" s="34" t="s">
        <v>265</v>
      </c>
    </row>
    <row r="5243" customFormat="false" ht="102" hidden="false" customHeight="false" outlineLevel="0" collapsed="false">
      <c r="A5243" s="37" t="s">
        <v>10183</v>
      </c>
      <c r="B5243" s="34" t="s">
        <v>10184</v>
      </c>
      <c r="C5243" s="34" t="s">
        <v>265</v>
      </c>
    </row>
    <row r="5244" customFormat="false" ht="102" hidden="false" customHeight="false" outlineLevel="0" collapsed="false">
      <c r="A5244" s="37" t="s">
        <v>10185</v>
      </c>
      <c r="B5244" s="34" t="s">
        <v>10186</v>
      </c>
      <c r="C5244" s="34" t="s">
        <v>1866</v>
      </c>
    </row>
    <row r="5245" customFormat="false" ht="102" hidden="false" customHeight="false" outlineLevel="0" collapsed="false">
      <c r="A5245" s="37" t="s">
        <v>10187</v>
      </c>
      <c r="B5245" s="34" t="s">
        <v>10188</v>
      </c>
      <c r="C5245" s="34" t="s">
        <v>1866</v>
      </c>
    </row>
    <row r="5246" customFormat="false" ht="102" hidden="false" customHeight="false" outlineLevel="0" collapsed="false">
      <c r="A5246" s="37" t="s">
        <v>10189</v>
      </c>
      <c r="B5246" s="34" t="s">
        <v>10190</v>
      </c>
      <c r="C5246" s="34" t="s">
        <v>1851</v>
      </c>
    </row>
    <row r="5247" customFormat="false" ht="89.25" hidden="false" customHeight="false" outlineLevel="0" collapsed="false">
      <c r="A5247" s="37" t="s">
        <v>10191</v>
      </c>
      <c r="B5247" s="34" t="s">
        <v>10192</v>
      </c>
      <c r="C5247" s="34" t="s">
        <v>254</v>
      </c>
    </row>
    <row r="5248" customFormat="false" ht="127.5" hidden="false" customHeight="false" outlineLevel="0" collapsed="false">
      <c r="A5248" s="37" t="s">
        <v>10193</v>
      </c>
      <c r="B5248" s="34" t="s">
        <v>10194</v>
      </c>
      <c r="C5248" s="34" t="s">
        <v>274</v>
      </c>
    </row>
    <row r="5249" customFormat="false" ht="89.25" hidden="false" customHeight="false" outlineLevel="0" collapsed="false">
      <c r="A5249" s="37" t="s">
        <v>10195</v>
      </c>
      <c r="B5249" s="34" t="s">
        <v>10196</v>
      </c>
      <c r="C5249" s="34" t="s">
        <v>1877</v>
      </c>
    </row>
    <row r="5250" customFormat="false" ht="63.75" hidden="false" customHeight="false" outlineLevel="0" collapsed="false">
      <c r="A5250" s="37" t="s">
        <v>10197</v>
      </c>
      <c r="B5250" s="34" t="s">
        <v>10198</v>
      </c>
      <c r="C5250" s="34" t="s">
        <v>139</v>
      </c>
    </row>
    <row r="5251" customFormat="false" ht="63.75" hidden="false" customHeight="false" outlineLevel="0" collapsed="false">
      <c r="A5251" s="37" t="s">
        <v>10199</v>
      </c>
      <c r="B5251" s="34" t="s">
        <v>10200</v>
      </c>
      <c r="C5251" s="34" t="s">
        <v>139</v>
      </c>
    </row>
    <row r="5252" customFormat="false" ht="38.25" hidden="false" customHeight="false" outlineLevel="0" collapsed="false">
      <c r="A5252" s="37" t="s">
        <v>10201</v>
      </c>
      <c r="B5252" s="34" t="s">
        <v>10202</v>
      </c>
      <c r="C5252" s="34" t="s">
        <v>965</v>
      </c>
    </row>
    <row r="5253" customFormat="false" ht="25.5" hidden="false" customHeight="false" outlineLevel="0" collapsed="false">
      <c r="A5253" s="37" t="s">
        <v>10203</v>
      </c>
      <c r="B5253" s="34" t="s">
        <v>10204</v>
      </c>
      <c r="C5253" s="34" t="s">
        <v>965</v>
      </c>
    </row>
    <row r="5254" customFormat="false" ht="127.5" hidden="false" customHeight="false" outlineLevel="0" collapsed="false">
      <c r="A5254" s="37" t="s">
        <v>10205</v>
      </c>
      <c r="B5254" s="34" t="s">
        <v>10206</v>
      </c>
      <c r="C5254" s="34" t="s">
        <v>1099</v>
      </c>
    </row>
    <row r="5255" customFormat="false" ht="127.5" hidden="false" customHeight="false" outlineLevel="0" collapsed="false">
      <c r="A5255" s="37" t="s">
        <v>10207</v>
      </c>
      <c r="B5255" s="34" t="s">
        <v>10208</v>
      </c>
      <c r="C5255" s="34" t="s">
        <v>1904</v>
      </c>
    </row>
    <row r="5256" customFormat="false" ht="127.5" hidden="false" customHeight="false" outlineLevel="0" collapsed="false">
      <c r="A5256" s="37" t="s">
        <v>10209</v>
      </c>
      <c r="B5256" s="34" t="s">
        <v>10210</v>
      </c>
      <c r="C5256" s="34" t="s">
        <v>1904</v>
      </c>
    </row>
    <row r="5257" customFormat="false" ht="102" hidden="false" customHeight="false" outlineLevel="0" collapsed="false">
      <c r="A5257" s="37" t="s">
        <v>10211</v>
      </c>
      <c r="B5257" s="34" t="s">
        <v>10212</v>
      </c>
      <c r="C5257" s="34" t="s">
        <v>1909</v>
      </c>
    </row>
    <row r="5258" customFormat="false" ht="102" hidden="false" customHeight="false" outlineLevel="0" collapsed="false">
      <c r="A5258" s="37" t="s">
        <v>10213</v>
      </c>
      <c r="B5258" s="34" t="s">
        <v>10214</v>
      </c>
      <c r="C5258" s="34" t="s">
        <v>1909</v>
      </c>
    </row>
    <row r="5259" customFormat="false" ht="76.5" hidden="false" customHeight="false" outlineLevel="0" collapsed="false">
      <c r="A5259" s="37" t="s">
        <v>10215</v>
      </c>
      <c r="B5259" s="34" t="s">
        <v>10216</v>
      </c>
      <c r="C5259" s="34" t="s">
        <v>1914</v>
      </c>
    </row>
    <row r="5260" customFormat="false" ht="63.75" hidden="false" customHeight="false" outlineLevel="0" collapsed="false">
      <c r="A5260" s="37" t="s">
        <v>10217</v>
      </c>
      <c r="B5260" s="34" t="s">
        <v>10218</v>
      </c>
      <c r="C5260" s="34" t="s">
        <v>1917</v>
      </c>
    </row>
    <row r="5261" customFormat="false" ht="102" hidden="false" customHeight="false" outlineLevel="0" collapsed="false">
      <c r="A5261" s="37" t="s">
        <v>10219</v>
      </c>
      <c r="B5261" s="34" t="s">
        <v>10220</v>
      </c>
      <c r="C5261" s="34" t="s">
        <v>309</v>
      </c>
    </row>
    <row r="5262" customFormat="false" ht="102" hidden="false" customHeight="false" outlineLevel="0" collapsed="false">
      <c r="A5262" s="37" t="s">
        <v>10221</v>
      </c>
      <c r="B5262" s="34" t="s">
        <v>10222</v>
      </c>
      <c r="C5262" s="34" t="s">
        <v>309</v>
      </c>
    </row>
    <row r="5263" customFormat="false" ht="102" hidden="false" customHeight="false" outlineLevel="0" collapsed="false">
      <c r="A5263" s="37" t="s">
        <v>10223</v>
      </c>
      <c r="B5263" s="34" t="s">
        <v>10224</v>
      </c>
      <c r="C5263" s="34" t="s">
        <v>1924</v>
      </c>
    </row>
    <row r="5264" customFormat="false" ht="102" hidden="false" customHeight="false" outlineLevel="0" collapsed="false">
      <c r="A5264" s="37" t="s">
        <v>10225</v>
      </c>
      <c r="B5264" s="34" t="s">
        <v>10226</v>
      </c>
      <c r="C5264" s="34" t="s">
        <v>1924</v>
      </c>
    </row>
    <row r="5265" customFormat="false" ht="102" hidden="false" customHeight="false" outlineLevel="0" collapsed="false">
      <c r="A5265" s="37" t="s">
        <v>10227</v>
      </c>
      <c r="B5265" s="34" t="s">
        <v>10228</v>
      </c>
      <c r="C5265" s="34" t="s">
        <v>1909</v>
      </c>
    </row>
    <row r="5266" customFormat="false" ht="89.25" hidden="false" customHeight="false" outlineLevel="0" collapsed="false">
      <c r="A5266" s="37" t="s">
        <v>10229</v>
      </c>
      <c r="B5266" s="34" t="s">
        <v>10230</v>
      </c>
      <c r="C5266" s="34" t="s">
        <v>298</v>
      </c>
    </row>
    <row r="5267" customFormat="false" ht="127.5" hidden="false" customHeight="false" outlineLevel="0" collapsed="false">
      <c r="A5267" s="37" t="s">
        <v>10231</v>
      </c>
      <c r="B5267" s="34" t="s">
        <v>10232</v>
      </c>
      <c r="C5267" s="34" t="s">
        <v>318</v>
      </c>
    </row>
    <row r="5268" customFormat="false" ht="89.25" hidden="false" customHeight="false" outlineLevel="0" collapsed="false">
      <c r="A5268" s="37" t="s">
        <v>10233</v>
      </c>
      <c r="B5268" s="34" t="s">
        <v>10234</v>
      </c>
      <c r="C5268" s="34" t="s">
        <v>1935</v>
      </c>
    </row>
    <row r="5269" customFormat="false" ht="63.75" hidden="false" customHeight="false" outlineLevel="0" collapsed="false">
      <c r="A5269" s="37" t="s">
        <v>10235</v>
      </c>
      <c r="B5269" s="34" t="s">
        <v>6872</v>
      </c>
      <c r="C5269" s="34" t="s">
        <v>139</v>
      </c>
    </row>
    <row r="5270" customFormat="false" ht="63.75" hidden="false" customHeight="false" outlineLevel="0" collapsed="false">
      <c r="A5270" s="37" t="s">
        <v>10236</v>
      </c>
      <c r="B5270" s="34" t="s">
        <v>10237</v>
      </c>
      <c r="C5270" s="34" t="s">
        <v>139</v>
      </c>
    </row>
    <row r="5271" customFormat="false" ht="38.25" hidden="false" customHeight="false" outlineLevel="0" collapsed="false">
      <c r="A5271" s="37" t="s">
        <v>10238</v>
      </c>
      <c r="B5271" s="34" t="s">
        <v>10239</v>
      </c>
      <c r="C5271" s="34" t="s">
        <v>965</v>
      </c>
    </row>
    <row r="5272" customFormat="false" ht="25.5" hidden="false" customHeight="false" outlineLevel="0" collapsed="false">
      <c r="A5272" s="37" t="s">
        <v>10240</v>
      </c>
      <c r="B5272" s="34" t="s">
        <v>10241</v>
      </c>
      <c r="C5272" s="34" t="s">
        <v>965</v>
      </c>
    </row>
    <row r="5273" customFormat="false" ht="127.5" hidden="false" customHeight="false" outlineLevel="0" collapsed="false">
      <c r="A5273" s="37" t="s">
        <v>10242</v>
      </c>
      <c r="B5273" s="34" t="s">
        <v>10243</v>
      </c>
      <c r="C5273" s="34" t="s">
        <v>1108</v>
      </c>
    </row>
    <row r="5274" customFormat="false" ht="127.5" hidden="false" customHeight="false" outlineLevel="0" collapsed="false">
      <c r="A5274" s="37" t="s">
        <v>10244</v>
      </c>
      <c r="B5274" s="34" t="s">
        <v>10245</v>
      </c>
      <c r="C5274" s="34" t="s">
        <v>1967</v>
      </c>
    </row>
    <row r="5275" customFormat="false" ht="127.5" hidden="false" customHeight="false" outlineLevel="0" collapsed="false">
      <c r="A5275" s="37" t="s">
        <v>10246</v>
      </c>
      <c r="B5275" s="34" t="s">
        <v>10247</v>
      </c>
      <c r="C5275" s="34" t="s">
        <v>1967</v>
      </c>
    </row>
    <row r="5276" customFormat="false" ht="102" hidden="false" customHeight="false" outlineLevel="0" collapsed="false">
      <c r="A5276" s="37" t="s">
        <v>10248</v>
      </c>
      <c r="B5276" s="34" t="s">
        <v>10249</v>
      </c>
      <c r="C5276" s="34" t="s">
        <v>1972</v>
      </c>
    </row>
    <row r="5277" customFormat="false" ht="102" hidden="false" customHeight="false" outlineLevel="0" collapsed="false">
      <c r="A5277" s="37" t="s">
        <v>10250</v>
      </c>
      <c r="B5277" s="34" t="s">
        <v>10251</v>
      </c>
      <c r="C5277" s="34" t="s">
        <v>1972</v>
      </c>
    </row>
    <row r="5278" customFormat="false" ht="76.5" hidden="false" customHeight="false" outlineLevel="0" collapsed="false">
      <c r="A5278" s="37" t="s">
        <v>10252</v>
      </c>
      <c r="B5278" s="34" t="s">
        <v>10253</v>
      </c>
      <c r="C5278" s="34" t="s">
        <v>1977</v>
      </c>
    </row>
    <row r="5279" customFormat="false" ht="63.75" hidden="false" customHeight="false" outlineLevel="0" collapsed="false">
      <c r="A5279" s="37" t="s">
        <v>10254</v>
      </c>
      <c r="B5279" s="34" t="s">
        <v>10255</v>
      </c>
      <c r="C5279" s="34" t="s">
        <v>1980</v>
      </c>
    </row>
    <row r="5280" customFormat="false" ht="102" hidden="false" customHeight="false" outlineLevel="0" collapsed="false">
      <c r="A5280" s="37" t="s">
        <v>10256</v>
      </c>
      <c r="B5280" s="34" t="s">
        <v>10257</v>
      </c>
      <c r="C5280" s="34" t="s">
        <v>351</v>
      </c>
    </row>
    <row r="5281" customFormat="false" ht="102" hidden="false" customHeight="false" outlineLevel="0" collapsed="false">
      <c r="A5281" s="37" t="s">
        <v>10258</v>
      </c>
      <c r="B5281" s="34" t="s">
        <v>10259</v>
      </c>
      <c r="C5281" s="34" t="s">
        <v>351</v>
      </c>
    </row>
    <row r="5282" customFormat="false" ht="102" hidden="false" customHeight="false" outlineLevel="0" collapsed="false">
      <c r="A5282" s="37" t="s">
        <v>10260</v>
      </c>
      <c r="B5282" s="34" t="s">
        <v>10261</v>
      </c>
      <c r="C5282" s="34" t="s">
        <v>1987</v>
      </c>
    </row>
    <row r="5283" customFormat="false" ht="102" hidden="false" customHeight="false" outlineLevel="0" collapsed="false">
      <c r="A5283" s="37" t="s">
        <v>10262</v>
      </c>
      <c r="B5283" s="34" t="s">
        <v>10263</v>
      </c>
      <c r="C5283" s="34" t="s">
        <v>1987</v>
      </c>
    </row>
    <row r="5284" customFormat="false" ht="102" hidden="false" customHeight="false" outlineLevel="0" collapsed="false">
      <c r="A5284" s="37" t="s">
        <v>10264</v>
      </c>
      <c r="B5284" s="34" t="s">
        <v>10265</v>
      </c>
      <c r="C5284" s="34" t="s">
        <v>1972</v>
      </c>
    </row>
    <row r="5285" customFormat="false" ht="89.25" hidden="false" customHeight="false" outlineLevel="0" collapsed="false">
      <c r="A5285" s="37" t="s">
        <v>10266</v>
      </c>
      <c r="B5285" s="34" t="s">
        <v>10267</v>
      </c>
      <c r="C5285" s="34" t="s">
        <v>340</v>
      </c>
    </row>
    <row r="5286" customFormat="false" ht="127.5" hidden="false" customHeight="false" outlineLevel="0" collapsed="false">
      <c r="A5286" s="37" t="s">
        <v>10268</v>
      </c>
      <c r="B5286" s="34" t="s">
        <v>10269</v>
      </c>
      <c r="C5286" s="34" t="s">
        <v>360</v>
      </c>
    </row>
    <row r="5287" customFormat="false" ht="89.25" hidden="false" customHeight="false" outlineLevel="0" collapsed="false">
      <c r="A5287" s="37" t="s">
        <v>10270</v>
      </c>
      <c r="B5287" s="34" t="s">
        <v>10271</v>
      </c>
      <c r="C5287" s="34" t="s">
        <v>1998</v>
      </c>
    </row>
    <row r="5288" customFormat="false" ht="63.75" hidden="false" customHeight="false" outlineLevel="0" collapsed="false">
      <c r="A5288" s="37" t="s">
        <v>10272</v>
      </c>
      <c r="B5288" s="34" t="s">
        <v>10273</v>
      </c>
      <c r="C5288" s="34" t="s">
        <v>139</v>
      </c>
    </row>
    <row r="5289" customFormat="false" ht="63.75" hidden="false" customHeight="false" outlineLevel="0" collapsed="false">
      <c r="A5289" s="37" t="s">
        <v>10274</v>
      </c>
      <c r="B5289" s="34" t="s">
        <v>10275</v>
      </c>
      <c r="C5289" s="34" t="s">
        <v>139</v>
      </c>
    </row>
    <row r="5290" customFormat="false" ht="38.25" hidden="false" customHeight="false" outlineLevel="0" collapsed="false">
      <c r="A5290" s="37" t="s">
        <v>10276</v>
      </c>
      <c r="B5290" s="34" t="s">
        <v>10277</v>
      </c>
      <c r="C5290" s="34" t="s">
        <v>965</v>
      </c>
    </row>
    <row r="5291" customFormat="false" ht="25.5" hidden="false" customHeight="false" outlineLevel="0" collapsed="false">
      <c r="A5291" s="37" t="s">
        <v>10278</v>
      </c>
      <c r="B5291" s="34" t="s">
        <v>10279</v>
      </c>
      <c r="C5291" s="34" t="s">
        <v>965</v>
      </c>
    </row>
    <row r="5292" customFormat="false" ht="63.75" hidden="false" customHeight="false" outlineLevel="0" collapsed="false">
      <c r="A5292" s="37" t="s">
        <v>10280</v>
      </c>
      <c r="B5292" s="34" t="s">
        <v>10281</v>
      </c>
      <c r="C5292" s="34" t="s">
        <v>1142</v>
      </c>
    </row>
    <row r="5293" customFormat="false" ht="63.75" hidden="false" customHeight="false" outlineLevel="0" collapsed="false">
      <c r="A5293" s="37" t="s">
        <v>10282</v>
      </c>
      <c r="B5293" s="34" t="s">
        <v>10283</v>
      </c>
      <c r="C5293" s="34" t="s">
        <v>1142</v>
      </c>
    </row>
    <row r="5294" customFormat="false" ht="63.75" hidden="false" customHeight="false" outlineLevel="0" collapsed="false">
      <c r="A5294" s="37" t="s">
        <v>10284</v>
      </c>
      <c r="B5294" s="34" t="s">
        <v>10285</v>
      </c>
      <c r="C5294" s="34" t="s">
        <v>1142</v>
      </c>
    </row>
    <row r="5295" customFormat="false" ht="63.75" hidden="false" customHeight="false" outlineLevel="0" collapsed="false">
      <c r="A5295" s="37" t="s">
        <v>10286</v>
      </c>
      <c r="B5295" s="34" t="s">
        <v>10287</v>
      </c>
      <c r="C5295" s="34" t="s">
        <v>1142</v>
      </c>
    </row>
    <row r="5296" customFormat="false" ht="63.75" hidden="false" customHeight="false" outlineLevel="0" collapsed="false">
      <c r="A5296" s="37" t="s">
        <v>10288</v>
      </c>
      <c r="B5296" s="34" t="s">
        <v>10289</v>
      </c>
      <c r="C5296" s="34" t="s">
        <v>373</v>
      </c>
    </row>
    <row r="5297" customFormat="false" ht="63.75" hidden="false" customHeight="false" outlineLevel="0" collapsed="false">
      <c r="A5297" s="37" t="s">
        <v>10290</v>
      </c>
      <c r="B5297" s="34" t="s">
        <v>10291</v>
      </c>
      <c r="C5297" s="34" t="s">
        <v>373</v>
      </c>
    </row>
    <row r="5298" customFormat="false" ht="51" hidden="false" customHeight="false" outlineLevel="0" collapsed="false">
      <c r="A5298" s="37" t="s">
        <v>10292</v>
      </c>
      <c r="B5298" s="34" t="s">
        <v>10293</v>
      </c>
      <c r="C5298" s="34" t="s">
        <v>384</v>
      </c>
    </row>
    <row r="5299" customFormat="false" ht="76.5" hidden="false" customHeight="false" outlineLevel="0" collapsed="false">
      <c r="A5299" s="37" t="s">
        <v>10294</v>
      </c>
      <c r="B5299" s="34" t="s">
        <v>10295</v>
      </c>
      <c r="C5299" s="34" t="s">
        <v>1188</v>
      </c>
    </row>
    <row r="5300" customFormat="false" ht="76.5" hidden="false" customHeight="false" outlineLevel="0" collapsed="false">
      <c r="A5300" s="37" t="s">
        <v>10296</v>
      </c>
      <c r="B5300" s="34" t="s">
        <v>10297</v>
      </c>
      <c r="C5300" s="34" t="s">
        <v>1188</v>
      </c>
    </row>
    <row r="5301" customFormat="false" ht="76.5" hidden="false" customHeight="false" outlineLevel="0" collapsed="false">
      <c r="A5301" s="37" t="s">
        <v>10298</v>
      </c>
      <c r="B5301" s="34" t="s">
        <v>10299</v>
      </c>
      <c r="C5301" s="34" t="s">
        <v>1188</v>
      </c>
    </row>
    <row r="5302" customFormat="false" ht="76.5" hidden="false" customHeight="false" outlineLevel="0" collapsed="false">
      <c r="A5302" s="37" t="s">
        <v>10300</v>
      </c>
      <c r="B5302" s="34" t="s">
        <v>10301</v>
      </c>
      <c r="C5302" s="34" t="s">
        <v>1188</v>
      </c>
    </row>
    <row r="5303" customFormat="false" ht="76.5" hidden="false" customHeight="false" outlineLevel="0" collapsed="false">
      <c r="A5303" s="37" t="s">
        <v>10302</v>
      </c>
      <c r="B5303" s="34" t="s">
        <v>10303</v>
      </c>
      <c r="C5303" s="34" t="s">
        <v>1193</v>
      </c>
    </row>
    <row r="5304" customFormat="false" ht="89.25" hidden="false" customHeight="false" outlineLevel="0" collapsed="false">
      <c r="A5304" s="37" t="s">
        <v>10304</v>
      </c>
      <c r="B5304" s="34" t="s">
        <v>10305</v>
      </c>
      <c r="C5304" s="34" t="s">
        <v>1198</v>
      </c>
    </row>
    <row r="5305" customFormat="false" ht="89.25" hidden="false" customHeight="false" outlineLevel="0" collapsed="false">
      <c r="A5305" s="37" t="s">
        <v>10306</v>
      </c>
      <c r="B5305" s="34" t="s">
        <v>10307</v>
      </c>
      <c r="C5305" s="34" t="s">
        <v>1198</v>
      </c>
    </row>
    <row r="5306" customFormat="false" ht="89.25" hidden="false" customHeight="false" outlineLevel="0" collapsed="false">
      <c r="A5306" s="37" t="s">
        <v>10308</v>
      </c>
      <c r="B5306" s="34" t="s">
        <v>10309</v>
      </c>
      <c r="C5306" s="34" t="s">
        <v>1198</v>
      </c>
    </row>
    <row r="5307" customFormat="false" ht="89.25" hidden="false" customHeight="false" outlineLevel="0" collapsed="false">
      <c r="A5307" s="37" t="s">
        <v>10310</v>
      </c>
      <c r="B5307" s="34" t="s">
        <v>10311</v>
      </c>
      <c r="C5307" s="34" t="s">
        <v>1198</v>
      </c>
    </row>
    <row r="5308" customFormat="false" ht="89.25" hidden="false" customHeight="false" outlineLevel="0" collapsed="false">
      <c r="A5308" s="37" t="s">
        <v>10312</v>
      </c>
      <c r="B5308" s="34" t="s">
        <v>10313</v>
      </c>
      <c r="C5308" s="34" t="s">
        <v>1198</v>
      </c>
    </row>
    <row r="5309" customFormat="false" ht="89.25" hidden="false" customHeight="false" outlineLevel="0" collapsed="false">
      <c r="A5309" s="37" t="s">
        <v>10314</v>
      </c>
      <c r="B5309" s="34" t="s">
        <v>10315</v>
      </c>
      <c r="C5309" s="34" t="s">
        <v>1198</v>
      </c>
    </row>
    <row r="5310" customFormat="false" ht="89.25" hidden="false" customHeight="false" outlineLevel="0" collapsed="false">
      <c r="A5310" s="37" t="s">
        <v>10316</v>
      </c>
      <c r="B5310" s="34" t="s">
        <v>10317</v>
      </c>
      <c r="C5310" s="34" t="s">
        <v>1198</v>
      </c>
    </row>
    <row r="5311" customFormat="false" ht="89.25" hidden="false" customHeight="false" outlineLevel="0" collapsed="false">
      <c r="A5311" s="37" t="s">
        <v>10318</v>
      </c>
      <c r="B5311" s="34" t="s">
        <v>10319</v>
      </c>
      <c r="C5311" s="34" t="s">
        <v>1198</v>
      </c>
    </row>
    <row r="5312" customFormat="false" ht="102" hidden="false" customHeight="false" outlineLevel="0" collapsed="false">
      <c r="A5312" s="37" t="s">
        <v>10320</v>
      </c>
      <c r="B5312" s="34" t="s">
        <v>10321</v>
      </c>
      <c r="C5312" s="34" t="s">
        <v>1215</v>
      </c>
    </row>
    <row r="5313" customFormat="false" ht="63.75" hidden="false" customHeight="false" outlineLevel="0" collapsed="false">
      <c r="A5313" s="37" t="s">
        <v>10322</v>
      </c>
      <c r="B5313" s="34" t="s">
        <v>10323</v>
      </c>
      <c r="C5313" s="34" t="s">
        <v>139</v>
      </c>
    </row>
    <row r="5314" customFormat="false" ht="63.75" hidden="false" customHeight="false" outlineLevel="0" collapsed="false">
      <c r="A5314" s="37" t="s">
        <v>10324</v>
      </c>
      <c r="B5314" s="34" t="s">
        <v>10325</v>
      </c>
      <c r="C5314" s="34" t="s">
        <v>139</v>
      </c>
    </row>
    <row r="5315" customFormat="false" ht="51" hidden="false" customHeight="false" outlineLevel="0" collapsed="false">
      <c r="A5315" s="37" t="s">
        <v>10326</v>
      </c>
      <c r="B5315" s="34" t="s">
        <v>10327</v>
      </c>
      <c r="C5315" s="34" t="s">
        <v>437</v>
      </c>
    </row>
    <row r="5316" customFormat="false" ht="51" hidden="false" customHeight="false" outlineLevel="0" collapsed="false">
      <c r="A5316" s="37" t="s">
        <v>10328</v>
      </c>
      <c r="B5316" s="34" t="s">
        <v>10329</v>
      </c>
      <c r="C5316" s="34" t="s">
        <v>437</v>
      </c>
    </row>
    <row r="5317" customFormat="false" ht="51" hidden="false" customHeight="false" outlineLevel="0" collapsed="false">
      <c r="A5317" s="37" t="s">
        <v>10330</v>
      </c>
      <c r="B5317" s="34" t="s">
        <v>10331</v>
      </c>
      <c r="C5317" s="34" t="s">
        <v>437</v>
      </c>
    </row>
    <row r="5318" customFormat="false" ht="89.25" hidden="false" customHeight="false" outlineLevel="0" collapsed="false">
      <c r="A5318" s="37" t="s">
        <v>10332</v>
      </c>
      <c r="B5318" s="34" t="s">
        <v>10333</v>
      </c>
      <c r="C5318" s="34" t="s">
        <v>444</v>
      </c>
    </row>
    <row r="5319" customFormat="false" ht="89.25" hidden="false" customHeight="false" outlineLevel="0" collapsed="false">
      <c r="A5319" s="37" t="s">
        <v>10334</v>
      </c>
      <c r="B5319" s="34" t="s">
        <v>10335</v>
      </c>
      <c r="C5319" s="34" t="s">
        <v>444</v>
      </c>
    </row>
    <row r="5320" customFormat="false" ht="89.25" hidden="false" customHeight="false" outlineLevel="0" collapsed="false">
      <c r="A5320" s="37" t="s">
        <v>10336</v>
      </c>
      <c r="B5320" s="34" t="s">
        <v>10337</v>
      </c>
      <c r="C5320" s="34" t="s">
        <v>449</v>
      </c>
    </row>
    <row r="5321" customFormat="false" ht="89.25" hidden="false" customHeight="false" outlineLevel="0" collapsed="false">
      <c r="A5321" s="37" t="s">
        <v>10338</v>
      </c>
      <c r="B5321" s="34" t="s">
        <v>10339</v>
      </c>
      <c r="C5321" s="34" t="s">
        <v>449</v>
      </c>
    </row>
    <row r="5322" customFormat="false" ht="63.75" hidden="false" customHeight="false" outlineLevel="0" collapsed="false">
      <c r="A5322" s="37" t="s">
        <v>10340</v>
      </c>
      <c r="B5322" s="34" t="s">
        <v>10341</v>
      </c>
      <c r="C5322" s="34" t="s">
        <v>452</v>
      </c>
    </row>
    <row r="5323" customFormat="false" ht="76.5" hidden="false" customHeight="false" outlineLevel="0" collapsed="false">
      <c r="A5323" s="37" t="s">
        <v>10342</v>
      </c>
      <c r="B5323" s="34" t="s">
        <v>10343</v>
      </c>
      <c r="C5323" s="34" t="s">
        <v>2036</v>
      </c>
    </row>
    <row r="5324" customFormat="false" ht="63.75" hidden="false" customHeight="false" outlineLevel="0" collapsed="false">
      <c r="A5324" s="37" t="s">
        <v>10344</v>
      </c>
      <c r="B5324" s="34" t="s">
        <v>10345</v>
      </c>
      <c r="C5324" s="34" t="s">
        <v>139</v>
      </c>
    </row>
    <row r="5325" customFormat="false" ht="63.75" hidden="false" customHeight="false" outlineLevel="0" collapsed="false">
      <c r="A5325" s="37" t="s">
        <v>10346</v>
      </c>
      <c r="B5325" s="34" t="s">
        <v>10347</v>
      </c>
      <c r="C5325" s="34" t="s">
        <v>139</v>
      </c>
    </row>
    <row r="5326" customFormat="false" ht="38.25" hidden="false" customHeight="false" outlineLevel="0" collapsed="false">
      <c r="A5326" s="37" t="s">
        <v>10348</v>
      </c>
      <c r="B5326" s="34" t="s">
        <v>10349</v>
      </c>
      <c r="C5326" s="34" t="s">
        <v>463</v>
      </c>
    </row>
    <row r="5327" customFormat="false" ht="38.25" hidden="false" customHeight="false" outlineLevel="0" collapsed="false">
      <c r="A5327" s="37" t="s">
        <v>10350</v>
      </c>
      <c r="B5327" s="34" t="s">
        <v>10351</v>
      </c>
      <c r="C5327" s="34" t="s">
        <v>466</v>
      </c>
    </row>
    <row r="5328" customFormat="false" ht="38.25" hidden="false" customHeight="false" outlineLevel="0" collapsed="false">
      <c r="A5328" s="37" t="s">
        <v>10352</v>
      </c>
      <c r="B5328" s="34" t="s">
        <v>10353</v>
      </c>
      <c r="C5328" s="34" t="s">
        <v>469</v>
      </c>
    </row>
    <row r="5329" customFormat="false" ht="38.25" hidden="false" customHeight="false" outlineLevel="0" collapsed="false">
      <c r="A5329" s="37" t="s">
        <v>10354</v>
      </c>
      <c r="B5329" s="34" t="s">
        <v>10355</v>
      </c>
      <c r="C5329" s="34" t="s">
        <v>472</v>
      </c>
    </row>
    <row r="5330" customFormat="false" ht="38.25" hidden="false" customHeight="false" outlineLevel="0" collapsed="false">
      <c r="A5330" s="37" t="s">
        <v>10356</v>
      </c>
      <c r="B5330" s="34" t="s">
        <v>10357</v>
      </c>
      <c r="C5330" s="34" t="s">
        <v>475</v>
      </c>
    </row>
    <row r="5331" customFormat="false" ht="38.25" hidden="false" customHeight="false" outlineLevel="0" collapsed="false">
      <c r="A5331" s="37" t="s">
        <v>10358</v>
      </c>
      <c r="B5331" s="34" t="s">
        <v>10359</v>
      </c>
      <c r="C5331" s="34" t="s">
        <v>478</v>
      </c>
    </row>
    <row r="5332" customFormat="false" ht="38.25" hidden="false" customHeight="false" outlineLevel="0" collapsed="false">
      <c r="A5332" s="37" t="s">
        <v>10360</v>
      </c>
      <c r="B5332" s="34" t="s">
        <v>10361</v>
      </c>
      <c r="C5332" s="34" t="s">
        <v>481</v>
      </c>
    </row>
    <row r="5333" customFormat="false" ht="38.25" hidden="false" customHeight="false" outlineLevel="0" collapsed="false">
      <c r="A5333" s="37" t="s">
        <v>10362</v>
      </c>
      <c r="B5333" s="34" t="s">
        <v>10363</v>
      </c>
      <c r="C5333" s="34" t="s">
        <v>484</v>
      </c>
    </row>
    <row r="5334" customFormat="false" ht="38.25" hidden="false" customHeight="false" outlineLevel="0" collapsed="false">
      <c r="A5334" s="37" t="s">
        <v>10364</v>
      </c>
      <c r="B5334" s="34" t="s">
        <v>10365</v>
      </c>
      <c r="C5334" s="34" t="s">
        <v>487</v>
      </c>
    </row>
    <row r="5335" customFormat="false" ht="38.25" hidden="false" customHeight="false" outlineLevel="0" collapsed="false">
      <c r="A5335" s="37" t="s">
        <v>10366</v>
      </c>
      <c r="B5335" s="34" t="s">
        <v>10367</v>
      </c>
      <c r="C5335" s="34" t="s">
        <v>490</v>
      </c>
    </row>
    <row r="5336" customFormat="false" ht="38.25" hidden="false" customHeight="false" outlineLevel="0" collapsed="false">
      <c r="A5336" s="37" t="s">
        <v>10368</v>
      </c>
      <c r="B5336" s="34" t="s">
        <v>10369</v>
      </c>
      <c r="C5336" s="34" t="s">
        <v>493</v>
      </c>
    </row>
    <row r="5337" customFormat="false" ht="38.25" hidden="false" customHeight="false" outlineLevel="0" collapsed="false">
      <c r="A5337" s="37" t="s">
        <v>10370</v>
      </c>
      <c r="B5337" s="34" t="s">
        <v>10371</v>
      </c>
      <c r="C5337" s="34" t="s">
        <v>496</v>
      </c>
    </row>
    <row r="5338" customFormat="false" ht="38.25" hidden="false" customHeight="false" outlineLevel="0" collapsed="false">
      <c r="A5338" s="37" t="s">
        <v>10372</v>
      </c>
      <c r="B5338" s="34" t="s">
        <v>10373</v>
      </c>
      <c r="C5338" s="34" t="s">
        <v>499</v>
      </c>
    </row>
    <row r="5339" customFormat="false" ht="38.25" hidden="false" customHeight="false" outlineLevel="0" collapsed="false">
      <c r="A5339" s="37" t="s">
        <v>10374</v>
      </c>
      <c r="B5339" s="34" t="s">
        <v>10375</v>
      </c>
      <c r="C5339" s="34" t="s">
        <v>502</v>
      </c>
    </row>
    <row r="5340" customFormat="false" ht="38.25" hidden="false" customHeight="false" outlineLevel="0" collapsed="false">
      <c r="A5340" s="37" t="s">
        <v>10376</v>
      </c>
      <c r="B5340" s="34" t="s">
        <v>10377</v>
      </c>
      <c r="C5340" s="34" t="s">
        <v>505</v>
      </c>
    </row>
    <row r="5341" customFormat="false" ht="51" hidden="false" customHeight="false" outlineLevel="0" collapsed="false">
      <c r="A5341" s="37" t="s">
        <v>10378</v>
      </c>
      <c r="B5341" s="34" t="s">
        <v>10379</v>
      </c>
      <c r="C5341" s="34" t="s">
        <v>508</v>
      </c>
    </row>
    <row r="5342" customFormat="false" ht="51" hidden="false" customHeight="false" outlineLevel="0" collapsed="false">
      <c r="A5342" s="37" t="s">
        <v>10380</v>
      </c>
      <c r="B5342" s="34" t="s">
        <v>10381</v>
      </c>
      <c r="C5342" s="34" t="s">
        <v>511</v>
      </c>
    </row>
    <row r="5343" customFormat="false" ht="51" hidden="false" customHeight="false" outlineLevel="0" collapsed="false">
      <c r="A5343" s="37" t="s">
        <v>10382</v>
      </c>
      <c r="B5343" s="34" t="s">
        <v>10383</v>
      </c>
      <c r="C5343" s="34" t="s">
        <v>514</v>
      </c>
    </row>
    <row r="5344" customFormat="false" ht="51" hidden="false" customHeight="false" outlineLevel="0" collapsed="false">
      <c r="A5344" s="37" t="s">
        <v>10384</v>
      </c>
      <c r="B5344" s="34" t="s">
        <v>10385</v>
      </c>
      <c r="C5344" s="34" t="s">
        <v>517</v>
      </c>
    </row>
    <row r="5345" customFormat="false" ht="51" hidden="false" customHeight="false" outlineLevel="0" collapsed="false">
      <c r="A5345" s="37" t="s">
        <v>10386</v>
      </c>
      <c r="B5345" s="34" t="s">
        <v>10387</v>
      </c>
      <c r="C5345" s="34" t="s">
        <v>517</v>
      </c>
    </row>
    <row r="5346" customFormat="false" ht="51" hidden="false" customHeight="false" outlineLevel="0" collapsed="false">
      <c r="A5346" s="37" t="s">
        <v>10388</v>
      </c>
      <c r="B5346" s="34" t="s">
        <v>10389</v>
      </c>
      <c r="C5346" s="34" t="s">
        <v>517</v>
      </c>
    </row>
    <row r="5347" customFormat="false" ht="51" hidden="false" customHeight="false" outlineLevel="0" collapsed="false">
      <c r="A5347" s="37" t="s">
        <v>10390</v>
      </c>
      <c r="B5347" s="34" t="s">
        <v>10391</v>
      </c>
      <c r="C5347" s="34" t="s">
        <v>517</v>
      </c>
    </row>
    <row r="5348" customFormat="false" ht="51" hidden="false" customHeight="false" outlineLevel="0" collapsed="false">
      <c r="A5348" s="37" t="s">
        <v>10392</v>
      </c>
      <c r="B5348" s="34" t="s">
        <v>10393</v>
      </c>
      <c r="C5348" s="34" t="s">
        <v>511</v>
      </c>
    </row>
    <row r="5349" customFormat="false" ht="51" hidden="false" customHeight="false" outlineLevel="0" collapsed="false">
      <c r="A5349" s="37" t="s">
        <v>10394</v>
      </c>
      <c r="B5349" s="34" t="s">
        <v>10395</v>
      </c>
      <c r="C5349" s="34" t="s">
        <v>511</v>
      </c>
    </row>
    <row r="5350" customFormat="false" ht="51" hidden="false" customHeight="false" outlineLevel="0" collapsed="false">
      <c r="A5350" s="37" t="s">
        <v>10396</v>
      </c>
      <c r="B5350" s="34" t="s">
        <v>10397</v>
      </c>
      <c r="C5350" s="34" t="s">
        <v>511</v>
      </c>
    </row>
    <row r="5351" customFormat="false" ht="51" hidden="false" customHeight="false" outlineLevel="0" collapsed="false">
      <c r="A5351" s="37" t="s">
        <v>10398</v>
      </c>
      <c r="B5351" s="34" t="s">
        <v>10399</v>
      </c>
      <c r="C5351" s="34" t="s">
        <v>511</v>
      </c>
    </row>
    <row r="5352" customFormat="false" ht="51" hidden="false" customHeight="false" outlineLevel="0" collapsed="false">
      <c r="A5352" s="37" t="s">
        <v>10400</v>
      </c>
      <c r="B5352" s="34" t="s">
        <v>10401</v>
      </c>
      <c r="C5352" s="34" t="s">
        <v>511</v>
      </c>
    </row>
    <row r="5353" customFormat="false" ht="51" hidden="false" customHeight="false" outlineLevel="0" collapsed="false">
      <c r="A5353" s="37" t="s">
        <v>10402</v>
      </c>
      <c r="B5353" s="34" t="s">
        <v>10403</v>
      </c>
      <c r="C5353" s="34" t="s">
        <v>511</v>
      </c>
    </row>
    <row r="5354" customFormat="false" ht="51" hidden="false" customHeight="false" outlineLevel="0" collapsed="false">
      <c r="A5354" s="37" t="s">
        <v>10404</v>
      </c>
      <c r="B5354" s="34" t="s">
        <v>10405</v>
      </c>
      <c r="C5354" s="34" t="s">
        <v>511</v>
      </c>
    </row>
    <row r="5355" customFormat="false" ht="51" hidden="false" customHeight="false" outlineLevel="0" collapsed="false">
      <c r="A5355" s="37" t="s">
        <v>10406</v>
      </c>
      <c r="B5355" s="34" t="s">
        <v>10407</v>
      </c>
      <c r="C5355" s="34" t="s">
        <v>511</v>
      </c>
    </row>
    <row r="5356" customFormat="false" ht="51" hidden="false" customHeight="false" outlineLevel="0" collapsed="false">
      <c r="A5356" s="37" t="s">
        <v>10408</v>
      </c>
      <c r="B5356" s="34" t="s">
        <v>10409</v>
      </c>
      <c r="C5356" s="34" t="s">
        <v>511</v>
      </c>
    </row>
    <row r="5357" customFormat="false" ht="51" hidden="false" customHeight="false" outlineLevel="0" collapsed="false">
      <c r="A5357" s="37" t="s">
        <v>10410</v>
      </c>
      <c r="B5357" s="34" t="s">
        <v>10411</v>
      </c>
      <c r="C5357" s="34" t="s">
        <v>511</v>
      </c>
    </row>
    <row r="5358" customFormat="false" ht="51" hidden="false" customHeight="false" outlineLevel="0" collapsed="false">
      <c r="A5358" s="37" t="s">
        <v>10412</v>
      </c>
      <c r="B5358" s="34" t="s">
        <v>10413</v>
      </c>
      <c r="C5358" s="34" t="s">
        <v>546</v>
      </c>
    </row>
    <row r="5359" customFormat="false" ht="51" hidden="false" customHeight="false" outlineLevel="0" collapsed="false">
      <c r="A5359" s="37" t="s">
        <v>10414</v>
      </c>
      <c r="B5359" s="34" t="s">
        <v>10415</v>
      </c>
      <c r="C5359" s="34" t="s">
        <v>546</v>
      </c>
    </row>
    <row r="5360" customFormat="false" ht="51" hidden="false" customHeight="false" outlineLevel="0" collapsed="false">
      <c r="A5360" s="37" t="s">
        <v>10416</v>
      </c>
      <c r="B5360" s="34" t="s">
        <v>10417</v>
      </c>
      <c r="C5360" s="34" t="s">
        <v>546</v>
      </c>
    </row>
    <row r="5361" customFormat="false" ht="51" hidden="false" customHeight="false" outlineLevel="0" collapsed="false">
      <c r="A5361" s="37" t="s">
        <v>10418</v>
      </c>
      <c r="B5361" s="34" t="s">
        <v>10419</v>
      </c>
      <c r="C5361" s="34" t="s">
        <v>546</v>
      </c>
    </row>
    <row r="5362" customFormat="false" ht="51" hidden="false" customHeight="false" outlineLevel="0" collapsed="false">
      <c r="A5362" s="37" t="s">
        <v>10420</v>
      </c>
      <c r="B5362" s="34" t="s">
        <v>10421</v>
      </c>
      <c r="C5362" s="34" t="s">
        <v>546</v>
      </c>
    </row>
    <row r="5363" customFormat="false" ht="51" hidden="false" customHeight="false" outlineLevel="0" collapsed="false">
      <c r="A5363" s="37" t="s">
        <v>10422</v>
      </c>
      <c r="B5363" s="34" t="s">
        <v>10423</v>
      </c>
      <c r="C5363" s="34" t="s">
        <v>546</v>
      </c>
    </row>
    <row r="5364" customFormat="false" ht="51" hidden="false" customHeight="false" outlineLevel="0" collapsed="false">
      <c r="A5364" s="37" t="s">
        <v>10424</v>
      </c>
      <c r="B5364" s="34" t="s">
        <v>10425</v>
      </c>
      <c r="C5364" s="34" t="s">
        <v>546</v>
      </c>
    </row>
    <row r="5365" customFormat="false" ht="63.75" hidden="false" customHeight="false" outlineLevel="0" collapsed="false">
      <c r="A5365" s="37" t="s">
        <v>10426</v>
      </c>
      <c r="B5365" s="34" t="s">
        <v>10427</v>
      </c>
      <c r="C5365" s="34" t="s">
        <v>561</v>
      </c>
    </row>
    <row r="5366" customFormat="false" ht="63.75" hidden="false" customHeight="false" outlineLevel="0" collapsed="false">
      <c r="A5366" s="37" t="s">
        <v>10428</v>
      </c>
      <c r="B5366" s="34" t="s">
        <v>10429</v>
      </c>
      <c r="C5366" s="34" t="s">
        <v>561</v>
      </c>
    </row>
    <row r="5367" customFormat="false" ht="89.25" hidden="false" customHeight="false" outlineLevel="0" collapsed="false">
      <c r="A5367" s="37" t="s">
        <v>10430</v>
      </c>
      <c r="B5367" s="34" t="s">
        <v>10431</v>
      </c>
      <c r="C5367" s="34" t="s">
        <v>566</v>
      </c>
    </row>
    <row r="5368" customFormat="false" ht="63.75" hidden="false" customHeight="false" outlineLevel="0" collapsed="false">
      <c r="A5368" s="37" t="s">
        <v>10432</v>
      </c>
      <c r="B5368" s="34" t="s">
        <v>10433</v>
      </c>
      <c r="C5368" s="34" t="s">
        <v>561</v>
      </c>
    </row>
    <row r="5369" customFormat="false" ht="63.75" hidden="false" customHeight="false" outlineLevel="0" collapsed="false">
      <c r="A5369" s="37" t="s">
        <v>10434</v>
      </c>
      <c r="B5369" s="34" t="s">
        <v>10435</v>
      </c>
      <c r="C5369" s="34" t="s">
        <v>571</v>
      </c>
    </row>
    <row r="5370" customFormat="false" ht="89.25" hidden="false" customHeight="false" outlineLevel="0" collapsed="false">
      <c r="A5370" s="37" t="s">
        <v>10436</v>
      </c>
      <c r="B5370" s="34" t="s">
        <v>10437</v>
      </c>
      <c r="C5370" s="34" t="s">
        <v>574</v>
      </c>
    </row>
    <row r="5371" customFormat="false" ht="89.25" hidden="false" customHeight="false" outlineLevel="0" collapsed="false">
      <c r="A5371" s="37" t="s">
        <v>10438</v>
      </c>
      <c r="B5371" s="34" t="s">
        <v>10439</v>
      </c>
      <c r="C5371" s="34" t="s">
        <v>574</v>
      </c>
    </row>
    <row r="5372" customFormat="false" ht="89.25" hidden="false" customHeight="false" outlineLevel="0" collapsed="false">
      <c r="A5372" s="37" t="s">
        <v>10440</v>
      </c>
      <c r="B5372" s="34" t="s">
        <v>10441</v>
      </c>
      <c r="C5372" s="34" t="s">
        <v>574</v>
      </c>
    </row>
    <row r="5373" customFormat="false" ht="89.25" hidden="false" customHeight="false" outlineLevel="0" collapsed="false">
      <c r="A5373" s="37" t="s">
        <v>10442</v>
      </c>
      <c r="B5373" s="34" t="s">
        <v>10443</v>
      </c>
      <c r="C5373" s="34" t="s">
        <v>574</v>
      </c>
    </row>
    <row r="5374" customFormat="false" ht="89.25" hidden="false" customHeight="false" outlineLevel="0" collapsed="false">
      <c r="A5374" s="37" t="s">
        <v>10444</v>
      </c>
      <c r="B5374" s="34" t="s">
        <v>10445</v>
      </c>
      <c r="C5374" s="34" t="s">
        <v>574</v>
      </c>
    </row>
    <row r="5375" customFormat="false" ht="63.75" hidden="false" customHeight="false" outlineLevel="0" collapsed="false">
      <c r="A5375" s="37" t="s">
        <v>10446</v>
      </c>
      <c r="B5375" s="34" t="s">
        <v>10447</v>
      </c>
      <c r="C5375" s="34" t="s">
        <v>585</v>
      </c>
    </row>
    <row r="5376" customFormat="false" ht="63.75" hidden="false" customHeight="false" outlineLevel="0" collapsed="false">
      <c r="A5376" s="37" t="s">
        <v>10448</v>
      </c>
      <c r="B5376" s="34" t="s">
        <v>10449</v>
      </c>
      <c r="C5376" s="34" t="s">
        <v>588</v>
      </c>
    </row>
    <row r="5377" customFormat="false" ht="51" hidden="false" customHeight="false" outlineLevel="0" collapsed="false">
      <c r="A5377" s="37" t="s">
        <v>10450</v>
      </c>
      <c r="B5377" s="34" t="s">
        <v>10451</v>
      </c>
      <c r="C5377" s="34" t="s">
        <v>546</v>
      </c>
    </row>
    <row r="5378" customFormat="false" ht="51" hidden="false" customHeight="false" outlineLevel="0" collapsed="false">
      <c r="A5378" s="37" t="s">
        <v>10452</v>
      </c>
      <c r="B5378" s="34" t="s">
        <v>10453</v>
      </c>
      <c r="C5378" s="34" t="s">
        <v>546</v>
      </c>
    </row>
    <row r="5379" customFormat="false" ht="51" hidden="false" customHeight="false" outlineLevel="0" collapsed="false">
      <c r="A5379" s="37" t="s">
        <v>10454</v>
      </c>
      <c r="B5379" s="34" t="s">
        <v>10455</v>
      </c>
      <c r="C5379" s="34" t="s">
        <v>546</v>
      </c>
    </row>
    <row r="5380" customFormat="false" ht="51" hidden="false" customHeight="false" outlineLevel="0" collapsed="false">
      <c r="A5380" s="37" t="s">
        <v>10456</v>
      </c>
      <c r="B5380" s="34" t="s">
        <v>10457</v>
      </c>
      <c r="C5380" s="34" t="s">
        <v>546</v>
      </c>
    </row>
    <row r="5381" customFormat="false" ht="51" hidden="false" customHeight="false" outlineLevel="0" collapsed="false">
      <c r="A5381" s="37" t="s">
        <v>10458</v>
      </c>
      <c r="B5381" s="34" t="s">
        <v>10459</v>
      </c>
      <c r="C5381" s="34" t="s">
        <v>546</v>
      </c>
    </row>
    <row r="5382" customFormat="false" ht="51" hidden="false" customHeight="false" outlineLevel="0" collapsed="false">
      <c r="A5382" s="37" t="s">
        <v>10460</v>
      </c>
      <c r="B5382" s="34" t="s">
        <v>10461</v>
      </c>
      <c r="C5382" s="34" t="s">
        <v>546</v>
      </c>
    </row>
    <row r="5383" customFormat="false" ht="51" hidden="false" customHeight="false" outlineLevel="0" collapsed="false">
      <c r="A5383" s="37" t="s">
        <v>10462</v>
      </c>
      <c r="B5383" s="34" t="s">
        <v>10463</v>
      </c>
      <c r="C5383" s="34" t="s">
        <v>546</v>
      </c>
    </row>
    <row r="5384" customFormat="false" ht="51" hidden="false" customHeight="false" outlineLevel="0" collapsed="false">
      <c r="A5384" s="37" t="s">
        <v>10464</v>
      </c>
      <c r="B5384" s="34" t="s">
        <v>10465</v>
      </c>
      <c r="C5384" s="34" t="s">
        <v>546</v>
      </c>
    </row>
    <row r="5385" customFormat="false" ht="51" hidden="false" customHeight="false" outlineLevel="0" collapsed="false">
      <c r="A5385" s="37" t="s">
        <v>10466</v>
      </c>
      <c r="B5385" s="34" t="s">
        <v>10467</v>
      </c>
      <c r="C5385" s="34" t="s">
        <v>546</v>
      </c>
    </row>
    <row r="5386" customFormat="false" ht="51" hidden="false" customHeight="false" outlineLevel="0" collapsed="false">
      <c r="A5386" s="37" t="s">
        <v>10468</v>
      </c>
      <c r="B5386" s="34" t="s">
        <v>10469</v>
      </c>
      <c r="C5386" s="34" t="s">
        <v>546</v>
      </c>
    </row>
    <row r="5387" customFormat="false" ht="51" hidden="false" customHeight="false" outlineLevel="0" collapsed="false">
      <c r="A5387" s="37" t="s">
        <v>10470</v>
      </c>
      <c r="B5387" s="34" t="s">
        <v>10471</v>
      </c>
      <c r="C5387" s="34" t="s">
        <v>546</v>
      </c>
    </row>
    <row r="5388" customFormat="false" ht="38.25" hidden="false" customHeight="false" outlineLevel="0" collapsed="false">
      <c r="A5388" s="37" t="s">
        <v>10472</v>
      </c>
      <c r="B5388" s="34" t="s">
        <v>10473</v>
      </c>
      <c r="C5388" s="34" t="s">
        <v>613</v>
      </c>
    </row>
    <row r="5389" customFormat="false" ht="51" hidden="false" customHeight="false" outlineLevel="0" collapsed="false">
      <c r="A5389" s="37" t="s">
        <v>10474</v>
      </c>
      <c r="B5389" s="34" t="s">
        <v>10475</v>
      </c>
      <c r="C5389" s="34" t="s">
        <v>546</v>
      </c>
    </row>
    <row r="5390" customFormat="false" ht="51" hidden="false" customHeight="false" outlineLevel="0" collapsed="false">
      <c r="A5390" s="37" t="s">
        <v>10476</v>
      </c>
      <c r="B5390" s="34" t="s">
        <v>10477</v>
      </c>
      <c r="C5390" s="34" t="s">
        <v>546</v>
      </c>
    </row>
    <row r="5391" customFormat="false" ht="51" hidden="false" customHeight="false" outlineLevel="0" collapsed="false">
      <c r="A5391" s="37" t="s">
        <v>10478</v>
      </c>
      <c r="B5391" s="34" t="s">
        <v>10479</v>
      </c>
      <c r="C5391" s="34" t="s">
        <v>546</v>
      </c>
    </row>
    <row r="5392" customFormat="false" ht="51" hidden="false" customHeight="false" outlineLevel="0" collapsed="false">
      <c r="A5392" s="37" t="s">
        <v>10480</v>
      </c>
      <c r="B5392" s="34" t="s">
        <v>10481</v>
      </c>
      <c r="C5392" s="34" t="s">
        <v>546</v>
      </c>
    </row>
    <row r="5393" customFormat="false" ht="51" hidden="false" customHeight="false" outlineLevel="0" collapsed="false">
      <c r="A5393" s="37" t="s">
        <v>10482</v>
      </c>
      <c r="B5393" s="34" t="s">
        <v>10483</v>
      </c>
      <c r="C5393" s="34" t="s">
        <v>546</v>
      </c>
    </row>
    <row r="5394" customFormat="false" ht="38.25" hidden="false" customHeight="false" outlineLevel="0" collapsed="false">
      <c r="A5394" s="37" t="s">
        <v>10484</v>
      </c>
      <c r="B5394" s="34" t="s">
        <v>10485</v>
      </c>
      <c r="C5394" s="34" t="s">
        <v>613</v>
      </c>
    </row>
    <row r="5395" customFormat="false" ht="51" hidden="false" customHeight="false" outlineLevel="0" collapsed="false">
      <c r="A5395" s="37" t="s">
        <v>10486</v>
      </c>
      <c r="B5395" s="34" t="s">
        <v>10487</v>
      </c>
      <c r="C5395" s="34" t="s">
        <v>546</v>
      </c>
    </row>
    <row r="5396" customFormat="false" ht="51" hidden="false" customHeight="false" outlineLevel="0" collapsed="false">
      <c r="A5396" s="37" t="s">
        <v>10488</v>
      </c>
      <c r="B5396" s="34" t="s">
        <v>10489</v>
      </c>
      <c r="C5396" s="34" t="s">
        <v>546</v>
      </c>
    </row>
    <row r="5397" customFormat="false" ht="51" hidden="false" customHeight="false" outlineLevel="0" collapsed="false">
      <c r="A5397" s="37" t="s">
        <v>10490</v>
      </c>
      <c r="B5397" s="34" t="s">
        <v>10491</v>
      </c>
      <c r="C5397" s="34" t="s">
        <v>546</v>
      </c>
    </row>
    <row r="5398" customFormat="false" ht="38.25" hidden="false" customHeight="false" outlineLevel="0" collapsed="false">
      <c r="A5398" s="37" t="s">
        <v>10492</v>
      </c>
      <c r="B5398" s="34" t="s">
        <v>10493</v>
      </c>
      <c r="C5398" s="34" t="s">
        <v>634</v>
      </c>
    </row>
    <row r="5399" customFormat="false" ht="38.25" hidden="false" customHeight="false" outlineLevel="0" collapsed="false">
      <c r="A5399" s="37" t="s">
        <v>10494</v>
      </c>
      <c r="B5399" s="34" t="s">
        <v>10495</v>
      </c>
      <c r="C5399" s="34" t="s">
        <v>637</v>
      </c>
    </row>
    <row r="5400" customFormat="false" ht="51" hidden="false" customHeight="false" outlineLevel="0" collapsed="false">
      <c r="A5400" s="37" t="s">
        <v>10496</v>
      </c>
      <c r="B5400" s="34" t="s">
        <v>10497</v>
      </c>
      <c r="C5400" s="34" t="s">
        <v>546</v>
      </c>
    </row>
    <row r="5401" customFormat="false" ht="51" hidden="false" customHeight="false" outlineLevel="0" collapsed="false">
      <c r="A5401" s="37" t="s">
        <v>10498</v>
      </c>
      <c r="B5401" s="34" t="s">
        <v>10499</v>
      </c>
      <c r="C5401" s="34" t="s">
        <v>546</v>
      </c>
    </row>
    <row r="5402" customFormat="false" ht="51" hidden="false" customHeight="false" outlineLevel="0" collapsed="false">
      <c r="A5402" s="37" t="s">
        <v>10500</v>
      </c>
      <c r="B5402" s="34" t="s">
        <v>10501</v>
      </c>
      <c r="C5402" s="34" t="s">
        <v>546</v>
      </c>
    </row>
    <row r="5403" customFormat="false" ht="63.75" hidden="false" customHeight="false" outlineLevel="0" collapsed="false">
      <c r="A5403" s="37" t="s">
        <v>10502</v>
      </c>
      <c r="B5403" s="34" t="s">
        <v>10503</v>
      </c>
      <c r="C5403" s="34" t="s">
        <v>139</v>
      </c>
    </row>
    <row r="5404" customFormat="false" ht="63.75" hidden="false" customHeight="false" outlineLevel="0" collapsed="false">
      <c r="A5404" s="37" t="s">
        <v>10504</v>
      </c>
      <c r="B5404" s="34" t="s">
        <v>10505</v>
      </c>
      <c r="C5404" s="34" t="s">
        <v>139</v>
      </c>
    </row>
    <row r="5405" customFormat="false" ht="63.75" hidden="false" customHeight="false" outlineLevel="0" collapsed="false">
      <c r="A5405" s="37" t="s">
        <v>10506</v>
      </c>
      <c r="B5405" s="34" t="s">
        <v>10507</v>
      </c>
      <c r="C5405" s="34" t="s">
        <v>139</v>
      </c>
    </row>
    <row r="5406" customFormat="false" ht="63.75" hidden="false" customHeight="false" outlineLevel="0" collapsed="false">
      <c r="A5406" s="37" t="s">
        <v>10508</v>
      </c>
      <c r="B5406" s="34" t="s">
        <v>10509</v>
      </c>
      <c r="C5406" s="34" t="s">
        <v>139</v>
      </c>
    </row>
    <row r="5407" customFormat="false" ht="63.75" hidden="false" customHeight="false" outlineLevel="0" collapsed="false">
      <c r="A5407" s="37" t="s">
        <v>10510</v>
      </c>
      <c r="B5407" s="34" t="s">
        <v>10511</v>
      </c>
      <c r="C5407" s="34" t="s">
        <v>139</v>
      </c>
    </row>
    <row r="5408" customFormat="false" ht="63.75" hidden="false" customHeight="false" outlineLevel="0" collapsed="false">
      <c r="A5408" s="37" t="s">
        <v>10512</v>
      </c>
      <c r="B5408" s="34" t="s">
        <v>10513</v>
      </c>
      <c r="C5408" s="34" t="s">
        <v>139</v>
      </c>
    </row>
    <row r="5409" customFormat="false" ht="63.75" hidden="false" customHeight="false" outlineLevel="0" collapsed="false">
      <c r="A5409" s="37" t="s">
        <v>10514</v>
      </c>
      <c r="B5409" s="34" t="s">
        <v>10515</v>
      </c>
      <c r="C5409" s="34" t="s">
        <v>139</v>
      </c>
    </row>
    <row r="5410" customFormat="false" ht="63.75" hidden="false" customHeight="false" outlineLevel="0" collapsed="false">
      <c r="A5410" s="37" t="s">
        <v>10516</v>
      </c>
      <c r="B5410" s="34" t="s">
        <v>10517</v>
      </c>
      <c r="C5410" s="34" t="s">
        <v>139</v>
      </c>
    </row>
    <row r="5411" customFormat="false" ht="89.25" hidden="false" customHeight="false" outlineLevel="0" collapsed="false">
      <c r="A5411" s="37" t="s">
        <v>10518</v>
      </c>
      <c r="B5411" s="34" t="s">
        <v>10519</v>
      </c>
      <c r="C5411" s="34" t="s">
        <v>1450</v>
      </c>
    </row>
    <row r="5412" customFormat="false" ht="63.75" hidden="false" customHeight="false" outlineLevel="0" collapsed="false">
      <c r="A5412" s="37" t="s">
        <v>10520</v>
      </c>
      <c r="B5412" s="34" t="s">
        <v>10521</v>
      </c>
      <c r="C5412" s="34" t="s">
        <v>139</v>
      </c>
    </row>
    <row r="5413" customFormat="false" ht="63.75" hidden="false" customHeight="false" outlineLevel="0" collapsed="false">
      <c r="A5413" s="37" t="s">
        <v>10522</v>
      </c>
      <c r="B5413" s="34" t="s">
        <v>10523</v>
      </c>
      <c r="C5413" s="34" t="s">
        <v>139</v>
      </c>
    </row>
    <row r="5414" customFormat="false" ht="102" hidden="false" customHeight="false" outlineLevel="0" collapsed="false">
      <c r="A5414" s="37" t="s">
        <v>10524</v>
      </c>
      <c r="B5414" s="34" t="s">
        <v>10525</v>
      </c>
      <c r="C5414" s="34" t="s">
        <v>97</v>
      </c>
    </row>
    <row r="5415" customFormat="false" ht="102" hidden="false" customHeight="false" outlineLevel="0" collapsed="false">
      <c r="A5415" s="37" t="s">
        <v>10526</v>
      </c>
      <c r="B5415" s="34" t="s">
        <v>10527</v>
      </c>
      <c r="C5415" s="34" t="s">
        <v>97</v>
      </c>
    </row>
    <row r="5416" customFormat="false" ht="102" hidden="false" customHeight="false" outlineLevel="0" collapsed="false">
      <c r="A5416" s="37" t="s">
        <v>10528</v>
      </c>
      <c r="B5416" s="34" t="s">
        <v>10529</v>
      </c>
      <c r="C5416" s="34" t="s">
        <v>887</v>
      </c>
    </row>
    <row r="5417" customFormat="false" ht="114.75" hidden="false" customHeight="false" outlineLevel="0" collapsed="false">
      <c r="A5417" s="37" t="s">
        <v>10530</v>
      </c>
      <c r="B5417" s="34" t="s">
        <v>10531</v>
      </c>
      <c r="C5417" s="34" t="s">
        <v>849</v>
      </c>
    </row>
    <row r="5418" customFormat="false" ht="89.25" hidden="false" customHeight="false" outlineLevel="0" collapsed="false">
      <c r="A5418" s="37" t="s">
        <v>10532</v>
      </c>
      <c r="B5418" s="34" t="s">
        <v>10533</v>
      </c>
      <c r="C5418" s="34" t="s">
        <v>891</v>
      </c>
    </row>
    <row r="5419" customFormat="false" ht="114.75" hidden="false" customHeight="false" outlineLevel="0" collapsed="false">
      <c r="A5419" s="37" t="s">
        <v>10534</v>
      </c>
      <c r="B5419" s="34" t="s">
        <v>10535</v>
      </c>
      <c r="C5419" s="34" t="s">
        <v>849</v>
      </c>
    </row>
    <row r="5420" customFormat="false" ht="114.75" hidden="false" customHeight="false" outlineLevel="0" collapsed="false">
      <c r="A5420" s="37" t="s">
        <v>10534</v>
      </c>
      <c r="B5420" s="34" t="s">
        <v>10535</v>
      </c>
      <c r="C5420" s="34" t="s">
        <v>2241</v>
      </c>
    </row>
    <row r="5421" customFormat="false" ht="76.5" hidden="false" customHeight="false" outlineLevel="0" collapsed="false">
      <c r="A5421" s="37" t="s">
        <v>10536</v>
      </c>
      <c r="B5421" s="34" t="s">
        <v>10537</v>
      </c>
      <c r="C5421" s="34" t="s">
        <v>108</v>
      </c>
    </row>
    <row r="5422" customFormat="false" ht="89.25" hidden="false" customHeight="false" outlineLevel="0" collapsed="false">
      <c r="A5422" s="37" t="s">
        <v>10538</v>
      </c>
      <c r="B5422" s="34" t="s">
        <v>10539</v>
      </c>
      <c r="C5422" s="34" t="s">
        <v>871</v>
      </c>
    </row>
    <row r="5423" customFormat="false" ht="89.25" hidden="false" customHeight="false" outlineLevel="0" collapsed="false">
      <c r="A5423" s="37" t="s">
        <v>10540</v>
      </c>
      <c r="B5423" s="34" t="s">
        <v>10541</v>
      </c>
      <c r="C5423" s="34" t="s">
        <v>858</v>
      </c>
    </row>
    <row r="5424" customFormat="false" ht="89.25" hidden="false" customHeight="false" outlineLevel="0" collapsed="false">
      <c r="A5424" s="37" t="s">
        <v>10542</v>
      </c>
      <c r="B5424" s="34" t="s">
        <v>10543</v>
      </c>
      <c r="C5424" s="34" t="s">
        <v>902</v>
      </c>
    </row>
    <row r="5425" customFormat="false" ht="89.25" hidden="false" customHeight="false" outlineLevel="0" collapsed="false">
      <c r="A5425" s="37" t="s">
        <v>10544</v>
      </c>
      <c r="B5425" s="34" t="s">
        <v>10545</v>
      </c>
      <c r="C5425" s="34" t="s">
        <v>902</v>
      </c>
    </row>
    <row r="5426" customFormat="false" ht="89.25" hidden="false" customHeight="false" outlineLevel="0" collapsed="false">
      <c r="A5426" s="37" t="s">
        <v>10546</v>
      </c>
      <c r="B5426" s="34" t="s">
        <v>10547</v>
      </c>
      <c r="C5426" s="34" t="s">
        <v>122</v>
      </c>
    </row>
    <row r="5427" customFormat="false" ht="89.25" hidden="false" customHeight="false" outlineLevel="0" collapsed="false">
      <c r="A5427" s="37" t="s">
        <v>10548</v>
      </c>
      <c r="B5427" s="34" t="s">
        <v>10549</v>
      </c>
      <c r="C5427" s="34" t="s">
        <v>874</v>
      </c>
    </row>
    <row r="5428" customFormat="false" ht="89.25" hidden="false" customHeight="false" outlineLevel="0" collapsed="false">
      <c r="A5428" s="37" t="s">
        <v>10550</v>
      </c>
      <c r="B5428" s="34" t="s">
        <v>10551</v>
      </c>
      <c r="C5428" s="34" t="s">
        <v>874</v>
      </c>
    </row>
    <row r="5429" customFormat="false" ht="89.25" hidden="false" customHeight="false" outlineLevel="0" collapsed="false">
      <c r="A5429" s="37" t="s">
        <v>10552</v>
      </c>
      <c r="B5429" s="34" t="s">
        <v>10553</v>
      </c>
      <c r="C5429" s="34" t="s">
        <v>874</v>
      </c>
    </row>
    <row r="5430" customFormat="false" ht="89.25" hidden="false" customHeight="false" outlineLevel="0" collapsed="false">
      <c r="A5430" s="37" t="s">
        <v>10554</v>
      </c>
      <c r="B5430" s="34" t="s">
        <v>10555</v>
      </c>
      <c r="C5430" s="34" t="s">
        <v>874</v>
      </c>
    </row>
    <row r="5431" customFormat="false" ht="102" hidden="false" customHeight="false" outlineLevel="0" collapsed="false">
      <c r="A5431" s="37" t="s">
        <v>10556</v>
      </c>
      <c r="B5431" s="34" t="s">
        <v>10557</v>
      </c>
      <c r="C5431" s="34" t="s">
        <v>883</v>
      </c>
    </row>
    <row r="5432" customFormat="false" ht="63.75" hidden="false" customHeight="false" outlineLevel="0" collapsed="false">
      <c r="A5432" s="37" t="s">
        <v>10558</v>
      </c>
      <c r="B5432" s="34" t="s">
        <v>10559</v>
      </c>
      <c r="C5432" s="34" t="s">
        <v>1033</v>
      </c>
    </row>
    <row r="5433" customFormat="false" ht="38.25" hidden="false" customHeight="false" outlineLevel="0" collapsed="false">
      <c r="A5433" s="37" t="s">
        <v>10560</v>
      </c>
      <c r="B5433" s="34" t="s">
        <v>10561</v>
      </c>
      <c r="C5433" s="34" t="s">
        <v>687</v>
      </c>
    </row>
    <row r="5434" customFormat="false" ht="63.75" hidden="false" customHeight="false" outlineLevel="0" collapsed="false">
      <c r="A5434" s="37" t="s">
        <v>10562</v>
      </c>
      <c r="B5434" s="34" t="s">
        <v>10563</v>
      </c>
      <c r="C5434" s="34" t="s">
        <v>1038</v>
      </c>
    </row>
    <row r="5435" customFormat="false" ht="51" hidden="false" customHeight="false" outlineLevel="0" collapsed="false">
      <c r="A5435" s="37" t="s">
        <v>10564</v>
      </c>
      <c r="B5435" s="34" t="s">
        <v>10565</v>
      </c>
      <c r="C5435" s="34" t="s">
        <v>1041</v>
      </c>
    </row>
    <row r="5436" customFormat="false" ht="38.25" hidden="false" customHeight="false" outlineLevel="0" collapsed="false">
      <c r="A5436" s="37" t="s">
        <v>10566</v>
      </c>
      <c r="B5436" s="34" t="s">
        <v>10567</v>
      </c>
      <c r="C5436" s="34" t="s">
        <v>1044</v>
      </c>
    </row>
    <row r="5437" customFormat="false" ht="51" hidden="false" customHeight="false" outlineLevel="0" collapsed="false">
      <c r="A5437" s="37" t="s">
        <v>10568</v>
      </c>
      <c r="B5437" s="34" t="s">
        <v>10569</v>
      </c>
      <c r="C5437" s="34" t="s">
        <v>696</v>
      </c>
    </row>
    <row r="5438" customFormat="false" ht="51" hidden="false" customHeight="false" outlineLevel="0" collapsed="false">
      <c r="A5438" s="37" t="s">
        <v>10570</v>
      </c>
      <c r="B5438" s="34" t="s">
        <v>10571</v>
      </c>
      <c r="C5438" s="34" t="s">
        <v>1050</v>
      </c>
    </row>
    <row r="5439" customFormat="false" ht="89.25" hidden="false" customHeight="false" outlineLevel="0" collapsed="false">
      <c r="A5439" s="37" t="s">
        <v>10572</v>
      </c>
      <c r="B5439" s="34" t="s">
        <v>10573</v>
      </c>
      <c r="C5439" s="34" t="s">
        <v>702</v>
      </c>
    </row>
    <row r="5440" customFormat="false" ht="89.25" hidden="false" customHeight="false" outlineLevel="0" collapsed="false">
      <c r="A5440" s="37" t="s">
        <v>10574</v>
      </c>
      <c r="B5440" s="34" t="s">
        <v>10575</v>
      </c>
      <c r="C5440" s="34" t="s">
        <v>702</v>
      </c>
    </row>
    <row r="5441" customFormat="false" ht="38.25" hidden="false" customHeight="false" outlineLevel="0" collapsed="false">
      <c r="A5441" s="37" t="s">
        <v>10576</v>
      </c>
      <c r="B5441" s="34" t="s">
        <v>10577</v>
      </c>
      <c r="C5441" s="34" t="s">
        <v>707</v>
      </c>
    </row>
    <row r="5442" customFormat="false" ht="89.25" hidden="false" customHeight="false" outlineLevel="0" collapsed="false">
      <c r="A5442" s="37" t="s">
        <v>10578</v>
      </c>
      <c r="B5442" s="34" t="s">
        <v>10579</v>
      </c>
      <c r="C5442" s="34" t="s">
        <v>1447</v>
      </c>
    </row>
    <row r="5443" customFormat="false" ht="89.25" hidden="false" customHeight="false" outlineLevel="0" collapsed="false">
      <c r="A5443" s="37" t="s">
        <v>10580</v>
      </c>
      <c r="B5443" s="34" t="s">
        <v>10581</v>
      </c>
      <c r="C5443" s="34" t="s">
        <v>1450</v>
      </c>
    </row>
    <row r="5444" customFormat="false" ht="102" hidden="false" customHeight="false" outlineLevel="0" collapsed="false">
      <c r="A5444" s="37" t="s">
        <v>10582</v>
      </c>
      <c r="B5444" s="34" t="s">
        <v>10583</v>
      </c>
      <c r="C5444" s="34" t="s">
        <v>1453</v>
      </c>
    </row>
    <row r="5445" customFormat="false" ht="76.5" hidden="false" customHeight="false" outlineLevel="0" collapsed="false">
      <c r="A5445" s="37" t="s">
        <v>10584</v>
      </c>
      <c r="B5445" s="34" t="s">
        <v>10585</v>
      </c>
      <c r="C5445" s="34" t="s">
        <v>719</v>
      </c>
    </row>
    <row r="5446" customFormat="false" ht="63.75" hidden="false" customHeight="false" outlineLevel="0" collapsed="false">
      <c r="A5446" s="37" t="s">
        <v>10586</v>
      </c>
      <c r="B5446" s="34" t="s">
        <v>10587</v>
      </c>
      <c r="C5446" s="34" t="s">
        <v>1458</v>
      </c>
    </row>
    <row r="5447" customFormat="false" ht="102" hidden="false" customHeight="false" outlineLevel="0" collapsed="false">
      <c r="A5447" s="37" t="s">
        <v>10588</v>
      </c>
      <c r="B5447" s="34" t="s">
        <v>10589</v>
      </c>
      <c r="C5447" s="34" t="s">
        <v>7232</v>
      </c>
    </row>
    <row r="5448" customFormat="false" ht="102" hidden="false" customHeight="false" outlineLevel="0" collapsed="false">
      <c r="A5448" s="37" t="s">
        <v>10590</v>
      </c>
      <c r="B5448" s="34" t="s">
        <v>10591</v>
      </c>
      <c r="C5448" s="34" t="s">
        <v>7235</v>
      </c>
    </row>
    <row r="5449" customFormat="false" ht="89.25" hidden="false" customHeight="false" outlineLevel="0" collapsed="false">
      <c r="A5449" s="37" t="s">
        <v>10592</v>
      </c>
      <c r="B5449" s="34" t="s">
        <v>10593</v>
      </c>
      <c r="C5449" s="34" t="s">
        <v>7240</v>
      </c>
    </row>
    <row r="5450" customFormat="false" ht="76.5" hidden="false" customHeight="false" outlineLevel="0" collapsed="false">
      <c r="A5450" s="37" t="s">
        <v>10594</v>
      </c>
      <c r="B5450" s="34" t="s">
        <v>10595</v>
      </c>
      <c r="C5450" s="34" t="s">
        <v>2297</v>
      </c>
    </row>
    <row r="5451" customFormat="false" ht="76.5" hidden="false" customHeight="false" outlineLevel="0" collapsed="false">
      <c r="A5451" s="37" t="s">
        <v>10596</v>
      </c>
      <c r="B5451" s="34" t="s">
        <v>10597</v>
      </c>
      <c r="C5451" s="34" t="s">
        <v>2297</v>
      </c>
    </row>
    <row r="5452" customFormat="false" ht="76.5" hidden="false" customHeight="false" outlineLevel="0" collapsed="false">
      <c r="A5452" s="37" t="s">
        <v>10598</v>
      </c>
      <c r="B5452" s="34" t="s">
        <v>10599</v>
      </c>
      <c r="C5452" s="34" t="s">
        <v>2297</v>
      </c>
    </row>
    <row r="5453" customFormat="false" ht="76.5" hidden="false" customHeight="false" outlineLevel="0" collapsed="false">
      <c r="A5453" s="37" t="s">
        <v>10600</v>
      </c>
      <c r="B5453" s="34" t="s">
        <v>10601</v>
      </c>
      <c r="C5453" s="34" t="s">
        <v>2297</v>
      </c>
    </row>
    <row r="5454" customFormat="false" ht="63.75" hidden="false" customHeight="false" outlineLevel="0" collapsed="false">
      <c r="A5454" s="37" t="s">
        <v>10602</v>
      </c>
      <c r="B5454" s="34" t="s">
        <v>10603</v>
      </c>
      <c r="C5454" s="34" t="s">
        <v>139</v>
      </c>
    </row>
    <row r="5455" customFormat="false" ht="63.75" hidden="false" customHeight="false" outlineLevel="0" collapsed="false">
      <c r="A5455" s="37" t="s">
        <v>10604</v>
      </c>
      <c r="B5455" s="34" t="s">
        <v>10605</v>
      </c>
      <c r="C5455" s="34" t="s">
        <v>139</v>
      </c>
    </row>
    <row r="5456" customFormat="false" ht="63.75" hidden="false" customHeight="false" outlineLevel="0" collapsed="false">
      <c r="A5456" s="37" t="s">
        <v>10606</v>
      </c>
      <c r="B5456" s="34" t="s">
        <v>10607</v>
      </c>
      <c r="C5456" s="34" t="s">
        <v>139</v>
      </c>
    </row>
    <row r="5457" customFormat="false" ht="63.75" hidden="false" customHeight="false" outlineLevel="0" collapsed="false">
      <c r="A5457" s="37" t="s">
        <v>10608</v>
      </c>
      <c r="B5457" s="34" t="s">
        <v>10609</v>
      </c>
      <c r="C5457" s="34" t="s">
        <v>139</v>
      </c>
    </row>
    <row r="5458" customFormat="false" ht="63.75" hidden="false" customHeight="false" outlineLevel="0" collapsed="false">
      <c r="A5458" s="37" t="s">
        <v>10608</v>
      </c>
      <c r="B5458" s="34" t="s">
        <v>10609</v>
      </c>
      <c r="C5458" s="34" t="s">
        <v>8690</v>
      </c>
    </row>
    <row r="5459" customFormat="false" ht="63.75" hidden="false" customHeight="false" outlineLevel="0" collapsed="false">
      <c r="A5459" s="37" t="s">
        <v>10610</v>
      </c>
      <c r="B5459" s="34" t="s">
        <v>10611</v>
      </c>
      <c r="C5459" s="34" t="s">
        <v>139</v>
      </c>
    </row>
    <row r="5460" customFormat="false" ht="63.75" hidden="false" customHeight="false" outlineLevel="0" collapsed="false">
      <c r="A5460" s="37" t="s">
        <v>10612</v>
      </c>
      <c r="B5460" s="34" t="s">
        <v>10613</v>
      </c>
      <c r="C5460" s="34" t="s">
        <v>139</v>
      </c>
    </row>
    <row r="5461" customFormat="false" ht="63.75" hidden="false" customHeight="false" outlineLevel="0" collapsed="false">
      <c r="A5461" s="37" t="s">
        <v>10614</v>
      </c>
      <c r="B5461" s="34" t="s">
        <v>10615</v>
      </c>
      <c r="C5461" s="34" t="s">
        <v>139</v>
      </c>
    </row>
    <row r="5462" customFormat="false" ht="63.75" hidden="false" customHeight="false" outlineLevel="0" collapsed="false">
      <c r="A5462" s="37" t="s">
        <v>10616</v>
      </c>
      <c r="B5462" s="34" t="s">
        <v>10617</v>
      </c>
      <c r="C5462" s="34" t="s">
        <v>2365</v>
      </c>
    </row>
    <row r="5463" customFormat="false" ht="63.75" hidden="false" customHeight="false" outlineLevel="0" collapsed="false">
      <c r="A5463" s="37" t="s">
        <v>10618</v>
      </c>
      <c r="B5463" s="34" t="s">
        <v>10619</v>
      </c>
      <c r="C5463" s="34" t="s">
        <v>2365</v>
      </c>
    </row>
    <row r="5464" customFormat="false" ht="63.75" hidden="false" customHeight="false" outlineLevel="0" collapsed="false">
      <c r="A5464" s="37" t="s">
        <v>10620</v>
      </c>
      <c r="B5464" s="34" t="s">
        <v>10621</v>
      </c>
      <c r="C5464" s="34" t="s">
        <v>2365</v>
      </c>
    </row>
    <row r="5465" customFormat="false" ht="63.75" hidden="false" customHeight="false" outlineLevel="0" collapsed="false">
      <c r="A5465" s="37" t="s">
        <v>10622</v>
      </c>
      <c r="B5465" s="34" t="s">
        <v>10623</v>
      </c>
      <c r="C5465" s="34" t="s">
        <v>2365</v>
      </c>
    </row>
    <row r="5466" customFormat="false" ht="63.75" hidden="false" customHeight="false" outlineLevel="0" collapsed="false">
      <c r="A5466" s="37" t="s">
        <v>10624</v>
      </c>
      <c r="B5466" s="34" t="s">
        <v>10625</v>
      </c>
      <c r="C5466" s="34" t="s">
        <v>2365</v>
      </c>
    </row>
    <row r="5467" customFormat="false" ht="63.75" hidden="false" customHeight="false" outlineLevel="0" collapsed="false">
      <c r="A5467" s="37" t="s">
        <v>10626</v>
      </c>
      <c r="B5467" s="34" t="s">
        <v>10627</v>
      </c>
      <c r="C5467" s="34" t="s">
        <v>2365</v>
      </c>
    </row>
    <row r="5468" customFormat="false" ht="63.75" hidden="false" customHeight="false" outlineLevel="0" collapsed="false">
      <c r="A5468" s="37" t="s">
        <v>10628</v>
      </c>
      <c r="B5468" s="34" t="s">
        <v>10629</v>
      </c>
      <c r="C5468" s="34" t="s">
        <v>2365</v>
      </c>
    </row>
    <row r="5469" customFormat="false" ht="63.75" hidden="false" customHeight="false" outlineLevel="0" collapsed="false">
      <c r="A5469" s="37" t="s">
        <v>10630</v>
      </c>
      <c r="B5469" s="34" t="s">
        <v>10631</v>
      </c>
      <c r="C5469" s="34" t="s">
        <v>2365</v>
      </c>
    </row>
    <row r="5470" customFormat="false" ht="63.75" hidden="false" customHeight="false" outlineLevel="0" collapsed="false">
      <c r="A5470" s="37" t="s">
        <v>10632</v>
      </c>
      <c r="B5470" s="34" t="s">
        <v>10633</v>
      </c>
      <c r="C5470" s="34" t="s">
        <v>2365</v>
      </c>
    </row>
    <row r="5471" customFormat="false" ht="63.75" hidden="false" customHeight="false" outlineLevel="0" collapsed="false">
      <c r="A5471" s="37" t="s">
        <v>10634</v>
      </c>
      <c r="B5471" s="34" t="s">
        <v>10635</v>
      </c>
      <c r="C5471" s="34" t="s">
        <v>2365</v>
      </c>
    </row>
    <row r="5472" customFormat="false" ht="51" hidden="false" customHeight="false" outlineLevel="0" collapsed="false">
      <c r="A5472" s="37" t="s">
        <v>10636</v>
      </c>
      <c r="B5472" s="34" t="s">
        <v>10637</v>
      </c>
      <c r="C5472" s="34" t="s">
        <v>2386</v>
      </c>
    </row>
    <row r="5473" customFormat="false" ht="51" hidden="false" customHeight="false" outlineLevel="0" collapsed="false">
      <c r="A5473" s="37" t="s">
        <v>10638</v>
      </c>
      <c r="B5473" s="34" t="s">
        <v>10639</v>
      </c>
      <c r="C5473" s="34" t="s">
        <v>2386</v>
      </c>
    </row>
    <row r="5474" customFormat="false" ht="51" hidden="false" customHeight="false" outlineLevel="0" collapsed="false">
      <c r="A5474" s="37" t="s">
        <v>10640</v>
      </c>
      <c r="B5474" s="34" t="s">
        <v>10641</v>
      </c>
      <c r="C5474" s="34" t="s">
        <v>2386</v>
      </c>
    </row>
    <row r="5475" customFormat="false" ht="51" hidden="false" customHeight="false" outlineLevel="0" collapsed="false">
      <c r="A5475" s="37" t="s">
        <v>10642</v>
      </c>
      <c r="B5475" s="34" t="s">
        <v>10643</v>
      </c>
      <c r="C5475" s="34" t="s">
        <v>2386</v>
      </c>
    </row>
    <row r="5476" customFormat="false" ht="51" hidden="false" customHeight="false" outlineLevel="0" collapsed="false">
      <c r="A5476" s="37" t="s">
        <v>10644</v>
      </c>
      <c r="B5476" s="34" t="s">
        <v>10645</v>
      </c>
      <c r="C5476" s="34" t="s">
        <v>2386</v>
      </c>
    </row>
    <row r="5477" customFormat="false" ht="63.75" hidden="false" customHeight="false" outlineLevel="0" collapsed="false">
      <c r="A5477" s="37" t="s">
        <v>10646</v>
      </c>
      <c r="B5477" s="34" t="s">
        <v>10647</v>
      </c>
      <c r="C5477" s="34" t="s">
        <v>2397</v>
      </c>
    </row>
    <row r="5478" customFormat="false" ht="63.75" hidden="false" customHeight="false" outlineLevel="0" collapsed="false">
      <c r="A5478" s="37" t="s">
        <v>10648</v>
      </c>
      <c r="B5478" s="34" t="s">
        <v>10649</v>
      </c>
      <c r="C5478" s="34" t="s">
        <v>139</v>
      </c>
    </row>
    <row r="5479" customFormat="false" ht="63.75" hidden="false" customHeight="false" outlineLevel="0" collapsed="false">
      <c r="A5479" s="37" t="s">
        <v>10650</v>
      </c>
      <c r="B5479" s="34" t="s">
        <v>10615</v>
      </c>
      <c r="C5479" s="34" t="s">
        <v>139</v>
      </c>
    </row>
    <row r="5480" customFormat="false" ht="63.75" hidden="false" customHeight="false" outlineLevel="0" collapsed="false">
      <c r="A5480" s="37" t="s">
        <v>10651</v>
      </c>
      <c r="B5480" s="34" t="s">
        <v>10652</v>
      </c>
      <c r="C5480" s="34" t="s">
        <v>139</v>
      </c>
    </row>
    <row r="5481" customFormat="false" ht="63.75" hidden="false" customHeight="false" outlineLevel="0" collapsed="false">
      <c r="A5481" s="37" t="s">
        <v>10653</v>
      </c>
      <c r="B5481" s="34" t="s">
        <v>10654</v>
      </c>
      <c r="C5481" s="34" t="s">
        <v>139</v>
      </c>
    </row>
    <row r="5482" customFormat="false" ht="63.75" hidden="false" customHeight="false" outlineLevel="0" collapsed="false">
      <c r="A5482" s="37" t="s">
        <v>10655</v>
      </c>
      <c r="B5482" s="34" t="s">
        <v>10656</v>
      </c>
      <c r="C5482" s="34" t="s">
        <v>139</v>
      </c>
    </row>
    <row r="5483" customFormat="false" ht="38.25" hidden="false" customHeight="false" outlineLevel="0" collapsed="false">
      <c r="A5483" s="37" t="s">
        <v>10657</v>
      </c>
      <c r="B5483" s="34" t="s">
        <v>10658</v>
      </c>
      <c r="C5483" s="34" t="s">
        <v>73</v>
      </c>
    </row>
    <row r="5484" customFormat="false" ht="38.25" hidden="false" customHeight="false" outlineLevel="0" collapsed="false">
      <c r="A5484" s="37" t="s">
        <v>10659</v>
      </c>
      <c r="B5484" s="34" t="s">
        <v>10660</v>
      </c>
      <c r="C5484" s="34" t="s">
        <v>2412</v>
      </c>
    </row>
    <row r="5485" customFormat="false" ht="76.5" hidden="false" customHeight="false" outlineLevel="0" collapsed="false">
      <c r="A5485" s="37" t="s">
        <v>10661</v>
      </c>
      <c r="B5485" s="34" t="s">
        <v>10050</v>
      </c>
      <c r="C5485" s="34" t="s">
        <v>2297</v>
      </c>
    </row>
    <row r="5486" customFormat="false" ht="76.5" hidden="false" customHeight="false" outlineLevel="0" collapsed="false">
      <c r="A5486" s="37" t="s">
        <v>10662</v>
      </c>
      <c r="B5486" s="34" t="s">
        <v>10050</v>
      </c>
      <c r="C5486" s="34" t="s">
        <v>2297</v>
      </c>
    </row>
    <row r="5487" customFormat="false" ht="76.5" hidden="false" customHeight="false" outlineLevel="0" collapsed="false">
      <c r="A5487" s="37" t="s">
        <v>10663</v>
      </c>
      <c r="B5487" s="34" t="s">
        <v>10050</v>
      </c>
      <c r="C5487" s="34" t="s">
        <v>2297</v>
      </c>
    </row>
    <row r="5488" customFormat="false" ht="76.5" hidden="false" customHeight="false" outlineLevel="0" collapsed="false">
      <c r="A5488" s="37" t="s">
        <v>10664</v>
      </c>
      <c r="B5488" s="34" t="s">
        <v>10050</v>
      </c>
      <c r="C5488" s="34" t="s">
        <v>2297</v>
      </c>
    </row>
    <row r="5489" customFormat="false" ht="63.75" hidden="false" customHeight="false" outlineLevel="0" collapsed="false">
      <c r="A5489" s="37" t="s">
        <v>10665</v>
      </c>
      <c r="B5489" s="34" t="s">
        <v>10666</v>
      </c>
      <c r="C5489" s="34" t="s">
        <v>139</v>
      </c>
    </row>
    <row r="5490" customFormat="false" ht="63.75" hidden="false" customHeight="false" outlineLevel="0" collapsed="false">
      <c r="A5490" s="37" t="s">
        <v>10667</v>
      </c>
      <c r="B5490" s="34" t="s">
        <v>10050</v>
      </c>
      <c r="C5490" s="34" t="s">
        <v>139</v>
      </c>
    </row>
    <row r="5491" customFormat="false" ht="63.75" hidden="false" customHeight="false" outlineLevel="0" collapsed="false">
      <c r="A5491" s="37" t="s">
        <v>10668</v>
      </c>
      <c r="B5491" s="34" t="s">
        <v>10050</v>
      </c>
      <c r="C5491" s="34" t="s">
        <v>139</v>
      </c>
    </row>
    <row r="5492" customFormat="false" ht="63.75" hidden="false" customHeight="false" outlineLevel="0" collapsed="false">
      <c r="A5492" s="37" t="s">
        <v>10669</v>
      </c>
      <c r="B5492" s="34" t="s">
        <v>10670</v>
      </c>
      <c r="C5492" s="34" t="s">
        <v>139</v>
      </c>
    </row>
    <row r="5493" customFormat="false" ht="63.75" hidden="false" customHeight="false" outlineLevel="0" collapsed="false">
      <c r="A5493" s="37" t="s">
        <v>10669</v>
      </c>
      <c r="B5493" s="34" t="s">
        <v>10670</v>
      </c>
      <c r="C5493" s="34" t="s">
        <v>142</v>
      </c>
    </row>
    <row r="5494" customFormat="false" ht="63.75" hidden="false" customHeight="false" outlineLevel="0" collapsed="false">
      <c r="A5494" s="37" t="s">
        <v>10671</v>
      </c>
      <c r="B5494" s="34" t="s">
        <v>10672</v>
      </c>
      <c r="C5494" s="34" t="s">
        <v>2365</v>
      </c>
    </row>
    <row r="5495" customFormat="false" ht="63.75" hidden="false" customHeight="false" outlineLevel="0" collapsed="false">
      <c r="A5495" s="37" t="s">
        <v>10673</v>
      </c>
      <c r="B5495" s="34" t="s">
        <v>10674</v>
      </c>
      <c r="C5495" s="34" t="s">
        <v>2365</v>
      </c>
    </row>
    <row r="5496" customFormat="false" ht="63.75" hidden="false" customHeight="false" outlineLevel="0" collapsed="false">
      <c r="A5496" s="37" t="s">
        <v>10675</v>
      </c>
      <c r="B5496" s="34" t="s">
        <v>10676</v>
      </c>
      <c r="C5496" s="34" t="s">
        <v>2365</v>
      </c>
    </row>
    <row r="5497" customFormat="false" ht="63.75" hidden="false" customHeight="false" outlineLevel="0" collapsed="false">
      <c r="A5497" s="37" t="s">
        <v>10677</v>
      </c>
      <c r="B5497" s="34" t="s">
        <v>10678</v>
      </c>
      <c r="C5497" s="34" t="s">
        <v>2365</v>
      </c>
    </row>
    <row r="5498" customFormat="false" ht="63.75" hidden="false" customHeight="false" outlineLevel="0" collapsed="false">
      <c r="A5498" s="37" t="s">
        <v>10679</v>
      </c>
      <c r="B5498" s="34" t="s">
        <v>10680</v>
      </c>
      <c r="C5498" s="34" t="s">
        <v>2365</v>
      </c>
    </row>
    <row r="5499" customFormat="false" ht="63.75" hidden="false" customHeight="false" outlineLevel="0" collapsed="false">
      <c r="A5499" s="37" t="s">
        <v>10681</v>
      </c>
      <c r="B5499" s="34" t="s">
        <v>10682</v>
      </c>
      <c r="C5499" s="34" t="s">
        <v>2365</v>
      </c>
    </row>
    <row r="5500" customFormat="false" ht="63.75" hidden="false" customHeight="false" outlineLevel="0" collapsed="false">
      <c r="A5500" s="37" t="s">
        <v>10683</v>
      </c>
      <c r="B5500" s="34" t="s">
        <v>10684</v>
      </c>
      <c r="C5500" s="34" t="s">
        <v>2365</v>
      </c>
    </row>
    <row r="5501" customFormat="false" ht="63.75" hidden="false" customHeight="false" outlineLevel="0" collapsed="false">
      <c r="A5501" s="37" t="s">
        <v>10685</v>
      </c>
      <c r="B5501" s="34" t="s">
        <v>10686</v>
      </c>
      <c r="C5501" s="34" t="s">
        <v>2365</v>
      </c>
    </row>
    <row r="5502" customFormat="false" ht="63.75" hidden="false" customHeight="false" outlineLevel="0" collapsed="false">
      <c r="A5502" s="37" t="s">
        <v>10687</v>
      </c>
      <c r="B5502" s="34" t="s">
        <v>10688</v>
      </c>
      <c r="C5502" s="34" t="s">
        <v>2365</v>
      </c>
    </row>
    <row r="5503" customFormat="false" ht="63.75" hidden="false" customHeight="false" outlineLevel="0" collapsed="false">
      <c r="A5503" s="37" t="s">
        <v>10689</v>
      </c>
      <c r="B5503" s="34" t="s">
        <v>10690</v>
      </c>
      <c r="C5503" s="34" t="s">
        <v>2365</v>
      </c>
    </row>
    <row r="5504" customFormat="false" ht="51" hidden="false" customHeight="false" outlineLevel="0" collapsed="false">
      <c r="A5504" s="37" t="s">
        <v>10691</v>
      </c>
      <c r="B5504" s="34" t="s">
        <v>10050</v>
      </c>
      <c r="C5504" s="34" t="s">
        <v>2386</v>
      </c>
    </row>
    <row r="5505" customFormat="false" ht="51" hidden="false" customHeight="false" outlineLevel="0" collapsed="false">
      <c r="A5505" s="37" t="s">
        <v>10692</v>
      </c>
      <c r="B5505" s="34" t="s">
        <v>10050</v>
      </c>
      <c r="C5505" s="34" t="s">
        <v>2386</v>
      </c>
    </row>
    <row r="5506" customFormat="false" ht="51" hidden="false" customHeight="false" outlineLevel="0" collapsed="false">
      <c r="A5506" s="37" t="s">
        <v>10693</v>
      </c>
      <c r="B5506" s="34" t="s">
        <v>10050</v>
      </c>
      <c r="C5506" s="34" t="s">
        <v>2386</v>
      </c>
    </row>
    <row r="5507" customFormat="false" ht="51" hidden="false" customHeight="false" outlineLevel="0" collapsed="false">
      <c r="A5507" s="37" t="s">
        <v>10694</v>
      </c>
      <c r="B5507" s="34" t="s">
        <v>10050</v>
      </c>
      <c r="C5507" s="34" t="s">
        <v>2386</v>
      </c>
    </row>
    <row r="5508" customFormat="false" ht="51" hidden="false" customHeight="false" outlineLevel="0" collapsed="false">
      <c r="A5508" s="37" t="s">
        <v>10695</v>
      </c>
      <c r="B5508" s="34" t="s">
        <v>10050</v>
      </c>
      <c r="C5508" s="34" t="s">
        <v>2386</v>
      </c>
    </row>
    <row r="5509" customFormat="false" ht="63.75" hidden="false" customHeight="false" outlineLevel="0" collapsed="false">
      <c r="A5509" s="37" t="s">
        <v>10696</v>
      </c>
      <c r="B5509" s="34" t="s">
        <v>10050</v>
      </c>
      <c r="C5509" s="34" t="s">
        <v>2397</v>
      </c>
    </row>
    <row r="5510" customFormat="false" ht="63.75" hidden="false" customHeight="false" outlineLevel="0" collapsed="false">
      <c r="A5510" s="37" t="s">
        <v>10697</v>
      </c>
      <c r="B5510" s="34" t="s">
        <v>10048</v>
      </c>
      <c r="C5510" s="34" t="s">
        <v>139</v>
      </c>
    </row>
    <row r="5511" customFormat="false" ht="63.75" hidden="false" customHeight="false" outlineLevel="0" collapsed="false">
      <c r="A5511" s="37" t="s">
        <v>10698</v>
      </c>
      <c r="B5511" s="34" t="s">
        <v>10050</v>
      </c>
      <c r="C5511" s="34" t="s">
        <v>139</v>
      </c>
    </row>
    <row r="5512" customFormat="false" ht="63.75" hidden="false" customHeight="false" outlineLevel="0" collapsed="false">
      <c r="A5512" s="37" t="s">
        <v>10699</v>
      </c>
      <c r="B5512" s="34" t="s">
        <v>10700</v>
      </c>
      <c r="C5512" s="34" t="s">
        <v>139</v>
      </c>
    </row>
    <row r="5513" customFormat="false" ht="38.25" hidden="false" customHeight="false" outlineLevel="0" collapsed="false">
      <c r="A5513" s="37" t="s">
        <v>10701</v>
      </c>
      <c r="B5513" s="34" t="s">
        <v>10054</v>
      </c>
      <c r="C5513" s="34" t="s">
        <v>73</v>
      </c>
    </row>
    <row r="5514" customFormat="false" ht="38.25" hidden="false" customHeight="false" outlineLevel="0" collapsed="false">
      <c r="A5514" s="37" t="s">
        <v>10702</v>
      </c>
      <c r="B5514" s="34" t="s">
        <v>10056</v>
      </c>
      <c r="C5514" s="34" t="s">
        <v>2412</v>
      </c>
    </row>
    <row r="5515" customFormat="false" ht="76.5" hidden="false" customHeight="false" outlineLevel="0" collapsed="false">
      <c r="A5515" s="37" t="s">
        <v>10703</v>
      </c>
      <c r="B5515" s="34" t="s">
        <v>10704</v>
      </c>
      <c r="C5515" s="34" t="s">
        <v>10705</v>
      </c>
    </row>
    <row r="5516" customFormat="false" ht="89.25" hidden="false" customHeight="false" outlineLevel="0" collapsed="false">
      <c r="A5516" s="37" t="s">
        <v>10706</v>
      </c>
      <c r="B5516" s="34" t="s">
        <v>10707</v>
      </c>
      <c r="C5516" s="34" t="s">
        <v>10708</v>
      </c>
    </row>
    <row r="5517" customFormat="false" ht="76.5" hidden="false" customHeight="false" outlineLevel="0" collapsed="false">
      <c r="A5517" s="37" t="s">
        <v>10709</v>
      </c>
      <c r="B5517" s="34" t="s">
        <v>10710</v>
      </c>
      <c r="C5517" s="34" t="s">
        <v>10711</v>
      </c>
    </row>
    <row r="5518" customFormat="false" ht="76.5" hidden="false" customHeight="false" outlineLevel="0" collapsed="false">
      <c r="A5518" s="37" t="s">
        <v>10712</v>
      </c>
      <c r="B5518" s="34" t="s">
        <v>10713</v>
      </c>
      <c r="C5518" s="34" t="s">
        <v>10714</v>
      </c>
    </row>
    <row r="5519" customFormat="false" ht="76.5" hidden="false" customHeight="false" outlineLevel="0" collapsed="false">
      <c r="A5519" s="37" t="s">
        <v>10715</v>
      </c>
      <c r="B5519" s="34" t="s">
        <v>10716</v>
      </c>
      <c r="C5519" s="34" t="s">
        <v>10717</v>
      </c>
    </row>
    <row r="5520" customFormat="false" ht="63.75" hidden="false" customHeight="false" outlineLevel="0" collapsed="false">
      <c r="A5520" s="37" t="s">
        <v>10718</v>
      </c>
      <c r="B5520" s="34" t="s">
        <v>10719</v>
      </c>
      <c r="C5520" s="34" t="s">
        <v>585</v>
      </c>
    </row>
    <row r="5521" customFormat="false" ht="63.75" hidden="false" customHeight="false" outlineLevel="0" collapsed="false">
      <c r="A5521" s="37" t="s">
        <v>10720</v>
      </c>
      <c r="B5521" s="34" t="s">
        <v>10721</v>
      </c>
      <c r="C5521" s="34" t="s">
        <v>588</v>
      </c>
    </row>
    <row r="5522" customFormat="false" ht="76.5" hidden="false" customHeight="false" outlineLevel="0" collapsed="false">
      <c r="A5522" s="37" t="s">
        <v>10722</v>
      </c>
      <c r="B5522" s="34" t="s">
        <v>10723</v>
      </c>
      <c r="C5522" s="34" t="s">
        <v>10724</v>
      </c>
    </row>
    <row r="5523" customFormat="false" ht="76.5" hidden="false" customHeight="false" outlineLevel="0" collapsed="false">
      <c r="A5523" s="37" t="s">
        <v>10725</v>
      </c>
      <c r="B5523" s="34" t="s">
        <v>10726</v>
      </c>
      <c r="C5523" s="34" t="s">
        <v>10727</v>
      </c>
    </row>
    <row r="5524" customFormat="false" ht="89.25" hidden="false" customHeight="false" outlineLevel="0" collapsed="false">
      <c r="A5524" s="37" t="s">
        <v>10728</v>
      </c>
      <c r="B5524" s="34" t="s">
        <v>10729</v>
      </c>
      <c r="C5524" s="34" t="s">
        <v>10724</v>
      </c>
    </row>
    <row r="5525" customFormat="false" ht="89.25" hidden="false" customHeight="false" outlineLevel="0" collapsed="false">
      <c r="A5525" s="37" t="s">
        <v>10730</v>
      </c>
      <c r="B5525" s="34" t="s">
        <v>10731</v>
      </c>
      <c r="C5525" s="34" t="s">
        <v>10724</v>
      </c>
    </row>
    <row r="5526" customFormat="false" ht="76.5" hidden="false" customHeight="false" outlineLevel="0" collapsed="false">
      <c r="A5526" s="37" t="s">
        <v>10732</v>
      </c>
      <c r="B5526" s="34" t="s">
        <v>10733</v>
      </c>
      <c r="C5526" s="34" t="s">
        <v>10724</v>
      </c>
    </row>
    <row r="5527" customFormat="false" ht="76.5" hidden="false" customHeight="false" outlineLevel="0" collapsed="false">
      <c r="A5527" s="37" t="s">
        <v>10734</v>
      </c>
      <c r="B5527" s="34" t="s">
        <v>10735</v>
      </c>
      <c r="C5527" s="34" t="s">
        <v>10717</v>
      </c>
    </row>
    <row r="5528" customFormat="false" ht="76.5" hidden="false" customHeight="false" outlineLevel="0" collapsed="false">
      <c r="A5528" s="37" t="s">
        <v>10736</v>
      </c>
      <c r="B5528" s="34" t="s">
        <v>10737</v>
      </c>
      <c r="C5528" s="34" t="s">
        <v>10714</v>
      </c>
    </row>
    <row r="5529" customFormat="false" ht="63.75" hidden="false" customHeight="false" outlineLevel="0" collapsed="false">
      <c r="A5529" s="37" t="s">
        <v>10738</v>
      </c>
      <c r="B5529" s="34" t="s">
        <v>10739</v>
      </c>
      <c r="C5529" s="34" t="s">
        <v>139</v>
      </c>
    </row>
    <row r="5530" customFormat="false" ht="63.75" hidden="false" customHeight="false" outlineLevel="0" collapsed="false">
      <c r="A5530" s="37" t="s">
        <v>10740</v>
      </c>
      <c r="B5530" s="34" t="s">
        <v>10739</v>
      </c>
      <c r="C5530" s="34" t="s">
        <v>139</v>
      </c>
    </row>
    <row r="5531" customFormat="false" ht="63.75" hidden="false" customHeight="false" outlineLevel="0" collapsed="false">
      <c r="A5531" s="37" t="s">
        <v>10741</v>
      </c>
      <c r="B5531" s="34" t="s">
        <v>10739</v>
      </c>
      <c r="C5531" s="34" t="s">
        <v>139</v>
      </c>
    </row>
    <row r="5532" customFormat="false" ht="63.75" hidden="false" customHeight="false" outlineLevel="0" collapsed="false">
      <c r="A5532" s="37" t="s">
        <v>10742</v>
      </c>
      <c r="B5532" s="34" t="s">
        <v>10739</v>
      </c>
      <c r="C5532" s="34" t="s">
        <v>139</v>
      </c>
    </row>
    <row r="5533" customFormat="false" ht="63.75" hidden="false" customHeight="false" outlineLevel="0" collapsed="false">
      <c r="A5533" s="37" t="s">
        <v>10743</v>
      </c>
      <c r="B5533" s="34" t="s">
        <v>10744</v>
      </c>
      <c r="C5533" s="34" t="s">
        <v>139</v>
      </c>
    </row>
    <row r="5534" customFormat="false" ht="63.75" hidden="false" customHeight="false" outlineLevel="0" collapsed="false">
      <c r="A5534" s="37" t="s">
        <v>10745</v>
      </c>
      <c r="B5534" s="34" t="s">
        <v>10746</v>
      </c>
      <c r="C5534" s="34" t="s">
        <v>139</v>
      </c>
    </row>
    <row r="5535" customFormat="false" ht="63.75" hidden="false" customHeight="false" outlineLevel="0" collapsed="false">
      <c r="A5535" s="37" t="s">
        <v>10747</v>
      </c>
      <c r="B5535" s="34" t="s">
        <v>10748</v>
      </c>
      <c r="C5535" s="34" t="s">
        <v>139</v>
      </c>
    </row>
    <row r="5536" customFormat="false" ht="63.75" hidden="false" customHeight="false" outlineLevel="0" collapsed="false">
      <c r="A5536" s="37" t="s">
        <v>10749</v>
      </c>
      <c r="B5536" s="34" t="s">
        <v>10750</v>
      </c>
      <c r="C5536" s="34" t="s">
        <v>139</v>
      </c>
    </row>
    <row r="5537" customFormat="false" ht="76.5" hidden="false" customHeight="false" outlineLevel="0" collapsed="false">
      <c r="A5537" s="37" t="s">
        <v>10751</v>
      </c>
      <c r="B5537" s="34" t="s">
        <v>10752</v>
      </c>
      <c r="C5537" s="34" t="s">
        <v>2297</v>
      </c>
    </row>
    <row r="5538" customFormat="false" ht="76.5" hidden="false" customHeight="false" outlineLevel="0" collapsed="false">
      <c r="A5538" s="37" t="s">
        <v>10753</v>
      </c>
      <c r="B5538" s="34" t="s">
        <v>10754</v>
      </c>
      <c r="C5538" s="34" t="s">
        <v>2297</v>
      </c>
    </row>
    <row r="5539" customFormat="false" ht="76.5" hidden="false" customHeight="false" outlineLevel="0" collapsed="false">
      <c r="A5539" s="37" t="s">
        <v>10755</v>
      </c>
      <c r="B5539" s="34" t="s">
        <v>10756</v>
      </c>
      <c r="C5539" s="34" t="s">
        <v>2297</v>
      </c>
    </row>
    <row r="5540" customFormat="false" ht="76.5" hidden="false" customHeight="false" outlineLevel="0" collapsed="false">
      <c r="A5540" s="37" t="s">
        <v>10757</v>
      </c>
      <c r="B5540" s="34" t="s">
        <v>10758</v>
      </c>
      <c r="C5540" s="34" t="s">
        <v>2297</v>
      </c>
    </row>
    <row r="5541" customFormat="false" ht="63.75" hidden="false" customHeight="false" outlineLevel="0" collapsed="false">
      <c r="A5541" s="37" t="s">
        <v>10759</v>
      </c>
      <c r="B5541" s="34" t="s">
        <v>10760</v>
      </c>
      <c r="C5541" s="34" t="s">
        <v>139</v>
      </c>
    </row>
    <row r="5542" customFormat="false" ht="63.75" hidden="false" customHeight="false" outlineLevel="0" collapsed="false">
      <c r="A5542" s="37" t="s">
        <v>10761</v>
      </c>
      <c r="B5542" s="34" t="s">
        <v>10762</v>
      </c>
      <c r="C5542" s="34" t="s">
        <v>139</v>
      </c>
    </row>
    <row r="5543" customFormat="false" ht="63.75" hidden="false" customHeight="false" outlineLevel="0" collapsed="false">
      <c r="A5543" s="37" t="s">
        <v>10763</v>
      </c>
      <c r="B5543" s="34" t="s">
        <v>10764</v>
      </c>
      <c r="C5543" s="34" t="s">
        <v>139</v>
      </c>
    </row>
    <row r="5544" customFormat="false" ht="63.75" hidden="false" customHeight="false" outlineLevel="0" collapsed="false">
      <c r="A5544" s="37" t="s">
        <v>10765</v>
      </c>
      <c r="B5544" s="34" t="s">
        <v>10766</v>
      </c>
      <c r="C5544" s="34" t="s">
        <v>139</v>
      </c>
    </row>
    <row r="5545" customFormat="false" ht="63.75" hidden="false" customHeight="false" outlineLevel="0" collapsed="false">
      <c r="A5545" s="37" t="s">
        <v>10765</v>
      </c>
      <c r="B5545" s="34" t="s">
        <v>10767</v>
      </c>
      <c r="C5545" s="34" t="s">
        <v>8690</v>
      </c>
    </row>
    <row r="5546" customFormat="false" ht="63.75" hidden="false" customHeight="false" outlineLevel="0" collapsed="false">
      <c r="A5546" s="37" t="s">
        <v>10768</v>
      </c>
      <c r="B5546" s="34" t="s">
        <v>10769</v>
      </c>
      <c r="C5546" s="34" t="s">
        <v>139</v>
      </c>
    </row>
    <row r="5547" customFormat="false" ht="63.75" hidden="false" customHeight="false" outlineLevel="0" collapsed="false">
      <c r="A5547" s="37" t="s">
        <v>10770</v>
      </c>
      <c r="B5547" s="34" t="s">
        <v>10771</v>
      </c>
      <c r="C5547" s="34" t="s">
        <v>139</v>
      </c>
    </row>
    <row r="5548" customFormat="false" ht="63.75" hidden="false" customHeight="false" outlineLevel="0" collapsed="false">
      <c r="A5548" s="37" t="s">
        <v>10772</v>
      </c>
      <c r="B5548" s="34" t="s">
        <v>10773</v>
      </c>
      <c r="C5548" s="34" t="s">
        <v>139</v>
      </c>
    </row>
    <row r="5549" customFormat="false" ht="25.5" hidden="false" customHeight="false" outlineLevel="0" collapsed="false">
      <c r="A5549" s="37" t="s">
        <v>10774</v>
      </c>
      <c r="B5549" s="34" t="s">
        <v>10775</v>
      </c>
      <c r="C5549" s="34" t="s">
        <v>10776</v>
      </c>
    </row>
    <row r="5550" customFormat="false" ht="63.75" hidden="false" customHeight="false" outlineLevel="0" collapsed="false">
      <c r="A5550" s="37" t="s">
        <v>10777</v>
      </c>
      <c r="B5550" s="34" t="s">
        <v>10778</v>
      </c>
      <c r="C5550" s="34" t="s">
        <v>73</v>
      </c>
    </row>
    <row r="5551" customFormat="false" ht="51" hidden="false" customHeight="false" outlineLevel="0" collapsed="false">
      <c r="A5551" s="37" t="s">
        <v>10779</v>
      </c>
      <c r="B5551" s="34" t="s">
        <v>10780</v>
      </c>
      <c r="C5551" s="34" t="s">
        <v>2412</v>
      </c>
    </row>
    <row r="5552" customFormat="false" ht="102" hidden="false" customHeight="false" outlineLevel="0" collapsed="false">
      <c r="A5552" s="37" t="s">
        <v>10781</v>
      </c>
      <c r="B5552" s="34" t="s">
        <v>10782</v>
      </c>
      <c r="C5552" s="34" t="s">
        <v>177</v>
      </c>
    </row>
    <row r="5553" customFormat="false" ht="102" hidden="false" customHeight="false" outlineLevel="0" collapsed="false">
      <c r="A5553" s="37" t="s">
        <v>10783</v>
      </c>
      <c r="B5553" s="34" t="s">
        <v>10784</v>
      </c>
      <c r="C5553" s="34" t="s">
        <v>177</v>
      </c>
    </row>
    <row r="5554" customFormat="false" ht="102" hidden="false" customHeight="false" outlineLevel="0" collapsed="false">
      <c r="A5554" s="37" t="s">
        <v>10785</v>
      </c>
      <c r="B5554" s="34" t="s">
        <v>10786</v>
      </c>
      <c r="C5554" s="34" t="s">
        <v>1751</v>
      </c>
    </row>
    <row r="5555" customFormat="false" ht="102" hidden="false" customHeight="false" outlineLevel="0" collapsed="false">
      <c r="A5555" s="37" t="s">
        <v>10787</v>
      </c>
      <c r="B5555" s="34" t="s">
        <v>10788</v>
      </c>
      <c r="C5555" s="34" t="s">
        <v>1751</v>
      </c>
    </row>
    <row r="5556" customFormat="false" ht="89.25" hidden="false" customHeight="false" outlineLevel="0" collapsed="false">
      <c r="A5556" s="37" t="s">
        <v>10789</v>
      </c>
      <c r="B5556" s="34" t="s">
        <v>10790</v>
      </c>
      <c r="C5556" s="34" t="s">
        <v>10791</v>
      </c>
    </row>
    <row r="5557" customFormat="false" ht="102" hidden="false" customHeight="false" outlineLevel="0" collapsed="false">
      <c r="A5557" s="37" t="s">
        <v>10792</v>
      </c>
      <c r="B5557" s="34" t="s">
        <v>10793</v>
      </c>
      <c r="C5557" s="34" t="s">
        <v>221</v>
      </c>
    </row>
    <row r="5558" customFormat="false" ht="102" hidden="false" customHeight="false" outlineLevel="0" collapsed="false">
      <c r="A5558" s="37" t="s">
        <v>10794</v>
      </c>
      <c r="B5558" s="34" t="s">
        <v>10795</v>
      </c>
      <c r="C5558" s="34" t="s">
        <v>221</v>
      </c>
    </row>
    <row r="5559" customFormat="false" ht="102" hidden="false" customHeight="false" outlineLevel="0" collapsed="false">
      <c r="A5559" s="37" t="s">
        <v>10796</v>
      </c>
      <c r="B5559" s="34" t="s">
        <v>10797</v>
      </c>
      <c r="C5559" s="34" t="s">
        <v>1808</v>
      </c>
    </row>
    <row r="5560" customFormat="false" ht="102" hidden="false" customHeight="false" outlineLevel="0" collapsed="false">
      <c r="A5560" s="37" t="s">
        <v>10798</v>
      </c>
      <c r="B5560" s="34" t="s">
        <v>10799</v>
      </c>
      <c r="C5560" s="34" t="s">
        <v>1808</v>
      </c>
    </row>
    <row r="5561" customFormat="false" ht="89.25" hidden="false" customHeight="false" outlineLevel="0" collapsed="false">
      <c r="A5561" s="37" t="s">
        <v>10800</v>
      </c>
      <c r="B5561" s="34" t="s">
        <v>10801</v>
      </c>
      <c r="C5561" s="34" t="s">
        <v>10802</v>
      </c>
    </row>
    <row r="5562" customFormat="false" ht="102" hidden="false" customHeight="false" outlineLevel="0" collapsed="false">
      <c r="A5562" s="37" t="s">
        <v>10803</v>
      </c>
      <c r="B5562" s="34" t="s">
        <v>10804</v>
      </c>
      <c r="C5562" s="34" t="s">
        <v>265</v>
      </c>
    </row>
    <row r="5563" customFormat="false" ht="102" hidden="false" customHeight="false" outlineLevel="0" collapsed="false">
      <c r="A5563" s="37" t="s">
        <v>10805</v>
      </c>
      <c r="B5563" s="34" t="s">
        <v>10806</v>
      </c>
      <c r="C5563" s="34" t="s">
        <v>265</v>
      </c>
    </row>
    <row r="5564" customFormat="false" ht="102" hidden="false" customHeight="false" outlineLevel="0" collapsed="false">
      <c r="A5564" s="37" t="s">
        <v>10807</v>
      </c>
      <c r="B5564" s="34" t="s">
        <v>10808</v>
      </c>
      <c r="C5564" s="34" t="s">
        <v>1866</v>
      </c>
    </row>
    <row r="5565" customFormat="false" ht="102" hidden="false" customHeight="false" outlineLevel="0" collapsed="false">
      <c r="A5565" s="37" t="s">
        <v>10809</v>
      </c>
      <c r="B5565" s="34" t="s">
        <v>10810</v>
      </c>
      <c r="C5565" s="34" t="s">
        <v>1866</v>
      </c>
    </row>
    <row r="5566" customFormat="false" ht="89.25" hidden="false" customHeight="false" outlineLevel="0" collapsed="false">
      <c r="A5566" s="37" t="s">
        <v>10811</v>
      </c>
      <c r="B5566" s="34" t="s">
        <v>10812</v>
      </c>
      <c r="C5566" s="34" t="s">
        <v>10813</v>
      </c>
    </row>
    <row r="5567" customFormat="false" ht="102" hidden="false" customHeight="false" outlineLevel="0" collapsed="false">
      <c r="A5567" s="37" t="s">
        <v>10814</v>
      </c>
      <c r="B5567" s="34" t="s">
        <v>10815</v>
      </c>
      <c r="C5567" s="34" t="s">
        <v>309</v>
      </c>
    </row>
    <row r="5568" customFormat="false" ht="102" hidden="false" customHeight="false" outlineLevel="0" collapsed="false">
      <c r="A5568" s="37" t="s">
        <v>10816</v>
      </c>
      <c r="B5568" s="34" t="s">
        <v>10817</v>
      </c>
      <c r="C5568" s="34" t="s">
        <v>309</v>
      </c>
    </row>
    <row r="5569" customFormat="false" ht="102" hidden="false" customHeight="false" outlineLevel="0" collapsed="false">
      <c r="A5569" s="37" t="s">
        <v>10818</v>
      </c>
      <c r="B5569" s="34" t="s">
        <v>10819</v>
      </c>
      <c r="C5569" s="34" t="s">
        <v>1924</v>
      </c>
    </row>
    <row r="5570" customFormat="false" ht="102" hidden="false" customHeight="false" outlineLevel="0" collapsed="false">
      <c r="A5570" s="37" t="s">
        <v>10820</v>
      </c>
      <c r="B5570" s="34" t="s">
        <v>10821</v>
      </c>
      <c r="C5570" s="34" t="s">
        <v>1924</v>
      </c>
    </row>
    <row r="5571" customFormat="false" ht="89.25" hidden="false" customHeight="false" outlineLevel="0" collapsed="false">
      <c r="A5571" s="37" t="s">
        <v>10822</v>
      </c>
      <c r="B5571" s="34" t="s">
        <v>10823</v>
      </c>
      <c r="C5571" s="34" t="s">
        <v>10824</v>
      </c>
    </row>
    <row r="5572" customFormat="false" ht="102" hidden="false" customHeight="false" outlineLevel="0" collapsed="false">
      <c r="A5572" s="37" t="s">
        <v>10825</v>
      </c>
      <c r="B5572" s="34" t="s">
        <v>10826</v>
      </c>
      <c r="C5572" s="34" t="s">
        <v>351</v>
      </c>
    </row>
    <row r="5573" customFormat="false" ht="102" hidden="false" customHeight="false" outlineLevel="0" collapsed="false">
      <c r="A5573" s="37" t="s">
        <v>10827</v>
      </c>
      <c r="B5573" s="34" t="s">
        <v>10828</v>
      </c>
      <c r="C5573" s="34" t="s">
        <v>351</v>
      </c>
    </row>
    <row r="5574" customFormat="false" ht="102" hidden="false" customHeight="false" outlineLevel="0" collapsed="false">
      <c r="A5574" s="37" t="s">
        <v>10829</v>
      </c>
      <c r="B5574" s="34" t="s">
        <v>10830</v>
      </c>
      <c r="C5574" s="34" t="s">
        <v>1987</v>
      </c>
    </row>
    <row r="5575" customFormat="false" ht="102" hidden="false" customHeight="false" outlineLevel="0" collapsed="false">
      <c r="A5575" s="37" t="s">
        <v>10831</v>
      </c>
      <c r="B5575" s="34" t="s">
        <v>10832</v>
      </c>
      <c r="C5575" s="34" t="s">
        <v>1987</v>
      </c>
    </row>
    <row r="5576" customFormat="false" ht="89.25" hidden="false" customHeight="false" outlineLevel="0" collapsed="false">
      <c r="A5576" s="37" t="s">
        <v>10833</v>
      </c>
      <c r="B5576" s="34" t="s">
        <v>10834</v>
      </c>
      <c r="C5576" s="34" t="s">
        <v>10835</v>
      </c>
    </row>
    <row r="5577" customFormat="false" ht="63.75" hidden="false" customHeight="false" outlineLevel="0" collapsed="false">
      <c r="A5577" s="37" t="s">
        <v>10836</v>
      </c>
      <c r="B5577" s="34" t="s">
        <v>10837</v>
      </c>
      <c r="C5577" s="34" t="s">
        <v>1142</v>
      </c>
    </row>
    <row r="5578" customFormat="false" ht="63.75" hidden="false" customHeight="false" outlineLevel="0" collapsed="false">
      <c r="A5578" s="37" t="s">
        <v>10838</v>
      </c>
      <c r="B5578" s="34" t="s">
        <v>10839</v>
      </c>
      <c r="C5578" s="34" t="s">
        <v>1142</v>
      </c>
    </row>
    <row r="5579" customFormat="false" ht="63.75" hidden="false" customHeight="false" outlineLevel="0" collapsed="false">
      <c r="A5579" s="37" t="s">
        <v>10840</v>
      </c>
      <c r="B5579" s="34" t="s">
        <v>10841</v>
      </c>
      <c r="C5579" s="34" t="s">
        <v>1142</v>
      </c>
    </row>
    <row r="5580" customFormat="false" ht="63.75" hidden="false" customHeight="false" outlineLevel="0" collapsed="false">
      <c r="A5580" s="37" t="s">
        <v>10842</v>
      </c>
      <c r="B5580" s="34" t="s">
        <v>10843</v>
      </c>
      <c r="C5580" s="34" t="s">
        <v>1142</v>
      </c>
    </row>
    <row r="5581" customFormat="false" ht="63.75" hidden="false" customHeight="false" outlineLevel="0" collapsed="false">
      <c r="A5581" s="37" t="s">
        <v>10844</v>
      </c>
      <c r="B5581" s="34" t="s">
        <v>10845</v>
      </c>
      <c r="C5581" s="34" t="s">
        <v>1142</v>
      </c>
    </row>
    <row r="5582" customFormat="false" ht="89.25" hidden="false" customHeight="false" outlineLevel="0" collapsed="false">
      <c r="A5582" s="37" t="s">
        <v>10846</v>
      </c>
      <c r="B5582" s="34" t="s">
        <v>10847</v>
      </c>
      <c r="C5582" s="34" t="s">
        <v>387</v>
      </c>
    </row>
    <row r="5583" customFormat="false" ht="51" hidden="false" customHeight="false" outlineLevel="0" collapsed="false">
      <c r="A5583" s="37" t="s">
        <v>10848</v>
      </c>
      <c r="B5583" s="34" t="s">
        <v>10849</v>
      </c>
      <c r="C5583" s="34" t="s">
        <v>1170</v>
      </c>
    </row>
    <row r="5584" customFormat="false" ht="51" hidden="false" customHeight="false" outlineLevel="0" collapsed="false">
      <c r="A5584" s="37" t="s">
        <v>10850</v>
      </c>
      <c r="B5584" s="34" t="s">
        <v>10851</v>
      </c>
      <c r="C5584" s="34" t="s">
        <v>1170</v>
      </c>
    </row>
    <row r="5585" customFormat="false" ht="51" hidden="false" customHeight="false" outlineLevel="0" collapsed="false">
      <c r="A5585" s="37" t="s">
        <v>10852</v>
      </c>
      <c r="B5585" s="34" t="s">
        <v>10853</v>
      </c>
      <c r="C5585" s="34" t="s">
        <v>1170</v>
      </c>
    </row>
    <row r="5586" customFormat="false" ht="63.75" hidden="false" customHeight="false" outlineLevel="0" collapsed="false">
      <c r="A5586" s="37" t="s">
        <v>10854</v>
      </c>
      <c r="B5586" s="34" t="s">
        <v>10855</v>
      </c>
      <c r="C5586" s="34" t="s">
        <v>373</v>
      </c>
    </row>
    <row r="5587" customFormat="false" ht="63.75" hidden="false" customHeight="false" outlineLevel="0" collapsed="false">
      <c r="A5587" s="37" t="s">
        <v>10856</v>
      </c>
      <c r="B5587" s="34" t="s">
        <v>10857</v>
      </c>
      <c r="C5587" s="34" t="s">
        <v>373</v>
      </c>
    </row>
    <row r="5588" customFormat="false" ht="51" hidden="false" customHeight="false" outlineLevel="0" collapsed="false">
      <c r="A5588" s="37" t="s">
        <v>10858</v>
      </c>
      <c r="B5588" s="34" t="s">
        <v>10859</v>
      </c>
      <c r="C5588" s="34" t="s">
        <v>384</v>
      </c>
    </row>
    <row r="5589" customFormat="false" ht="89.25" hidden="false" customHeight="false" outlineLevel="0" collapsed="false">
      <c r="A5589" s="37" t="s">
        <v>10860</v>
      </c>
      <c r="B5589" s="34" t="s">
        <v>10861</v>
      </c>
      <c r="C5589" s="34" t="s">
        <v>1198</v>
      </c>
    </row>
    <row r="5590" customFormat="false" ht="89.25" hidden="false" customHeight="false" outlineLevel="0" collapsed="false">
      <c r="A5590" s="37" t="s">
        <v>10862</v>
      </c>
      <c r="B5590" s="34" t="s">
        <v>10863</v>
      </c>
      <c r="C5590" s="34" t="s">
        <v>1198</v>
      </c>
    </row>
    <row r="5591" customFormat="false" ht="89.25" hidden="false" customHeight="false" outlineLevel="0" collapsed="false">
      <c r="A5591" s="37" t="s">
        <v>10864</v>
      </c>
      <c r="B5591" s="34" t="s">
        <v>10865</v>
      </c>
      <c r="C5591" s="34" t="s">
        <v>1198</v>
      </c>
    </row>
    <row r="5592" customFormat="false" ht="89.25" hidden="false" customHeight="false" outlineLevel="0" collapsed="false">
      <c r="A5592" s="37" t="s">
        <v>10866</v>
      </c>
      <c r="B5592" s="34" t="s">
        <v>10867</v>
      </c>
      <c r="C5592" s="34" t="s">
        <v>1198</v>
      </c>
    </row>
    <row r="5593" customFormat="false" ht="89.25" hidden="false" customHeight="false" outlineLevel="0" collapsed="false">
      <c r="A5593" s="37" t="s">
        <v>10868</v>
      </c>
      <c r="B5593" s="34" t="s">
        <v>10869</v>
      </c>
      <c r="C5593" s="34" t="s">
        <v>1198</v>
      </c>
    </row>
    <row r="5594" customFormat="false" ht="89.25" hidden="false" customHeight="false" outlineLevel="0" collapsed="false">
      <c r="A5594" s="37" t="s">
        <v>10870</v>
      </c>
      <c r="B5594" s="34" t="s">
        <v>10871</v>
      </c>
      <c r="C5594" s="34" t="s">
        <v>1198</v>
      </c>
    </row>
    <row r="5595" customFormat="false" ht="89.25" hidden="false" customHeight="false" outlineLevel="0" collapsed="false">
      <c r="A5595" s="37" t="s">
        <v>10872</v>
      </c>
      <c r="B5595" s="34" t="s">
        <v>10873</v>
      </c>
      <c r="C5595" s="34" t="s">
        <v>1198</v>
      </c>
    </row>
    <row r="5596" customFormat="false" ht="89.25" hidden="false" customHeight="false" outlineLevel="0" collapsed="false">
      <c r="A5596" s="37" t="s">
        <v>10874</v>
      </c>
      <c r="B5596" s="34" t="s">
        <v>10875</v>
      </c>
      <c r="C5596" s="34" t="s">
        <v>1198</v>
      </c>
    </row>
    <row r="5597" customFormat="false" ht="102" hidden="false" customHeight="false" outlineLevel="0" collapsed="false">
      <c r="A5597" s="37" t="s">
        <v>10876</v>
      </c>
      <c r="B5597" s="34" t="s">
        <v>10877</v>
      </c>
      <c r="C5597" s="34" t="s">
        <v>1215</v>
      </c>
    </row>
    <row r="5598" customFormat="false" ht="38.25" hidden="false" customHeight="false" outlineLevel="0" collapsed="false">
      <c r="A5598" s="37" t="s">
        <v>10878</v>
      </c>
      <c r="B5598" s="34" t="s">
        <v>10879</v>
      </c>
      <c r="C5598" s="34" t="s">
        <v>965</v>
      </c>
    </row>
    <row r="5599" customFormat="false" ht="76.5" hidden="false" customHeight="false" outlineLevel="0" collapsed="false">
      <c r="A5599" s="37" t="s">
        <v>10880</v>
      </c>
      <c r="B5599" s="34" t="s">
        <v>10881</v>
      </c>
      <c r="C5599" s="34" t="s">
        <v>2297</v>
      </c>
    </row>
    <row r="5600" customFormat="false" ht="76.5" hidden="false" customHeight="false" outlineLevel="0" collapsed="false">
      <c r="A5600" s="37" t="s">
        <v>10882</v>
      </c>
      <c r="B5600" s="34" t="s">
        <v>10883</v>
      </c>
      <c r="C5600" s="34" t="s">
        <v>2297</v>
      </c>
    </row>
    <row r="5601" customFormat="false" ht="76.5" hidden="false" customHeight="false" outlineLevel="0" collapsed="false">
      <c r="A5601" s="37" t="s">
        <v>10884</v>
      </c>
      <c r="B5601" s="34" t="s">
        <v>10885</v>
      </c>
      <c r="C5601" s="34" t="s">
        <v>2297</v>
      </c>
    </row>
    <row r="5602" customFormat="false" ht="63.75" hidden="false" customHeight="false" outlineLevel="0" collapsed="false">
      <c r="A5602" s="37" t="s">
        <v>10886</v>
      </c>
      <c r="B5602" s="34" t="s">
        <v>10887</v>
      </c>
      <c r="C5602" s="34" t="s">
        <v>139</v>
      </c>
    </row>
    <row r="5603" customFormat="false" ht="63.75" hidden="false" customHeight="false" outlineLevel="0" collapsed="false">
      <c r="A5603" s="37" t="s">
        <v>10888</v>
      </c>
      <c r="B5603" s="34" t="s">
        <v>10889</v>
      </c>
      <c r="C5603" s="34" t="s">
        <v>139</v>
      </c>
    </row>
    <row r="5604" customFormat="false" ht="63.75" hidden="false" customHeight="false" outlineLevel="0" collapsed="false">
      <c r="A5604" s="37" t="s">
        <v>10890</v>
      </c>
      <c r="B5604" s="34" t="s">
        <v>10891</v>
      </c>
      <c r="C5604" s="34" t="s">
        <v>139</v>
      </c>
    </row>
    <row r="5605" customFormat="false" ht="63.75" hidden="false" customHeight="false" outlineLevel="0" collapsed="false">
      <c r="A5605" s="37" t="s">
        <v>10892</v>
      </c>
      <c r="B5605" s="34" t="s">
        <v>10893</v>
      </c>
      <c r="C5605" s="34" t="s">
        <v>139</v>
      </c>
    </row>
    <row r="5606" customFormat="false" ht="63.75" hidden="false" customHeight="false" outlineLevel="0" collapsed="false">
      <c r="A5606" s="37" t="s">
        <v>10892</v>
      </c>
      <c r="B5606" s="34" t="s">
        <v>10894</v>
      </c>
      <c r="C5606" s="34" t="s">
        <v>8690</v>
      </c>
    </row>
    <row r="5607" customFormat="false" ht="63.75" hidden="false" customHeight="false" outlineLevel="0" collapsed="false">
      <c r="A5607" s="37" t="s">
        <v>10895</v>
      </c>
      <c r="B5607" s="34" t="s">
        <v>10896</v>
      </c>
      <c r="C5607" s="34" t="s">
        <v>139</v>
      </c>
    </row>
    <row r="5608" customFormat="false" ht="63.75" hidden="false" customHeight="false" outlineLevel="0" collapsed="false">
      <c r="A5608" s="37" t="s">
        <v>10897</v>
      </c>
      <c r="B5608" s="34" t="s">
        <v>10898</v>
      </c>
      <c r="C5608" s="34" t="s">
        <v>139</v>
      </c>
    </row>
    <row r="5609" customFormat="false" ht="51" hidden="false" customHeight="false" outlineLevel="0" collapsed="false">
      <c r="A5609" s="37" t="s">
        <v>10899</v>
      </c>
      <c r="B5609" s="34" t="s">
        <v>10900</v>
      </c>
      <c r="C5609" s="34" t="s">
        <v>2386</v>
      </c>
    </row>
    <row r="5610" customFormat="false" ht="51" hidden="false" customHeight="false" outlineLevel="0" collapsed="false">
      <c r="A5610" s="37" t="s">
        <v>10901</v>
      </c>
      <c r="B5610" s="34" t="s">
        <v>10902</v>
      </c>
      <c r="C5610" s="34" t="s">
        <v>2386</v>
      </c>
    </row>
    <row r="5611" customFormat="false" ht="51" hidden="false" customHeight="false" outlineLevel="0" collapsed="false">
      <c r="A5611" s="37" t="s">
        <v>10903</v>
      </c>
      <c r="B5611" s="34" t="s">
        <v>10904</v>
      </c>
      <c r="C5611" s="34" t="s">
        <v>2386</v>
      </c>
    </row>
    <row r="5612" customFormat="false" ht="51" hidden="false" customHeight="false" outlineLevel="0" collapsed="false">
      <c r="A5612" s="37" t="s">
        <v>10905</v>
      </c>
      <c r="B5612" s="34" t="s">
        <v>10906</v>
      </c>
      <c r="C5612" s="34" t="s">
        <v>2386</v>
      </c>
    </row>
    <row r="5613" customFormat="false" ht="51" hidden="false" customHeight="false" outlineLevel="0" collapsed="false">
      <c r="A5613" s="37" t="s">
        <v>10907</v>
      </c>
      <c r="B5613" s="34" t="s">
        <v>10908</v>
      </c>
      <c r="C5613" s="34" t="s">
        <v>2386</v>
      </c>
    </row>
    <row r="5614" customFormat="false" ht="63.75" hidden="false" customHeight="false" outlineLevel="0" collapsed="false">
      <c r="A5614" s="37" t="s">
        <v>10909</v>
      </c>
      <c r="B5614" s="34" t="s">
        <v>10910</v>
      </c>
      <c r="C5614" s="34" t="s">
        <v>2397</v>
      </c>
    </row>
    <row r="5615" customFormat="false" ht="63.75" hidden="false" customHeight="false" outlineLevel="0" collapsed="false">
      <c r="A5615" s="37" t="s">
        <v>10911</v>
      </c>
      <c r="B5615" s="34" t="s">
        <v>10912</v>
      </c>
      <c r="C5615" s="34" t="s">
        <v>139</v>
      </c>
    </row>
    <row r="5616" customFormat="false" ht="63.75" hidden="false" customHeight="false" outlineLevel="0" collapsed="false">
      <c r="A5616" s="37" t="s">
        <v>10913</v>
      </c>
      <c r="B5616" s="34" t="s">
        <v>10914</v>
      </c>
      <c r="C5616" s="34" t="s">
        <v>139</v>
      </c>
    </row>
    <row r="5617" customFormat="false" ht="63.75" hidden="false" customHeight="false" outlineLevel="0" collapsed="false">
      <c r="A5617" s="37" t="s">
        <v>10915</v>
      </c>
      <c r="B5617" s="34" t="s">
        <v>10916</v>
      </c>
      <c r="C5617" s="34" t="s">
        <v>139</v>
      </c>
    </row>
    <row r="5618" customFormat="false" ht="25.5" hidden="false" customHeight="false" outlineLevel="0" collapsed="false">
      <c r="A5618" s="37" t="s">
        <v>10917</v>
      </c>
      <c r="B5618" s="34" t="s">
        <v>10918</v>
      </c>
      <c r="C5618" s="34" t="s">
        <v>7424</v>
      </c>
    </row>
    <row r="5619" customFormat="false" ht="38.25" hidden="false" customHeight="false" outlineLevel="0" collapsed="false">
      <c r="A5619" s="37" t="s">
        <v>10919</v>
      </c>
      <c r="B5619" s="34" t="s">
        <v>10920</v>
      </c>
      <c r="C5619" s="34" t="s">
        <v>73</v>
      </c>
    </row>
    <row r="5620" customFormat="false" ht="38.25" hidden="false" customHeight="false" outlineLevel="0" collapsed="false">
      <c r="A5620" s="37" t="s">
        <v>10921</v>
      </c>
      <c r="B5620" s="34" t="s">
        <v>10922</v>
      </c>
      <c r="C5620" s="34" t="s">
        <v>2412</v>
      </c>
    </row>
    <row r="5621" customFormat="false" ht="63.75" hidden="false" customHeight="false" outlineLevel="0" collapsed="false">
      <c r="A5621" s="37" t="s">
        <v>10923</v>
      </c>
      <c r="B5621" s="34" t="s">
        <v>10924</v>
      </c>
      <c r="C5621" s="34" t="s">
        <v>139</v>
      </c>
    </row>
    <row r="5622" customFormat="false" ht="63.75" hidden="false" customHeight="false" outlineLevel="0" collapsed="false">
      <c r="A5622" s="37" t="s">
        <v>10925</v>
      </c>
      <c r="B5622" s="34" t="s">
        <v>10926</v>
      </c>
      <c r="C5622" s="34" t="s">
        <v>139</v>
      </c>
    </row>
    <row r="5623" customFormat="false" ht="63.75" hidden="false" customHeight="false" outlineLevel="0" collapsed="false">
      <c r="A5623" s="37" t="s">
        <v>10927</v>
      </c>
      <c r="B5623" s="34" t="s">
        <v>10928</v>
      </c>
      <c r="C5623" s="34" t="s">
        <v>139</v>
      </c>
    </row>
    <row r="5624" customFormat="false" ht="63.75" hidden="false" customHeight="false" outlineLevel="0" collapsed="false">
      <c r="A5624" s="37" t="s">
        <v>10929</v>
      </c>
      <c r="B5624" s="34" t="s">
        <v>10930</v>
      </c>
      <c r="C5624" s="34" t="s">
        <v>139</v>
      </c>
    </row>
    <row r="5625" customFormat="false" ht="63.75" hidden="false" customHeight="false" outlineLevel="0" collapsed="false">
      <c r="A5625" s="37" t="s">
        <v>10929</v>
      </c>
      <c r="B5625" s="34" t="s">
        <v>10931</v>
      </c>
      <c r="C5625" s="34" t="s">
        <v>8690</v>
      </c>
    </row>
    <row r="5626" customFormat="false" ht="38.25" hidden="false" customHeight="false" outlineLevel="0" collapsed="false">
      <c r="A5626" s="37" t="s">
        <v>10932</v>
      </c>
      <c r="B5626" s="34" t="s">
        <v>10933</v>
      </c>
      <c r="C5626" s="34" t="s">
        <v>40</v>
      </c>
    </row>
    <row r="5627" customFormat="false" ht="38.25" hidden="false" customHeight="false" outlineLevel="0" collapsed="false">
      <c r="A5627" s="37" t="s">
        <v>10934</v>
      </c>
      <c r="B5627" s="34" t="s">
        <v>10935</v>
      </c>
      <c r="C5627" s="34" t="s">
        <v>10936</v>
      </c>
    </row>
    <row r="5628" customFormat="false" ht="25.5" hidden="false" customHeight="false" outlineLevel="0" collapsed="false">
      <c r="A5628" s="37" t="s">
        <v>10937</v>
      </c>
      <c r="B5628" s="34" t="s">
        <v>10938</v>
      </c>
      <c r="C5628" s="34" t="s">
        <v>40</v>
      </c>
    </row>
    <row r="5629" customFormat="false" ht="38.25" hidden="false" customHeight="false" outlineLevel="0" collapsed="false">
      <c r="A5629" s="37" t="s">
        <v>10939</v>
      </c>
      <c r="B5629" s="34" t="s">
        <v>10940</v>
      </c>
      <c r="C5629" s="34" t="s">
        <v>10941</v>
      </c>
    </row>
    <row r="5630" customFormat="false" ht="25.5" hidden="false" customHeight="false" outlineLevel="0" collapsed="false">
      <c r="A5630" s="37" t="s">
        <v>10942</v>
      </c>
      <c r="B5630" s="34" t="s">
        <v>10943</v>
      </c>
      <c r="C5630" s="34" t="s">
        <v>10944</v>
      </c>
    </row>
    <row r="5631" customFormat="false" ht="25.5" hidden="false" customHeight="false" outlineLevel="0" collapsed="false">
      <c r="A5631" s="37" t="s">
        <v>10945</v>
      </c>
      <c r="B5631" s="34" t="s">
        <v>10946</v>
      </c>
      <c r="C5631" s="34" t="s">
        <v>10947</v>
      </c>
    </row>
    <row r="5632" customFormat="false" ht="25.5" hidden="false" customHeight="false" outlineLevel="0" collapsed="false">
      <c r="A5632" s="37" t="s">
        <v>10948</v>
      </c>
      <c r="B5632" s="34" t="s">
        <v>10949</v>
      </c>
      <c r="C5632" s="34" t="s">
        <v>7424</v>
      </c>
    </row>
    <row r="5633" customFormat="false" ht="38.25" hidden="false" customHeight="false" outlineLevel="0" collapsed="false">
      <c r="A5633" s="37" t="s">
        <v>10950</v>
      </c>
      <c r="B5633" s="34" t="s">
        <v>10951</v>
      </c>
      <c r="C5633" s="34" t="s">
        <v>73</v>
      </c>
    </row>
    <row r="5634" customFormat="false" ht="38.25" hidden="false" customHeight="false" outlineLevel="0" collapsed="false">
      <c r="A5634" s="37" t="s">
        <v>10952</v>
      </c>
      <c r="B5634" s="34" t="s">
        <v>10953</v>
      </c>
      <c r="C5634" s="34" t="s">
        <v>2412</v>
      </c>
    </row>
    <row r="5635" customFormat="false" ht="38.25" hidden="false" customHeight="false" outlineLevel="0" collapsed="false">
      <c r="A5635" s="37" t="s">
        <v>10954</v>
      </c>
      <c r="B5635" s="34" t="s">
        <v>10955</v>
      </c>
      <c r="C5635" s="34" t="s">
        <v>463</v>
      </c>
    </row>
    <row r="5636" customFormat="false" ht="38.25" hidden="false" customHeight="false" outlineLevel="0" collapsed="false">
      <c r="A5636" s="37" t="s">
        <v>10956</v>
      </c>
      <c r="B5636" s="34" t="s">
        <v>10957</v>
      </c>
      <c r="C5636" s="34" t="s">
        <v>466</v>
      </c>
    </row>
    <row r="5637" customFormat="false" ht="38.25" hidden="false" customHeight="false" outlineLevel="0" collapsed="false">
      <c r="A5637" s="37" t="s">
        <v>10958</v>
      </c>
      <c r="B5637" s="34" t="s">
        <v>10959</v>
      </c>
      <c r="C5637" s="34" t="s">
        <v>469</v>
      </c>
    </row>
    <row r="5638" customFormat="false" ht="38.25" hidden="false" customHeight="false" outlineLevel="0" collapsed="false">
      <c r="A5638" s="37" t="s">
        <v>10960</v>
      </c>
      <c r="B5638" s="34" t="s">
        <v>10961</v>
      </c>
      <c r="C5638" s="34" t="s">
        <v>472</v>
      </c>
    </row>
    <row r="5639" customFormat="false" ht="38.25" hidden="false" customHeight="false" outlineLevel="0" collapsed="false">
      <c r="A5639" s="37" t="s">
        <v>10962</v>
      </c>
      <c r="B5639" s="34" t="s">
        <v>10963</v>
      </c>
      <c r="C5639" s="34" t="s">
        <v>475</v>
      </c>
    </row>
    <row r="5640" customFormat="false" ht="38.25" hidden="false" customHeight="false" outlineLevel="0" collapsed="false">
      <c r="A5640" s="37" t="s">
        <v>10964</v>
      </c>
      <c r="B5640" s="34" t="s">
        <v>10965</v>
      </c>
      <c r="C5640" s="34" t="s">
        <v>478</v>
      </c>
    </row>
    <row r="5641" customFormat="false" ht="38.25" hidden="false" customHeight="false" outlineLevel="0" collapsed="false">
      <c r="A5641" s="37" t="s">
        <v>10966</v>
      </c>
      <c r="B5641" s="34" t="s">
        <v>10967</v>
      </c>
      <c r="C5641" s="34" t="s">
        <v>481</v>
      </c>
    </row>
    <row r="5642" customFormat="false" ht="38.25" hidden="false" customHeight="false" outlineLevel="0" collapsed="false">
      <c r="A5642" s="37" t="s">
        <v>10968</v>
      </c>
      <c r="B5642" s="34" t="s">
        <v>10969</v>
      </c>
      <c r="C5642" s="34" t="s">
        <v>484</v>
      </c>
    </row>
    <row r="5643" customFormat="false" ht="38.25" hidden="false" customHeight="false" outlineLevel="0" collapsed="false">
      <c r="A5643" s="37" t="s">
        <v>10970</v>
      </c>
      <c r="B5643" s="34" t="s">
        <v>10971</v>
      </c>
      <c r="C5643" s="34" t="s">
        <v>487</v>
      </c>
    </row>
    <row r="5644" customFormat="false" ht="38.25" hidden="false" customHeight="false" outlineLevel="0" collapsed="false">
      <c r="A5644" s="37" t="s">
        <v>10972</v>
      </c>
      <c r="B5644" s="34" t="s">
        <v>10973</v>
      </c>
      <c r="C5644" s="34" t="s">
        <v>490</v>
      </c>
    </row>
    <row r="5645" customFormat="false" ht="38.25" hidden="false" customHeight="false" outlineLevel="0" collapsed="false">
      <c r="A5645" s="37" t="s">
        <v>10974</v>
      </c>
      <c r="B5645" s="34" t="s">
        <v>10975</v>
      </c>
      <c r="C5645" s="34" t="s">
        <v>493</v>
      </c>
    </row>
    <row r="5646" customFormat="false" ht="38.25" hidden="false" customHeight="false" outlineLevel="0" collapsed="false">
      <c r="A5646" s="37" t="s">
        <v>10976</v>
      </c>
      <c r="B5646" s="34" t="s">
        <v>10977</v>
      </c>
      <c r="C5646" s="34" t="s">
        <v>496</v>
      </c>
    </row>
    <row r="5647" customFormat="false" ht="38.25" hidden="false" customHeight="false" outlineLevel="0" collapsed="false">
      <c r="A5647" s="37" t="s">
        <v>10978</v>
      </c>
      <c r="B5647" s="34" t="s">
        <v>10979</v>
      </c>
      <c r="C5647" s="34" t="s">
        <v>499</v>
      </c>
    </row>
    <row r="5648" customFormat="false" ht="38.25" hidden="false" customHeight="false" outlineLevel="0" collapsed="false">
      <c r="A5648" s="37" t="s">
        <v>10980</v>
      </c>
      <c r="B5648" s="34" t="s">
        <v>10981</v>
      </c>
      <c r="C5648" s="34" t="s">
        <v>502</v>
      </c>
    </row>
    <row r="5649" customFormat="false" ht="38.25" hidden="false" customHeight="false" outlineLevel="0" collapsed="false">
      <c r="A5649" s="37" t="s">
        <v>10982</v>
      </c>
      <c r="B5649" s="34" t="s">
        <v>10983</v>
      </c>
      <c r="C5649" s="34" t="s">
        <v>505</v>
      </c>
    </row>
    <row r="5650" customFormat="false" ht="51" hidden="false" customHeight="false" outlineLevel="0" collapsed="false">
      <c r="A5650" s="37" t="s">
        <v>10984</v>
      </c>
      <c r="B5650" s="34" t="s">
        <v>10985</v>
      </c>
      <c r="C5650" s="34" t="s">
        <v>508</v>
      </c>
    </row>
    <row r="5651" customFormat="false" ht="51" hidden="false" customHeight="false" outlineLevel="0" collapsed="false">
      <c r="A5651" s="37" t="s">
        <v>10986</v>
      </c>
      <c r="B5651" s="34" t="s">
        <v>10987</v>
      </c>
      <c r="C5651" s="34" t="s">
        <v>511</v>
      </c>
    </row>
    <row r="5652" customFormat="false" ht="51" hidden="false" customHeight="false" outlineLevel="0" collapsed="false">
      <c r="A5652" s="37" t="s">
        <v>10988</v>
      </c>
      <c r="B5652" s="34" t="s">
        <v>10989</v>
      </c>
      <c r="C5652" s="34" t="s">
        <v>514</v>
      </c>
    </row>
    <row r="5653" customFormat="false" ht="51" hidden="false" customHeight="false" outlineLevel="0" collapsed="false">
      <c r="A5653" s="37" t="s">
        <v>10990</v>
      </c>
      <c r="B5653" s="34" t="s">
        <v>10991</v>
      </c>
      <c r="C5653" s="34" t="s">
        <v>517</v>
      </c>
    </row>
    <row r="5654" customFormat="false" ht="51" hidden="false" customHeight="false" outlineLevel="0" collapsed="false">
      <c r="A5654" s="37" t="s">
        <v>10992</v>
      </c>
      <c r="B5654" s="34" t="s">
        <v>10993</v>
      </c>
      <c r="C5654" s="34" t="s">
        <v>517</v>
      </c>
    </row>
    <row r="5655" customFormat="false" ht="51" hidden="false" customHeight="false" outlineLevel="0" collapsed="false">
      <c r="A5655" s="37" t="s">
        <v>10994</v>
      </c>
      <c r="B5655" s="34" t="s">
        <v>10995</v>
      </c>
      <c r="C5655" s="34" t="s">
        <v>517</v>
      </c>
    </row>
    <row r="5656" customFormat="false" ht="51" hidden="false" customHeight="false" outlineLevel="0" collapsed="false">
      <c r="A5656" s="37" t="s">
        <v>10996</v>
      </c>
      <c r="B5656" s="34" t="s">
        <v>10997</v>
      </c>
      <c r="C5656" s="34" t="s">
        <v>517</v>
      </c>
    </row>
    <row r="5657" customFormat="false" ht="51" hidden="false" customHeight="false" outlineLevel="0" collapsed="false">
      <c r="A5657" s="37" t="s">
        <v>10998</v>
      </c>
      <c r="B5657" s="34" t="s">
        <v>10999</v>
      </c>
      <c r="C5657" s="34" t="s">
        <v>511</v>
      </c>
    </row>
    <row r="5658" customFormat="false" ht="51" hidden="false" customHeight="false" outlineLevel="0" collapsed="false">
      <c r="A5658" s="37" t="s">
        <v>11000</v>
      </c>
      <c r="B5658" s="34" t="s">
        <v>11001</v>
      </c>
      <c r="C5658" s="34" t="s">
        <v>511</v>
      </c>
    </row>
    <row r="5659" customFormat="false" ht="51" hidden="false" customHeight="false" outlineLevel="0" collapsed="false">
      <c r="A5659" s="37" t="s">
        <v>11002</v>
      </c>
      <c r="B5659" s="34" t="s">
        <v>11003</v>
      </c>
      <c r="C5659" s="34" t="s">
        <v>511</v>
      </c>
    </row>
    <row r="5660" customFormat="false" ht="51" hidden="false" customHeight="false" outlineLevel="0" collapsed="false">
      <c r="A5660" s="37" t="s">
        <v>11004</v>
      </c>
      <c r="B5660" s="34" t="s">
        <v>11005</v>
      </c>
      <c r="C5660" s="34" t="s">
        <v>511</v>
      </c>
    </row>
    <row r="5661" customFormat="false" ht="51" hidden="false" customHeight="false" outlineLevel="0" collapsed="false">
      <c r="A5661" s="37" t="s">
        <v>11006</v>
      </c>
      <c r="B5661" s="34" t="s">
        <v>11007</v>
      </c>
      <c r="C5661" s="34" t="s">
        <v>511</v>
      </c>
    </row>
    <row r="5662" customFormat="false" ht="51" hidden="false" customHeight="false" outlineLevel="0" collapsed="false">
      <c r="A5662" s="37" t="s">
        <v>11008</v>
      </c>
      <c r="B5662" s="34" t="s">
        <v>11009</v>
      </c>
      <c r="C5662" s="34" t="s">
        <v>511</v>
      </c>
    </row>
    <row r="5663" customFormat="false" ht="51" hidden="false" customHeight="false" outlineLevel="0" collapsed="false">
      <c r="A5663" s="37" t="s">
        <v>11010</v>
      </c>
      <c r="B5663" s="34" t="s">
        <v>11011</v>
      </c>
      <c r="C5663" s="34" t="s">
        <v>511</v>
      </c>
    </row>
    <row r="5664" customFormat="false" ht="51" hidden="false" customHeight="false" outlineLevel="0" collapsed="false">
      <c r="A5664" s="37" t="s">
        <v>11012</v>
      </c>
      <c r="B5664" s="34" t="s">
        <v>11013</v>
      </c>
      <c r="C5664" s="34" t="s">
        <v>511</v>
      </c>
    </row>
    <row r="5665" customFormat="false" ht="51" hidden="false" customHeight="false" outlineLevel="0" collapsed="false">
      <c r="A5665" s="37" t="s">
        <v>11014</v>
      </c>
      <c r="B5665" s="34" t="s">
        <v>11015</v>
      </c>
      <c r="C5665" s="34" t="s">
        <v>511</v>
      </c>
    </row>
    <row r="5666" customFormat="false" ht="51" hidden="false" customHeight="false" outlineLevel="0" collapsed="false">
      <c r="A5666" s="37" t="s">
        <v>11016</v>
      </c>
      <c r="B5666" s="34" t="s">
        <v>11017</v>
      </c>
      <c r="C5666" s="34" t="s">
        <v>511</v>
      </c>
    </row>
    <row r="5667" customFormat="false" ht="51" hidden="false" customHeight="false" outlineLevel="0" collapsed="false">
      <c r="A5667" s="37" t="s">
        <v>11018</v>
      </c>
      <c r="B5667" s="34" t="s">
        <v>11019</v>
      </c>
      <c r="C5667" s="34" t="s">
        <v>546</v>
      </c>
    </row>
    <row r="5668" customFormat="false" ht="51" hidden="false" customHeight="false" outlineLevel="0" collapsed="false">
      <c r="A5668" s="37" t="s">
        <v>11020</v>
      </c>
      <c r="B5668" s="34" t="s">
        <v>11021</v>
      </c>
      <c r="C5668" s="34" t="s">
        <v>546</v>
      </c>
    </row>
    <row r="5669" customFormat="false" ht="51" hidden="false" customHeight="false" outlineLevel="0" collapsed="false">
      <c r="A5669" s="37" t="s">
        <v>11022</v>
      </c>
      <c r="B5669" s="34" t="s">
        <v>11023</v>
      </c>
      <c r="C5669" s="34" t="s">
        <v>546</v>
      </c>
    </row>
    <row r="5670" customFormat="false" ht="51" hidden="false" customHeight="false" outlineLevel="0" collapsed="false">
      <c r="A5670" s="37" t="s">
        <v>11024</v>
      </c>
      <c r="B5670" s="34" t="s">
        <v>11025</v>
      </c>
      <c r="C5670" s="34" t="s">
        <v>546</v>
      </c>
    </row>
    <row r="5671" customFormat="false" ht="51" hidden="false" customHeight="false" outlineLevel="0" collapsed="false">
      <c r="A5671" s="37" t="s">
        <v>11026</v>
      </c>
      <c r="B5671" s="34" t="s">
        <v>11027</v>
      </c>
      <c r="C5671" s="34" t="s">
        <v>546</v>
      </c>
    </row>
    <row r="5672" customFormat="false" ht="51" hidden="false" customHeight="false" outlineLevel="0" collapsed="false">
      <c r="A5672" s="37" t="s">
        <v>11028</v>
      </c>
      <c r="B5672" s="34" t="s">
        <v>11029</v>
      </c>
      <c r="C5672" s="34" t="s">
        <v>546</v>
      </c>
    </row>
    <row r="5673" customFormat="false" ht="51" hidden="false" customHeight="false" outlineLevel="0" collapsed="false">
      <c r="A5673" s="37" t="s">
        <v>11030</v>
      </c>
      <c r="B5673" s="34" t="s">
        <v>11031</v>
      </c>
      <c r="C5673" s="34" t="s">
        <v>546</v>
      </c>
    </row>
    <row r="5674" customFormat="false" ht="63.75" hidden="false" customHeight="false" outlineLevel="0" collapsed="false">
      <c r="A5674" s="37" t="s">
        <v>11032</v>
      </c>
      <c r="B5674" s="34" t="s">
        <v>11033</v>
      </c>
      <c r="C5674" s="34" t="s">
        <v>561</v>
      </c>
    </row>
    <row r="5675" customFormat="false" ht="63.75" hidden="false" customHeight="false" outlineLevel="0" collapsed="false">
      <c r="A5675" s="37" t="s">
        <v>11034</v>
      </c>
      <c r="B5675" s="34" t="s">
        <v>11035</v>
      </c>
      <c r="C5675" s="34" t="s">
        <v>561</v>
      </c>
    </row>
    <row r="5676" customFormat="false" ht="89.25" hidden="false" customHeight="false" outlineLevel="0" collapsed="false">
      <c r="A5676" s="37" t="s">
        <v>11036</v>
      </c>
      <c r="B5676" s="34" t="s">
        <v>11037</v>
      </c>
      <c r="C5676" s="34" t="s">
        <v>566</v>
      </c>
    </row>
    <row r="5677" customFormat="false" ht="63.75" hidden="false" customHeight="false" outlineLevel="0" collapsed="false">
      <c r="A5677" s="37" t="s">
        <v>11038</v>
      </c>
      <c r="B5677" s="34" t="s">
        <v>11039</v>
      </c>
      <c r="C5677" s="34" t="s">
        <v>561</v>
      </c>
    </row>
    <row r="5678" customFormat="false" ht="63.75" hidden="false" customHeight="false" outlineLevel="0" collapsed="false">
      <c r="A5678" s="37" t="s">
        <v>11040</v>
      </c>
      <c r="B5678" s="34" t="s">
        <v>11041</v>
      </c>
      <c r="C5678" s="34" t="s">
        <v>571</v>
      </c>
    </row>
    <row r="5679" customFormat="false" ht="89.25" hidden="false" customHeight="false" outlineLevel="0" collapsed="false">
      <c r="A5679" s="37" t="s">
        <v>11042</v>
      </c>
      <c r="B5679" s="34" t="s">
        <v>11043</v>
      </c>
      <c r="C5679" s="34" t="s">
        <v>574</v>
      </c>
    </row>
    <row r="5680" customFormat="false" ht="89.25" hidden="false" customHeight="false" outlineLevel="0" collapsed="false">
      <c r="A5680" s="37" t="s">
        <v>11044</v>
      </c>
      <c r="B5680" s="34" t="s">
        <v>11045</v>
      </c>
      <c r="C5680" s="34" t="s">
        <v>574</v>
      </c>
    </row>
    <row r="5681" customFormat="false" ht="89.25" hidden="false" customHeight="false" outlineLevel="0" collapsed="false">
      <c r="A5681" s="37" t="s">
        <v>11046</v>
      </c>
      <c r="B5681" s="34" t="s">
        <v>11047</v>
      </c>
      <c r="C5681" s="34" t="s">
        <v>574</v>
      </c>
    </row>
    <row r="5682" customFormat="false" ht="89.25" hidden="false" customHeight="false" outlineLevel="0" collapsed="false">
      <c r="A5682" s="37" t="s">
        <v>11048</v>
      </c>
      <c r="B5682" s="34" t="s">
        <v>11049</v>
      </c>
      <c r="C5682" s="34" t="s">
        <v>574</v>
      </c>
    </row>
    <row r="5683" customFormat="false" ht="89.25" hidden="false" customHeight="false" outlineLevel="0" collapsed="false">
      <c r="A5683" s="37" t="s">
        <v>11050</v>
      </c>
      <c r="B5683" s="34" t="s">
        <v>11051</v>
      </c>
      <c r="C5683" s="34" t="s">
        <v>574</v>
      </c>
    </row>
    <row r="5684" customFormat="false" ht="63.75" hidden="false" customHeight="false" outlineLevel="0" collapsed="false">
      <c r="A5684" s="37" t="s">
        <v>11052</v>
      </c>
      <c r="B5684" s="34" t="s">
        <v>11053</v>
      </c>
      <c r="C5684" s="34" t="s">
        <v>585</v>
      </c>
    </row>
    <row r="5685" customFormat="false" ht="63.75" hidden="false" customHeight="false" outlineLevel="0" collapsed="false">
      <c r="A5685" s="37" t="s">
        <v>11054</v>
      </c>
      <c r="B5685" s="34" t="s">
        <v>11055</v>
      </c>
      <c r="C5685" s="34" t="s">
        <v>588</v>
      </c>
    </row>
    <row r="5686" customFormat="false" ht="51" hidden="false" customHeight="false" outlineLevel="0" collapsed="false">
      <c r="A5686" s="37" t="s">
        <v>11056</v>
      </c>
      <c r="B5686" s="34" t="s">
        <v>11057</v>
      </c>
      <c r="C5686" s="34" t="s">
        <v>546</v>
      </c>
    </row>
    <row r="5687" customFormat="false" ht="51" hidden="false" customHeight="false" outlineLevel="0" collapsed="false">
      <c r="A5687" s="37" t="s">
        <v>11058</v>
      </c>
      <c r="B5687" s="34" t="s">
        <v>11059</v>
      </c>
      <c r="C5687" s="34" t="s">
        <v>546</v>
      </c>
    </row>
    <row r="5688" customFormat="false" ht="51" hidden="false" customHeight="false" outlineLevel="0" collapsed="false">
      <c r="A5688" s="37" t="s">
        <v>11060</v>
      </c>
      <c r="B5688" s="34" t="s">
        <v>11061</v>
      </c>
      <c r="C5688" s="34" t="s">
        <v>546</v>
      </c>
    </row>
    <row r="5689" customFormat="false" ht="51" hidden="false" customHeight="false" outlineLevel="0" collapsed="false">
      <c r="A5689" s="37" t="s">
        <v>11062</v>
      </c>
      <c r="B5689" s="34" t="s">
        <v>11063</v>
      </c>
      <c r="C5689" s="34" t="s">
        <v>546</v>
      </c>
    </row>
    <row r="5690" customFormat="false" ht="51" hidden="false" customHeight="false" outlineLevel="0" collapsed="false">
      <c r="A5690" s="37" t="s">
        <v>11064</v>
      </c>
      <c r="B5690" s="34" t="s">
        <v>11065</v>
      </c>
      <c r="C5690" s="34" t="s">
        <v>546</v>
      </c>
    </row>
    <row r="5691" customFormat="false" ht="51" hidden="false" customHeight="false" outlineLevel="0" collapsed="false">
      <c r="A5691" s="37" t="s">
        <v>11066</v>
      </c>
      <c r="B5691" s="34" t="s">
        <v>11067</v>
      </c>
      <c r="C5691" s="34" t="s">
        <v>546</v>
      </c>
    </row>
    <row r="5692" customFormat="false" ht="51" hidden="false" customHeight="false" outlineLevel="0" collapsed="false">
      <c r="A5692" s="37" t="s">
        <v>11068</v>
      </c>
      <c r="B5692" s="34" t="s">
        <v>11069</v>
      </c>
      <c r="C5692" s="34" t="s">
        <v>546</v>
      </c>
    </row>
    <row r="5693" customFormat="false" ht="51" hidden="false" customHeight="false" outlineLevel="0" collapsed="false">
      <c r="A5693" s="37" t="s">
        <v>11070</v>
      </c>
      <c r="B5693" s="34" t="s">
        <v>11071</v>
      </c>
      <c r="C5693" s="34" t="s">
        <v>546</v>
      </c>
    </row>
    <row r="5694" customFormat="false" ht="51" hidden="false" customHeight="false" outlineLevel="0" collapsed="false">
      <c r="A5694" s="37" t="s">
        <v>11072</v>
      </c>
      <c r="B5694" s="34" t="s">
        <v>11073</v>
      </c>
      <c r="C5694" s="34" t="s">
        <v>546</v>
      </c>
    </row>
    <row r="5695" customFormat="false" ht="51" hidden="false" customHeight="false" outlineLevel="0" collapsed="false">
      <c r="A5695" s="37" t="s">
        <v>11074</v>
      </c>
      <c r="B5695" s="34" t="s">
        <v>11075</v>
      </c>
      <c r="C5695" s="34" t="s">
        <v>546</v>
      </c>
    </row>
    <row r="5696" customFormat="false" ht="51" hidden="false" customHeight="false" outlineLevel="0" collapsed="false">
      <c r="A5696" s="37" t="s">
        <v>11076</v>
      </c>
      <c r="B5696" s="34" t="s">
        <v>11077</v>
      </c>
      <c r="C5696" s="34" t="s">
        <v>546</v>
      </c>
    </row>
    <row r="5697" customFormat="false" ht="38.25" hidden="false" customHeight="false" outlineLevel="0" collapsed="false">
      <c r="A5697" s="37" t="s">
        <v>11078</v>
      </c>
      <c r="B5697" s="34" t="s">
        <v>11079</v>
      </c>
      <c r="C5697" s="34" t="s">
        <v>613</v>
      </c>
    </row>
    <row r="5698" customFormat="false" ht="51" hidden="false" customHeight="false" outlineLevel="0" collapsed="false">
      <c r="A5698" s="37" t="s">
        <v>11080</v>
      </c>
      <c r="B5698" s="34" t="s">
        <v>11081</v>
      </c>
      <c r="C5698" s="34" t="s">
        <v>546</v>
      </c>
    </row>
    <row r="5699" customFormat="false" ht="51" hidden="false" customHeight="false" outlineLevel="0" collapsed="false">
      <c r="A5699" s="37" t="s">
        <v>11082</v>
      </c>
      <c r="B5699" s="34" t="s">
        <v>11083</v>
      </c>
      <c r="C5699" s="34" t="s">
        <v>546</v>
      </c>
    </row>
    <row r="5700" customFormat="false" ht="51" hidden="false" customHeight="false" outlineLevel="0" collapsed="false">
      <c r="A5700" s="37" t="s">
        <v>11084</v>
      </c>
      <c r="B5700" s="34" t="s">
        <v>11085</v>
      </c>
      <c r="C5700" s="34" t="s">
        <v>546</v>
      </c>
    </row>
    <row r="5701" customFormat="false" ht="51" hidden="false" customHeight="false" outlineLevel="0" collapsed="false">
      <c r="A5701" s="37" t="s">
        <v>11086</v>
      </c>
      <c r="B5701" s="34" t="s">
        <v>11087</v>
      </c>
      <c r="C5701" s="34" t="s">
        <v>546</v>
      </c>
    </row>
    <row r="5702" customFormat="false" ht="51" hidden="false" customHeight="false" outlineLevel="0" collapsed="false">
      <c r="A5702" s="37" t="s">
        <v>11088</v>
      </c>
      <c r="B5702" s="34" t="s">
        <v>11089</v>
      </c>
      <c r="C5702" s="34" t="s">
        <v>546</v>
      </c>
    </row>
    <row r="5703" customFormat="false" ht="38.25" hidden="false" customHeight="false" outlineLevel="0" collapsed="false">
      <c r="A5703" s="37" t="s">
        <v>11090</v>
      </c>
      <c r="B5703" s="34" t="s">
        <v>11091</v>
      </c>
      <c r="C5703" s="34" t="s">
        <v>613</v>
      </c>
    </row>
    <row r="5704" customFormat="false" ht="51" hidden="false" customHeight="false" outlineLevel="0" collapsed="false">
      <c r="A5704" s="37" t="s">
        <v>11092</v>
      </c>
      <c r="B5704" s="34" t="s">
        <v>11093</v>
      </c>
      <c r="C5704" s="34" t="s">
        <v>546</v>
      </c>
    </row>
    <row r="5705" customFormat="false" ht="51" hidden="false" customHeight="false" outlineLevel="0" collapsed="false">
      <c r="A5705" s="37" t="s">
        <v>11094</v>
      </c>
      <c r="B5705" s="34" t="s">
        <v>11095</v>
      </c>
      <c r="C5705" s="34" t="s">
        <v>546</v>
      </c>
    </row>
    <row r="5706" customFormat="false" ht="51" hidden="false" customHeight="false" outlineLevel="0" collapsed="false">
      <c r="A5706" s="37" t="s">
        <v>11096</v>
      </c>
      <c r="B5706" s="34" t="s">
        <v>11097</v>
      </c>
      <c r="C5706" s="34" t="s">
        <v>546</v>
      </c>
    </row>
    <row r="5707" customFormat="false" ht="38.25" hidden="false" customHeight="false" outlineLevel="0" collapsed="false">
      <c r="A5707" s="37" t="s">
        <v>11098</v>
      </c>
      <c r="B5707" s="34" t="s">
        <v>11099</v>
      </c>
      <c r="C5707" s="34" t="s">
        <v>634</v>
      </c>
    </row>
    <row r="5708" customFormat="false" ht="38.25" hidden="false" customHeight="false" outlineLevel="0" collapsed="false">
      <c r="A5708" s="37" t="s">
        <v>11100</v>
      </c>
      <c r="B5708" s="34" t="s">
        <v>11101</v>
      </c>
      <c r="C5708" s="34" t="s">
        <v>637</v>
      </c>
    </row>
    <row r="5709" customFormat="false" ht="51" hidden="false" customHeight="false" outlineLevel="0" collapsed="false">
      <c r="A5709" s="37" t="s">
        <v>11102</v>
      </c>
      <c r="B5709" s="34" t="s">
        <v>11103</v>
      </c>
      <c r="C5709" s="34" t="s">
        <v>546</v>
      </c>
    </row>
    <row r="5710" customFormat="false" ht="51" hidden="false" customHeight="false" outlineLevel="0" collapsed="false">
      <c r="A5710" s="37" t="s">
        <v>11104</v>
      </c>
      <c r="B5710" s="34" t="s">
        <v>11105</v>
      </c>
      <c r="C5710" s="34" t="s">
        <v>546</v>
      </c>
    </row>
    <row r="5711" customFormat="false" ht="51" hidden="false" customHeight="false" outlineLevel="0" collapsed="false">
      <c r="A5711" s="37" t="s">
        <v>11106</v>
      </c>
      <c r="B5711" s="34" t="s">
        <v>11107</v>
      </c>
      <c r="C5711" s="34" t="s">
        <v>546</v>
      </c>
    </row>
    <row r="5712" customFormat="false" ht="63.75" hidden="false" customHeight="false" outlineLevel="0" collapsed="false">
      <c r="A5712" s="37" t="s">
        <v>11108</v>
      </c>
      <c r="B5712" s="34" t="s">
        <v>11109</v>
      </c>
      <c r="C5712" s="34" t="s">
        <v>139</v>
      </c>
    </row>
    <row r="5713" customFormat="false" ht="63.75" hidden="false" customHeight="false" outlineLevel="0" collapsed="false">
      <c r="A5713" s="37" t="s">
        <v>11110</v>
      </c>
      <c r="B5713" s="34" t="s">
        <v>11111</v>
      </c>
      <c r="C5713" s="34" t="s">
        <v>139</v>
      </c>
    </row>
    <row r="5714" customFormat="false" ht="63.75" hidden="false" customHeight="false" outlineLevel="0" collapsed="false">
      <c r="A5714" s="37" t="s">
        <v>11112</v>
      </c>
      <c r="B5714" s="34" t="s">
        <v>11113</v>
      </c>
      <c r="C5714" s="34" t="s">
        <v>139</v>
      </c>
    </row>
    <row r="5715" customFormat="false" ht="63.75" hidden="false" customHeight="false" outlineLevel="0" collapsed="false">
      <c r="A5715" s="37" t="s">
        <v>11114</v>
      </c>
      <c r="B5715" s="34" t="s">
        <v>11115</v>
      </c>
      <c r="C5715" s="34" t="s">
        <v>139</v>
      </c>
    </row>
    <row r="5716" customFormat="false" ht="51" hidden="false" customHeight="false" outlineLevel="0" collapsed="false">
      <c r="A5716" s="37" t="s">
        <v>11116</v>
      </c>
      <c r="B5716" s="34" t="s">
        <v>11117</v>
      </c>
      <c r="C5716" s="34" t="s">
        <v>1041</v>
      </c>
    </row>
    <row r="5717" customFormat="false" ht="51" hidden="false" customHeight="false" outlineLevel="0" collapsed="false">
      <c r="A5717" s="37" t="s">
        <v>11118</v>
      </c>
      <c r="B5717" s="34" t="s">
        <v>11119</v>
      </c>
      <c r="C5717" s="34" t="s">
        <v>1041</v>
      </c>
    </row>
    <row r="5718" customFormat="false" ht="38.25" hidden="false" customHeight="false" outlineLevel="0" collapsed="false">
      <c r="A5718" s="37" t="s">
        <v>11120</v>
      </c>
      <c r="B5718" s="34" t="s">
        <v>11121</v>
      </c>
      <c r="C5718" s="34" t="s">
        <v>1044</v>
      </c>
    </row>
    <row r="5719" customFormat="false" ht="51" hidden="false" customHeight="false" outlineLevel="0" collapsed="false">
      <c r="A5719" s="37" t="s">
        <v>11122</v>
      </c>
      <c r="B5719" s="34" t="s">
        <v>11123</v>
      </c>
      <c r="C5719" s="34" t="s">
        <v>1050</v>
      </c>
    </row>
    <row r="5720" customFormat="false" ht="89.25" hidden="false" customHeight="false" outlineLevel="0" collapsed="false">
      <c r="A5720" s="37" t="s">
        <v>11124</v>
      </c>
      <c r="B5720" s="34" t="s">
        <v>11125</v>
      </c>
      <c r="C5720" s="34" t="s">
        <v>702</v>
      </c>
    </row>
    <row r="5721" customFormat="false" ht="89.25" hidden="false" customHeight="false" outlineLevel="0" collapsed="false">
      <c r="A5721" s="37" t="s">
        <v>11126</v>
      </c>
      <c r="B5721" s="34" t="s">
        <v>11127</v>
      </c>
      <c r="C5721" s="34" t="s">
        <v>702</v>
      </c>
    </row>
    <row r="5722" customFormat="false" ht="38.25" hidden="false" customHeight="false" outlineLevel="0" collapsed="false">
      <c r="A5722" s="37" t="s">
        <v>11128</v>
      </c>
      <c r="B5722" s="34" t="s">
        <v>11129</v>
      </c>
      <c r="C5722" s="34" t="s">
        <v>707</v>
      </c>
    </row>
    <row r="5723" customFormat="false" ht="89.25" hidden="false" customHeight="false" outlineLevel="0" collapsed="false">
      <c r="A5723" s="37" t="s">
        <v>11130</v>
      </c>
      <c r="B5723" s="34" t="s">
        <v>11131</v>
      </c>
      <c r="C5723" s="34" t="s">
        <v>1447</v>
      </c>
    </row>
    <row r="5724" customFormat="false" ht="89.25" hidden="false" customHeight="false" outlineLevel="0" collapsed="false">
      <c r="A5724" s="37" t="s">
        <v>11132</v>
      </c>
      <c r="B5724" s="34" t="s">
        <v>11133</v>
      </c>
      <c r="C5724" s="34" t="s">
        <v>1450</v>
      </c>
    </row>
    <row r="5725" customFormat="false" ht="102" hidden="false" customHeight="false" outlineLevel="0" collapsed="false">
      <c r="A5725" s="37" t="s">
        <v>11134</v>
      </c>
      <c r="B5725" s="34" t="s">
        <v>11135</v>
      </c>
      <c r="C5725" s="34" t="s">
        <v>1453</v>
      </c>
    </row>
    <row r="5726" customFormat="false" ht="76.5" hidden="false" customHeight="false" outlineLevel="0" collapsed="false">
      <c r="A5726" s="37" t="s">
        <v>11136</v>
      </c>
      <c r="B5726" s="34" t="s">
        <v>11137</v>
      </c>
      <c r="C5726" s="34" t="s">
        <v>719</v>
      </c>
    </row>
    <row r="5727" customFormat="false" ht="63.75" hidden="false" customHeight="false" outlineLevel="0" collapsed="false">
      <c r="A5727" s="37" t="s">
        <v>11138</v>
      </c>
      <c r="B5727" s="34" t="s">
        <v>11139</v>
      </c>
      <c r="C5727" s="34" t="s">
        <v>2294</v>
      </c>
    </row>
    <row r="5728" customFormat="false" ht="63.75" hidden="false" customHeight="false" outlineLevel="0" collapsed="false">
      <c r="A5728" s="37" t="s">
        <v>11140</v>
      </c>
      <c r="B5728" s="34" t="s">
        <v>11141</v>
      </c>
      <c r="C5728" s="34" t="s">
        <v>139</v>
      </c>
    </row>
    <row r="5729" customFormat="false" ht="63.75" hidden="false" customHeight="false" outlineLevel="0" collapsed="false">
      <c r="A5729" s="37" t="s">
        <v>11142</v>
      </c>
      <c r="B5729" s="34" t="s">
        <v>11143</v>
      </c>
      <c r="C5729" s="34" t="s">
        <v>139</v>
      </c>
    </row>
    <row r="5730" customFormat="false" ht="63.75" hidden="false" customHeight="false" outlineLevel="0" collapsed="false">
      <c r="A5730" s="37" t="s">
        <v>11144</v>
      </c>
      <c r="B5730" s="34" t="s">
        <v>11145</v>
      </c>
      <c r="C5730" s="34" t="s">
        <v>139</v>
      </c>
    </row>
    <row r="5731" customFormat="false" ht="63.75" hidden="false" customHeight="false" outlineLevel="0" collapsed="false">
      <c r="A5731" s="37" t="s">
        <v>11146</v>
      </c>
      <c r="B5731" s="34" t="s">
        <v>11147</v>
      </c>
      <c r="C5731" s="34" t="s">
        <v>139</v>
      </c>
    </row>
    <row r="5732" customFormat="false" ht="63.75" hidden="false" customHeight="false" outlineLevel="0" collapsed="false">
      <c r="A5732" s="37" t="s">
        <v>11146</v>
      </c>
      <c r="B5732" s="34" t="s">
        <v>11148</v>
      </c>
      <c r="C5732" s="34" t="s">
        <v>142</v>
      </c>
    </row>
    <row r="5733" customFormat="false" ht="63.75" hidden="false" customHeight="false" outlineLevel="0" collapsed="false">
      <c r="A5733" s="37" t="s">
        <v>11149</v>
      </c>
      <c r="B5733" s="34" t="s">
        <v>11150</v>
      </c>
      <c r="C5733" s="34" t="s">
        <v>2365</v>
      </c>
    </row>
    <row r="5734" customFormat="false" ht="63.75" hidden="false" customHeight="false" outlineLevel="0" collapsed="false">
      <c r="A5734" s="37" t="s">
        <v>11151</v>
      </c>
      <c r="B5734" s="34" t="s">
        <v>11152</v>
      </c>
      <c r="C5734" s="34" t="s">
        <v>2365</v>
      </c>
    </row>
    <row r="5735" customFormat="false" ht="63.75" hidden="false" customHeight="false" outlineLevel="0" collapsed="false">
      <c r="A5735" s="37" t="s">
        <v>11153</v>
      </c>
      <c r="B5735" s="34" t="s">
        <v>11154</v>
      </c>
      <c r="C5735" s="34" t="s">
        <v>2365</v>
      </c>
    </row>
    <row r="5736" customFormat="false" ht="63.75" hidden="false" customHeight="false" outlineLevel="0" collapsed="false">
      <c r="A5736" s="37" t="s">
        <v>11155</v>
      </c>
      <c r="B5736" s="34" t="s">
        <v>11156</v>
      </c>
      <c r="C5736" s="34" t="s">
        <v>2365</v>
      </c>
    </row>
    <row r="5737" customFormat="false" ht="63.75" hidden="false" customHeight="false" outlineLevel="0" collapsed="false">
      <c r="A5737" s="37" t="s">
        <v>11157</v>
      </c>
      <c r="B5737" s="34" t="s">
        <v>11158</v>
      </c>
      <c r="C5737" s="34" t="s">
        <v>2365</v>
      </c>
    </row>
    <row r="5738" customFormat="false" ht="63.75" hidden="false" customHeight="false" outlineLevel="0" collapsed="false">
      <c r="A5738" s="37" t="s">
        <v>11159</v>
      </c>
      <c r="B5738" s="34" t="s">
        <v>11160</v>
      </c>
      <c r="C5738" s="34" t="s">
        <v>2365</v>
      </c>
    </row>
    <row r="5739" customFormat="false" ht="63.75" hidden="false" customHeight="false" outlineLevel="0" collapsed="false">
      <c r="A5739" s="37" t="s">
        <v>11161</v>
      </c>
      <c r="B5739" s="34" t="s">
        <v>11162</v>
      </c>
      <c r="C5739" s="34" t="s">
        <v>2365</v>
      </c>
    </row>
    <row r="5740" customFormat="false" ht="63.75" hidden="false" customHeight="false" outlineLevel="0" collapsed="false">
      <c r="A5740" s="37" t="s">
        <v>11163</v>
      </c>
      <c r="B5740" s="34" t="s">
        <v>11164</v>
      </c>
      <c r="C5740" s="34" t="s">
        <v>2365</v>
      </c>
    </row>
    <row r="5741" customFormat="false" ht="63.75" hidden="false" customHeight="false" outlineLevel="0" collapsed="false">
      <c r="A5741" s="37" t="s">
        <v>11165</v>
      </c>
      <c r="B5741" s="34" t="s">
        <v>11166</v>
      </c>
      <c r="C5741" s="34" t="s">
        <v>2365</v>
      </c>
    </row>
    <row r="5742" customFormat="false" ht="63.75" hidden="false" customHeight="false" outlineLevel="0" collapsed="false">
      <c r="A5742" s="37" t="s">
        <v>11167</v>
      </c>
      <c r="B5742" s="34" t="s">
        <v>11168</v>
      </c>
      <c r="C5742" s="34" t="s">
        <v>2365</v>
      </c>
    </row>
    <row r="5743" customFormat="false" ht="51" hidden="false" customHeight="false" outlineLevel="0" collapsed="false">
      <c r="A5743" s="37" t="s">
        <v>11169</v>
      </c>
      <c r="B5743" s="34" t="s">
        <v>10900</v>
      </c>
      <c r="C5743" s="34" t="s">
        <v>2386</v>
      </c>
    </row>
    <row r="5744" customFormat="false" ht="51" hidden="false" customHeight="false" outlineLevel="0" collapsed="false">
      <c r="A5744" s="37" t="s">
        <v>11170</v>
      </c>
      <c r="B5744" s="34" t="s">
        <v>10902</v>
      </c>
      <c r="C5744" s="34" t="s">
        <v>2386</v>
      </c>
    </row>
    <row r="5745" customFormat="false" ht="51" hidden="false" customHeight="false" outlineLevel="0" collapsed="false">
      <c r="A5745" s="37" t="s">
        <v>11171</v>
      </c>
      <c r="B5745" s="34" t="s">
        <v>10904</v>
      </c>
      <c r="C5745" s="34" t="s">
        <v>2386</v>
      </c>
    </row>
    <row r="5746" customFormat="false" ht="51" hidden="false" customHeight="false" outlineLevel="0" collapsed="false">
      <c r="A5746" s="37" t="s">
        <v>11172</v>
      </c>
      <c r="B5746" s="34" t="s">
        <v>10906</v>
      </c>
      <c r="C5746" s="34" t="s">
        <v>2386</v>
      </c>
    </row>
    <row r="5747" customFormat="false" ht="51" hidden="false" customHeight="false" outlineLevel="0" collapsed="false">
      <c r="A5747" s="37" t="s">
        <v>11173</v>
      </c>
      <c r="B5747" s="34" t="s">
        <v>10908</v>
      </c>
      <c r="C5747" s="34" t="s">
        <v>2386</v>
      </c>
    </row>
    <row r="5748" customFormat="false" ht="63.75" hidden="false" customHeight="false" outlineLevel="0" collapsed="false">
      <c r="A5748" s="37" t="s">
        <v>11174</v>
      </c>
      <c r="B5748" s="34" t="s">
        <v>11175</v>
      </c>
      <c r="C5748" s="34" t="s">
        <v>2397</v>
      </c>
    </row>
    <row r="5749" customFormat="false" ht="63.75" hidden="false" customHeight="false" outlineLevel="0" collapsed="false">
      <c r="A5749" s="37" t="s">
        <v>11176</v>
      </c>
      <c r="B5749" s="34" t="s">
        <v>11177</v>
      </c>
      <c r="C5749" s="34" t="s">
        <v>2397</v>
      </c>
    </row>
    <row r="5750" customFormat="false" ht="63.75" hidden="false" customHeight="false" outlineLevel="0" collapsed="false">
      <c r="A5750" s="37" t="s">
        <v>11178</v>
      </c>
      <c r="B5750" s="34" t="s">
        <v>11179</v>
      </c>
      <c r="C5750" s="34" t="s">
        <v>2365</v>
      </c>
    </row>
    <row r="5751" customFormat="false" ht="63.75" hidden="false" customHeight="false" outlineLevel="0" collapsed="false">
      <c r="A5751" s="37" t="s">
        <v>11178</v>
      </c>
      <c r="B5751" s="34" t="s">
        <v>11179</v>
      </c>
      <c r="C5751" s="34" t="s">
        <v>11180</v>
      </c>
    </row>
    <row r="5752" customFormat="false" ht="63.75" hidden="false" customHeight="false" outlineLevel="0" collapsed="false">
      <c r="A5752" s="37" t="s">
        <v>11181</v>
      </c>
      <c r="B5752" s="34" t="s">
        <v>11182</v>
      </c>
      <c r="C5752" s="34" t="s">
        <v>2365</v>
      </c>
    </row>
    <row r="5753" customFormat="false" ht="63.75" hidden="false" customHeight="false" outlineLevel="0" collapsed="false">
      <c r="A5753" s="37" t="s">
        <v>11181</v>
      </c>
      <c r="B5753" s="34" t="s">
        <v>11182</v>
      </c>
      <c r="C5753" s="34" t="s">
        <v>11180</v>
      </c>
    </row>
    <row r="5754" customFormat="false" ht="63.75" hidden="false" customHeight="false" outlineLevel="0" collapsed="false">
      <c r="A5754" s="37" t="s">
        <v>11183</v>
      </c>
      <c r="B5754" s="34" t="s">
        <v>11184</v>
      </c>
      <c r="C5754" s="34" t="s">
        <v>2365</v>
      </c>
    </row>
    <row r="5755" customFormat="false" ht="63.75" hidden="false" customHeight="false" outlineLevel="0" collapsed="false">
      <c r="A5755" s="37" t="s">
        <v>11183</v>
      </c>
      <c r="B5755" s="34" t="s">
        <v>11184</v>
      </c>
      <c r="C5755" s="34" t="s">
        <v>11180</v>
      </c>
    </row>
    <row r="5756" customFormat="false" ht="63.75" hidden="false" customHeight="false" outlineLevel="0" collapsed="false">
      <c r="A5756" s="37" t="s">
        <v>11185</v>
      </c>
      <c r="B5756" s="34" t="s">
        <v>11186</v>
      </c>
      <c r="C5756" s="34" t="s">
        <v>2365</v>
      </c>
    </row>
    <row r="5757" customFormat="false" ht="63.75" hidden="false" customHeight="false" outlineLevel="0" collapsed="false">
      <c r="A5757" s="37" t="s">
        <v>11185</v>
      </c>
      <c r="B5757" s="34" t="s">
        <v>11186</v>
      </c>
      <c r="C5757" s="34" t="s">
        <v>11180</v>
      </c>
    </row>
    <row r="5758" customFormat="false" ht="63.75" hidden="false" customHeight="false" outlineLevel="0" collapsed="false">
      <c r="A5758" s="37" t="s">
        <v>11187</v>
      </c>
      <c r="B5758" s="34" t="s">
        <v>11188</v>
      </c>
      <c r="C5758" s="34" t="s">
        <v>2365</v>
      </c>
    </row>
    <row r="5759" customFormat="false" ht="63.75" hidden="false" customHeight="false" outlineLevel="0" collapsed="false">
      <c r="A5759" s="37" t="s">
        <v>11187</v>
      </c>
      <c r="B5759" s="34" t="s">
        <v>11188</v>
      </c>
      <c r="C5759" s="34" t="s">
        <v>11180</v>
      </c>
    </row>
    <row r="5760" customFormat="false" ht="63.75" hidden="false" customHeight="false" outlineLevel="0" collapsed="false">
      <c r="A5760" s="37" t="s">
        <v>11189</v>
      </c>
      <c r="B5760" s="34" t="s">
        <v>11190</v>
      </c>
      <c r="C5760" s="34" t="s">
        <v>139</v>
      </c>
    </row>
    <row r="5761" customFormat="false" ht="63.75" hidden="false" customHeight="false" outlineLevel="0" collapsed="false">
      <c r="A5761" s="37" t="s">
        <v>11191</v>
      </c>
      <c r="B5761" s="34" t="s">
        <v>11192</v>
      </c>
      <c r="C5761" s="34" t="s">
        <v>139</v>
      </c>
    </row>
    <row r="5762" customFormat="false" ht="63.75" hidden="false" customHeight="false" outlineLevel="0" collapsed="false">
      <c r="A5762" s="37" t="s">
        <v>11193</v>
      </c>
      <c r="B5762" s="34" t="s">
        <v>10912</v>
      </c>
      <c r="C5762" s="34" t="s">
        <v>139</v>
      </c>
    </row>
    <row r="5763" customFormat="false" ht="63.75" hidden="false" customHeight="false" outlineLevel="0" collapsed="false">
      <c r="A5763" s="37" t="s">
        <v>11194</v>
      </c>
      <c r="B5763" s="34" t="s">
        <v>10914</v>
      </c>
      <c r="C5763" s="34" t="s">
        <v>139</v>
      </c>
    </row>
    <row r="5764" customFormat="false" ht="63.75" hidden="false" customHeight="false" outlineLevel="0" collapsed="false">
      <c r="A5764" s="37" t="s">
        <v>11195</v>
      </c>
      <c r="B5764" s="34" t="s">
        <v>10916</v>
      </c>
      <c r="C5764" s="34" t="s">
        <v>139</v>
      </c>
    </row>
    <row r="5765" customFormat="false" ht="25.5" hidden="false" customHeight="false" outlineLevel="0" collapsed="false">
      <c r="A5765" s="37" t="s">
        <v>11196</v>
      </c>
      <c r="B5765" s="34" t="s">
        <v>11197</v>
      </c>
      <c r="C5765" s="34" t="s">
        <v>7424</v>
      </c>
    </row>
    <row r="5766" customFormat="false" ht="38.25" hidden="false" customHeight="false" outlineLevel="0" collapsed="false">
      <c r="A5766" s="37" t="s">
        <v>11198</v>
      </c>
      <c r="B5766" s="34" t="s">
        <v>10920</v>
      </c>
      <c r="C5766" s="34" t="s">
        <v>73</v>
      </c>
    </row>
    <row r="5767" customFormat="false" ht="38.25" hidden="false" customHeight="false" outlineLevel="0" collapsed="false">
      <c r="A5767" s="37" t="s">
        <v>11199</v>
      </c>
      <c r="B5767" s="34" t="s">
        <v>10922</v>
      </c>
      <c r="C5767" s="34" t="s">
        <v>2412</v>
      </c>
    </row>
    <row r="5768" customFormat="false" ht="51" hidden="false" customHeight="false" outlineLevel="0" collapsed="false">
      <c r="A5768" s="37" t="s">
        <v>11200</v>
      </c>
      <c r="B5768" s="34" t="s">
        <v>11201</v>
      </c>
      <c r="C5768" s="34" t="s">
        <v>8721</v>
      </c>
    </row>
    <row r="5769" customFormat="false" ht="51" hidden="false" customHeight="false" outlineLevel="0" collapsed="false">
      <c r="A5769" s="37" t="s">
        <v>11202</v>
      </c>
      <c r="B5769" s="34" t="s">
        <v>11203</v>
      </c>
      <c r="C5769" s="34" t="s">
        <v>8721</v>
      </c>
    </row>
    <row r="5770" customFormat="false" ht="51" hidden="false" customHeight="false" outlineLevel="0" collapsed="false">
      <c r="A5770" s="37" t="s">
        <v>11204</v>
      </c>
      <c r="B5770" s="34" t="s">
        <v>11205</v>
      </c>
      <c r="C5770" s="34" t="s">
        <v>8721</v>
      </c>
    </row>
    <row r="5771" customFormat="false" ht="51" hidden="false" customHeight="false" outlineLevel="0" collapsed="false">
      <c r="A5771" s="37" t="s">
        <v>11206</v>
      </c>
      <c r="B5771" s="34" t="s">
        <v>11207</v>
      </c>
      <c r="C5771" s="34" t="s">
        <v>8721</v>
      </c>
    </row>
    <row r="5772" customFormat="false" ht="51" hidden="false" customHeight="false" outlineLevel="0" collapsed="false">
      <c r="A5772" s="37" t="s">
        <v>11208</v>
      </c>
      <c r="B5772" s="34" t="s">
        <v>11209</v>
      </c>
      <c r="C5772" s="34" t="s">
        <v>8721</v>
      </c>
    </row>
    <row r="5773" customFormat="false" ht="38.25" hidden="false" customHeight="false" outlineLevel="0" collapsed="false">
      <c r="A5773" s="37" t="s">
        <v>11210</v>
      </c>
      <c r="B5773" s="34" t="s">
        <v>11211</v>
      </c>
      <c r="C5773" s="34" t="s">
        <v>463</v>
      </c>
    </row>
    <row r="5774" customFormat="false" ht="38.25" hidden="false" customHeight="false" outlineLevel="0" collapsed="false">
      <c r="A5774" s="37" t="s">
        <v>11212</v>
      </c>
      <c r="B5774" s="34" t="s">
        <v>11213</v>
      </c>
      <c r="C5774" s="34" t="s">
        <v>466</v>
      </c>
    </row>
    <row r="5775" customFormat="false" ht="38.25" hidden="false" customHeight="false" outlineLevel="0" collapsed="false">
      <c r="A5775" s="37" t="s">
        <v>11214</v>
      </c>
      <c r="B5775" s="34" t="s">
        <v>11215</v>
      </c>
      <c r="C5775" s="34" t="s">
        <v>469</v>
      </c>
    </row>
    <row r="5776" customFormat="false" ht="38.25" hidden="false" customHeight="false" outlineLevel="0" collapsed="false">
      <c r="A5776" s="37" t="s">
        <v>11216</v>
      </c>
      <c r="B5776" s="34" t="s">
        <v>11217</v>
      </c>
      <c r="C5776" s="34" t="s">
        <v>472</v>
      </c>
    </row>
    <row r="5777" customFormat="false" ht="38.25" hidden="false" customHeight="false" outlineLevel="0" collapsed="false">
      <c r="A5777" s="37" t="s">
        <v>11218</v>
      </c>
      <c r="B5777" s="34" t="s">
        <v>11219</v>
      </c>
      <c r="C5777" s="34" t="s">
        <v>475</v>
      </c>
    </row>
    <row r="5778" customFormat="false" ht="38.25" hidden="false" customHeight="false" outlineLevel="0" collapsed="false">
      <c r="A5778" s="37" t="s">
        <v>11220</v>
      </c>
      <c r="B5778" s="34" t="s">
        <v>11221</v>
      </c>
      <c r="C5778" s="34" t="s">
        <v>478</v>
      </c>
    </row>
    <row r="5779" customFormat="false" ht="38.25" hidden="false" customHeight="false" outlineLevel="0" collapsed="false">
      <c r="A5779" s="37" t="s">
        <v>11222</v>
      </c>
      <c r="B5779" s="34" t="s">
        <v>11223</v>
      </c>
      <c r="C5779" s="34" t="s">
        <v>481</v>
      </c>
    </row>
    <row r="5780" customFormat="false" ht="38.25" hidden="false" customHeight="false" outlineLevel="0" collapsed="false">
      <c r="A5780" s="37" t="s">
        <v>11224</v>
      </c>
      <c r="B5780" s="34" t="s">
        <v>11225</v>
      </c>
      <c r="C5780" s="34" t="s">
        <v>484</v>
      </c>
    </row>
    <row r="5781" customFormat="false" ht="38.25" hidden="false" customHeight="false" outlineLevel="0" collapsed="false">
      <c r="A5781" s="37" t="s">
        <v>11226</v>
      </c>
      <c r="B5781" s="34" t="s">
        <v>11227</v>
      </c>
      <c r="C5781" s="34" t="s">
        <v>487</v>
      </c>
    </row>
    <row r="5782" customFormat="false" ht="38.25" hidden="false" customHeight="false" outlineLevel="0" collapsed="false">
      <c r="A5782" s="37" t="s">
        <v>11228</v>
      </c>
      <c r="B5782" s="34" t="s">
        <v>11229</v>
      </c>
      <c r="C5782" s="34" t="s">
        <v>490</v>
      </c>
    </row>
    <row r="5783" customFormat="false" ht="38.25" hidden="false" customHeight="false" outlineLevel="0" collapsed="false">
      <c r="A5783" s="37" t="s">
        <v>11230</v>
      </c>
      <c r="B5783" s="34" t="s">
        <v>11231</v>
      </c>
      <c r="C5783" s="34" t="s">
        <v>493</v>
      </c>
    </row>
    <row r="5784" customFormat="false" ht="38.25" hidden="false" customHeight="false" outlineLevel="0" collapsed="false">
      <c r="A5784" s="37" t="s">
        <v>11232</v>
      </c>
      <c r="B5784" s="34" t="s">
        <v>11233</v>
      </c>
      <c r="C5784" s="34" t="s">
        <v>496</v>
      </c>
    </row>
    <row r="5785" customFormat="false" ht="38.25" hidden="false" customHeight="false" outlineLevel="0" collapsed="false">
      <c r="A5785" s="37" t="s">
        <v>11234</v>
      </c>
      <c r="B5785" s="34" t="s">
        <v>11235</v>
      </c>
      <c r="C5785" s="34" t="s">
        <v>499</v>
      </c>
    </row>
    <row r="5786" customFormat="false" ht="38.25" hidden="false" customHeight="false" outlineLevel="0" collapsed="false">
      <c r="A5786" s="37" t="s">
        <v>11236</v>
      </c>
      <c r="B5786" s="34" t="s">
        <v>11237</v>
      </c>
      <c r="C5786" s="34" t="s">
        <v>502</v>
      </c>
    </row>
    <row r="5787" customFormat="false" ht="38.25" hidden="false" customHeight="false" outlineLevel="0" collapsed="false">
      <c r="A5787" s="37" t="s">
        <v>11238</v>
      </c>
      <c r="B5787" s="34" t="s">
        <v>11239</v>
      </c>
      <c r="C5787" s="34" t="s">
        <v>505</v>
      </c>
    </row>
    <row r="5788" customFormat="false" ht="51" hidden="false" customHeight="false" outlineLevel="0" collapsed="false">
      <c r="A5788" s="37" t="s">
        <v>11240</v>
      </c>
      <c r="B5788" s="34" t="s">
        <v>11241</v>
      </c>
      <c r="C5788" s="34" t="s">
        <v>508</v>
      </c>
    </row>
    <row r="5789" customFormat="false" ht="51" hidden="false" customHeight="false" outlineLevel="0" collapsed="false">
      <c r="A5789" s="37" t="s">
        <v>11242</v>
      </c>
      <c r="B5789" s="34" t="s">
        <v>11243</v>
      </c>
      <c r="C5789" s="34" t="s">
        <v>511</v>
      </c>
    </row>
    <row r="5790" customFormat="false" ht="51" hidden="false" customHeight="false" outlineLevel="0" collapsed="false">
      <c r="A5790" s="37" t="s">
        <v>11244</v>
      </c>
      <c r="B5790" s="34" t="s">
        <v>11245</v>
      </c>
      <c r="C5790" s="34" t="s">
        <v>514</v>
      </c>
    </row>
    <row r="5791" customFormat="false" ht="51" hidden="false" customHeight="false" outlineLevel="0" collapsed="false">
      <c r="A5791" s="37" t="s">
        <v>11246</v>
      </c>
      <c r="B5791" s="34" t="s">
        <v>11247</v>
      </c>
      <c r="C5791" s="34" t="s">
        <v>517</v>
      </c>
    </row>
    <row r="5792" customFormat="false" ht="51" hidden="false" customHeight="false" outlineLevel="0" collapsed="false">
      <c r="A5792" s="37" t="s">
        <v>11248</v>
      </c>
      <c r="B5792" s="34" t="s">
        <v>11249</v>
      </c>
      <c r="C5792" s="34" t="s">
        <v>517</v>
      </c>
    </row>
    <row r="5793" customFormat="false" ht="51" hidden="false" customHeight="false" outlineLevel="0" collapsed="false">
      <c r="A5793" s="37" t="s">
        <v>11250</v>
      </c>
      <c r="B5793" s="34" t="s">
        <v>11251</v>
      </c>
      <c r="C5793" s="34" t="s">
        <v>517</v>
      </c>
    </row>
    <row r="5794" customFormat="false" ht="51" hidden="false" customHeight="false" outlineLevel="0" collapsed="false">
      <c r="A5794" s="37" t="s">
        <v>11252</v>
      </c>
      <c r="B5794" s="34" t="s">
        <v>11253</v>
      </c>
      <c r="C5794" s="34" t="s">
        <v>517</v>
      </c>
    </row>
    <row r="5795" customFormat="false" ht="51" hidden="false" customHeight="false" outlineLevel="0" collapsed="false">
      <c r="A5795" s="37" t="s">
        <v>11254</v>
      </c>
      <c r="B5795" s="34" t="s">
        <v>11255</v>
      </c>
      <c r="C5795" s="34" t="s">
        <v>511</v>
      </c>
    </row>
    <row r="5796" customFormat="false" ht="51" hidden="false" customHeight="false" outlineLevel="0" collapsed="false">
      <c r="A5796" s="37" t="s">
        <v>11256</v>
      </c>
      <c r="B5796" s="34" t="s">
        <v>11257</v>
      </c>
      <c r="C5796" s="34" t="s">
        <v>511</v>
      </c>
    </row>
    <row r="5797" customFormat="false" ht="51" hidden="false" customHeight="false" outlineLevel="0" collapsed="false">
      <c r="A5797" s="37" t="s">
        <v>11258</v>
      </c>
      <c r="B5797" s="34" t="s">
        <v>11259</v>
      </c>
      <c r="C5797" s="34" t="s">
        <v>511</v>
      </c>
    </row>
    <row r="5798" customFormat="false" ht="51" hidden="false" customHeight="false" outlineLevel="0" collapsed="false">
      <c r="A5798" s="37" t="s">
        <v>11260</v>
      </c>
      <c r="B5798" s="34" t="s">
        <v>11261</v>
      </c>
      <c r="C5798" s="34" t="s">
        <v>511</v>
      </c>
    </row>
    <row r="5799" customFormat="false" ht="51" hidden="false" customHeight="false" outlineLevel="0" collapsed="false">
      <c r="A5799" s="37" t="s">
        <v>11262</v>
      </c>
      <c r="B5799" s="34" t="s">
        <v>11263</v>
      </c>
      <c r="C5799" s="34" t="s">
        <v>511</v>
      </c>
    </row>
    <row r="5800" customFormat="false" ht="51" hidden="false" customHeight="false" outlineLevel="0" collapsed="false">
      <c r="A5800" s="37" t="s">
        <v>11264</v>
      </c>
      <c r="B5800" s="34" t="s">
        <v>11265</v>
      </c>
      <c r="C5800" s="34" t="s">
        <v>511</v>
      </c>
    </row>
    <row r="5801" customFormat="false" ht="51" hidden="false" customHeight="false" outlineLevel="0" collapsed="false">
      <c r="A5801" s="37" t="s">
        <v>11266</v>
      </c>
      <c r="B5801" s="34" t="s">
        <v>11267</v>
      </c>
      <c r="C5801" s="34" t="s">
        <v>511</v>
      </c>
    </row>
    <row r="5802" customFormat="false" ht="51" hidden="false" customHeight="false" outlineLevel="0" collapsed="false">
      <c r="A5802" s="37" t="s">
        <v>11268</v>
      </c>
      <c r="B5802" s="34" t="s">
        <v>11269</v>
      </c>
      <c r="C5802" s="34" t="s">
        <v>511</v>
      </c>
    </row>
    <row r="5803" customFormat="false" ht="51" hidden="false" customHeight="false" outlineLevel="0" collapsed="false">
      <c r="A5803" s="37" t="s">
        <v>11270</v>
      </c>
      <c r="B5803" s="34" t="s">
        <v>11271</v>
      </c>
      <c r="C5803" s="34" t="s">
        <v>511</v>
      </c>
    </row>
    <row r="5804" customFormat="false" ht="51" hidden="false" customHeight="false" outlineLevel="0" collapsed="false">
      <c r="A5804" s="37" t="s">
        <v>11272</v>
      </c>
      <c r="B5804" s="34" t="s">
        <v>11273</v>
      </c>
      <c r="C5804" s="34" t="s">
        <v>511</v>
      </c>
    </row>
    <row r="5805" customFormat="false" ht="51" hidden="false" customHeight="false" outlineLevel="0" collapsed="false">
      <c r="A5805" s="37" t="s">
        <v>11274</v>
      </c>
      <c r="B5805" s="34" t="s">
        <v>11275</v>
      </c>
      <c r="C5805" s="34" t="s">
        <v>546</v>
      </c>
    </row>
    <row r="5806" customFormat="false" ht="51" hidden="false" customHeight="false" outlineLevel="0" collapsed="false">
      <c r="A5806" s="37" t="s">
        <v>11276</v>
      </c>
      <c r="B5806" s="34" t="s">
        <v>11277</v>
      </c>
      <c r="C5806" s="34" t="s">
        <v>546</v>
      </c>
    </row>
    <row r="5807" customFormat="false" ht="51" hidden="false" customHeight="false" outlineLevel="0" collapsed="false">
      <c r="A5807" s="37" t="s">
        <v>11278</v>
      </c>
      <c r="B5807" s="34" t="s">
        <v>11279</v>
      </c>
      <c r="C5807" s="34" t="s">
        <v>546</v>
      </c>
    </row>
    <row r="5808" customFormat="false" ht="51" hidden="false" customHeight="false" outlineLevel="0" collapsed="false">
      <c r="A5808" s="37" t="s">
        <v>11280</v>
      </c>
      <c r="B5808" s="34" t="s">
        <v>11281</v>
      </c>
      <c r="C5808" s="34" t="s">
        <v>546</v>
      </c>
    </row>
    <row r="5809" customFormat="false" ht="51" hidden="false" customHeight="false" outlineLevel="0" collapsed="false">
      <c r="A5809" s="37" t="s">
        <v>11282</v>
      </c>
      <c r="B5809" s="34" t="s">
        <v>11283</v>
      </c>
      <c r="C5809" s="34" t="s">
        <v>546</v>
      </c>
    </row>
    <row r="5810" customFormat="false" ht="51" hidden="false" customHeight="false" outlineLevel="0" collapsed="false">
      <c r="A5810" s="37" t="s">
        <v>11284</v>
      </c>
      <c r="B5810" s="34" t="s">
        <v>11285</v>
      </c>
      <c r="C5810" s="34" t="s">
        <v>546</v>
      </c>
    </row>
    <row r="5811" customFormat="false" ht="51" hidden="false" customHeight="false" outlineLevel="0" collapsed="false">
      <c r="A5811" s="37" t="s">
        <v>11286</v>
      </c>
      <c r="B5811" s="34" t="s">
        <v>11287</v>
      </c>
      <c r="C5811" s="34" t="s">
        <v>546</v>
      </c>
    </row>
    <row r="5812" customFormat="false" ht="63.75" hidden="false" customHeight="false" outlineLevel="0" collapsed="false">
      <c r="A5812" s="37" t="s">
        <v>11288</v>
      </c>
      <c r="B5812" s="34" t="s">
        <v>11289</v>
      </c>
      <c r="C5812" s="34" t="s">
        <v>561</v>
      </c>
    </row>
    <row r="5813" customFormat="false" ht="63.75" hidden="false" customHeight="false" outlineLevel="0" collapsed="false">
      <c r="A5813" s="37" t="s">
        <v>11290</v>
      </c>
      <c r="B5813" s="34" t="s">
        <v>11291</v>
      </c>
      <c r="C5813" s="34" t="s">
        <v>561</v>
      </c>
    </row>
    <row r="5814" customFormat="false" ht="89.25" hidden="false" customHeight="false" outlineLevel="0" collapsed="false">
      <c r="A5814" s="37" t="s">
        <v>11292</v>
      </c>
      <c r="B5814" s="34" t="s">
        <v>11293</v>
      </c>
      <c r="C5814" s="34" t="s">
        <v>566</v>
      </c>
    </row>
    <row r="5815" customFormat="false" ht="63.75" hidden="false" customHeight="false" outlineLevel="0" collapsed="false">
      <c r="A5815" s="37" t="s">
        <v>11294</v>
      </c>
      <c r="B5815" s="34" t="s">
        <v>11295</v>
      </c>
      <c r="C5815" s="34" t="s">
        <v>561</v>
      </c>
    </row>
    <row r="5816" customFormat="false" ht="63.75" hidden="false" customHeight="false" outlineLevel="0" collapsed="false">
      <c r="A5816" s="37" t="s">
        <v>11296</v>
      </c>
      <c r="B5816" s="34" t="s">
        <v>11297</v>
      </c>
      <c r="C5816" s="34" t="s">
        <v>571</v>
      </c>
    </row>
    <row r="5817" customFormat="false" ht="89.25" hidden="false" customHeight="false" outlineLevel="0" collapsed="false">
      <c r="A5817" s="37" t="s">
        <v>11298</v>
      </c>
      <c r="B5817" s="34" t="s">
        <v>11299</v>
      </c>
      <c r="C5817" s="34" t="s">
        <v>574</v>
      </c>
    </row>
    <row r="5818" customFormat="false" ht="89.25" hidden="false" customHeight="false" outlineLevel="0" collapsed="false">
      <c r="A5818" s="37" t="s">
        <v>11300</v>
      </c>
      <c r="B5818" s="34" t="s">
        <v>11301</v>
      </c>
      <c r="C5818" s="34" t="s">
        <v>574</v>
      </c>
    </row>
    <row r="5819" customFormat="false" ht="89.25" hidden="false" customHeight="false" outlineLevel="0" collapsed="false">
      <c r="A5819" s="37" t="s">
        <v>11302</v>
      </c>
      <c r="B5819" s="34" t="s">
        <v>11303</v>
      </c>
      <c r="C5819" s="34" t="s">
        <v>574</v>
      </c>
    </row>
    <row r="5820" customFormat="false" ht="89.25" hidden="false" customHeight="false" outlineLevel="0" collapsed="false">
      <c r="A5820" s="37" t="s">
        <v>11304</v>
      </c>
      <c r="B5820" s="34" t="s">
        <v>11305</v>
      </c>
      <c r="C5820" s="34" t="s">
        <v>574</v>
      </c>
    </row>
    <row r="5821" customFormat="false" ht="89.25" hidden="false" customHeight="false" outlineLevel="0" collapsed="false">
      <c r="A5821" s="37" t="s">
        <v>11306</v>
      </c>
      <c r="B5821" s="34" t="s">
        <v>11307</v>
      </c>
      <c r="C5821" s="34" t="s">
        <v>574</v>
      </c>
    </row>
    <row r="5822" customFormat="false" ht="63.75" hidden="false" customHeight="false" outlineLevel="0" collapsed="false">
      <c r="A5822" s="37" t="s">
        <v>11308</v>
      </c>
      <c r="B5822" s="34" t="s">
        <v>11309</v>
      </c>
      <c r="C5822" s="34" t="s">
        <v>585</v>
      </c>
    </row>
    <row r="5823" customFormat="false" ht="63.75" hidden="false" customHeight="false" outlineLevel="0" collapsed="false">
      <c r="A5823" s="37" t="s">
        <v>11310</v>
      </c>
      <c r="B5823" s="34" t="s">
        <v>11311</v>
      </c>
      <c r="C5823" s="34" t="s">
        <v>588</v>
      </c>
    </row>
    <row r="5824" customFormat="false" ht="51" hidden="false" customHeight="false" outlineLevel="0" collapsed="false">
      <c r="A5824" s="37" t="s">
        <v>11312</v>
      </c>
      <c r="B5824" s="34" t="s">
        <v>11313</v>
      </c>
      <c r="C5824" s="34" t="s">
        <v>546</v>
      </c>
    </row>
    <row r="5825" customFormat="false" ht="51" hidden="false" customHeight="false" outlineLevel="0" collapsed="false">
      <c r="A5825" s="37" t="s">
        <v>11314</v>
      </c>
      <c r="B5825" s="34" t="s">
        <v>11315</v>
      </c>
      <c r="C5825" s="34" t="s">
        <v>546</v>
      </c>
    </row>
    <row r="5826" customFormat="false" ht="51" hidden="false" customHeight="false" outlineLevel="0" collapsed="false">
      <c r="A5826" s="37" t="s">
        <v>11316</v>
      </c>
      <c r="B5826" s="34" t="s">
        <v>11317</v>
      </c>
      <c r="C5826" s="34" t="s">
        <v>546</v>
      </c>
    </row>
    <row r="5827" customFormat="false" ht="51" hidden="false" customHeight="false" outlineLevel="0" collapsed="false">
      <c r="A5827" s="37" t="s">
        <v>11318</v>
      </c>
      <c r="B5827" s="34" t="s">
        <v>11319</v>
      </c>
      <c r="C5827" s="34" t="s">
        <v>546</v>
      </c>
    </row>
    <row r="5828" customFormat="false" ht="51" hidden="false" customHeight="false" outlineLevel="0" collapsed="false">
      <c r="A5828" s="37" t="s">
        <v>11320</v>
      </c>
      <c r="B5828" s="34" t="s">
        <v>11321</v>
      </c>
      <c r="C5828" s="34" t="s">
        <v>546</v>
      </c>
    </row>
    <row r="5829" customFormat="false" ht="51" hidden="false" customHeight="false" outlineLevel="0" collapsed="false">
      <c r="A5829" s="37" t="s">
        <v>11322</v>
      </c>
      <c r="B5829" s="34" t="s">
        <v>11323</v>
      </c>
      <c r="C5829" s="34" t="s">
        <v>546</v>
      </c>
    </row>
    <row r="5830" customFormat="false" ht="51" hidden="false" customHeight="false" outlineLevel="0" collapsed="false">
      <c r="A5830" s="37" t="s">
        <v>11324</v>
      </c>
      <c r="B5830" s="34" t="s">
        <v>11325</v>
      </c>
      <c r="C5830" s="34" t="s">
        <v>546</v>
      </c>
    </row>
    <row r="5831" customFormat="false" ht="51" hidden="false" customHeight="false" outlineLevel="0" collapsed="false">
      <c r="A5831" s="37" t="s">
        <v>11326</v>
      </c>
      <c r="B5831" s="34" t="s">
        <v>11327</v>
      </c>
      <c r="C5831" s="34" t="s">
        <v>546</v>
      </c>
    </row>
    <row r="5832" customFormat="false" ht="51" hidden="false" customHeight="false" outlineLevel="0" collapsed="false">
      <c r="A5832" s="37" t="s">
        <v>11328</v>
      </c>
      <c r="B5832" s="34" t="s">
        <v>11329</v>
      </c>
      <c r="C5832" s="34" t="s">
        <v>546</v>
      </c>
    </row>
    <row r="5833" customFormat="false" ht="51" hidden="false" customHeight="false" outlineLevel="0" collapsed="false">
      <c r="A5833" s="37" t="s">
        <v>11330</v>
      </c>
      <c r="B5833" s="34" t="s">
        <v>11331</v>
      </c>
      <c r="C5833" s="34" t="s">
        <v>546</v>
      </c>
    </row>
    <row r="5834" customFormat="false" ht="51" hidden="false" customHeight="false" outlineLevel="0" collapsed="false">
      <c r="A5834" s="37" t="s">
        <v>11332</v>
      </c>
      <c r="B5834" s="34" t="s">
        <v>11333</v>
      </c>
      <c r="C5834" s="34" t="s">
        <v>546</v>
      </c>
    </row>
    <row r="5835" customFormat="false" ht="38.25" hidden="false" customHeight="false" outlineLevel="0" collapsed="false">
      <c r="A5835" s="37" t="s">
        <v>11334</v>
      </c>
      <c r="B5835" s="34" t="s">
        <v>11335</v>
      </c>
      <c r="C5835" s="34" t="s">
        <v>613</v>
      </c>
    </row>
    <row r="5836" customFormat="false" ht="51" hidden="false" customHeight="false" outlineLevel="0" collapsed="false">
      <c r="A5836" s="37" t="s">
        <v>11336</v>
      </c>
      <c r="B5836" s="34" t="s">
        <v>11337</v>
      </c>
      <c r="C5836" s="34" t="s">
        <v>546</v>
      </c>
    </row>
    <row r="5837" customFormat="false" ht="51" hidden="false" customHeight="false" outlineLevel="0" collapsed="false">
      <c r="A5837" s="37" t="s">
        <v>11338</v>
      </c>
      <c r="B5837" s="34" t="s">
        <v>11339</v>
      </c>
      <c r="C5837" s="34" t="s">
        <v>546</v>
      </c>
    </row>
    <row r="5838" customFormat="false" ht="51" hidden="false" customHeight="false" outlineLevel="0" collapsed="false">
      <c r="A5838" s="37" t="s">
        <v>11340</v>
      </c>
      <c r="B5838" s="34" t="s">
        <v>11341</v>
      </c>
      <c r="C5838" s="34" t="s">
        <v>546</v>
      </c>
    </row>
    <row r="5839" customFormat="false" ht="51" hidden="false" customHeight="false" outlineLevel="0" collapsed="false">
      <c r="A5839" s="37" t="s">
        <v>11342</v>
      </c>
      <c r="B5839" s="34" t="s">
        <v>11343</v>
      </c>
      <c r="C5839" s="34" t="s">
        <v>546</v>
      </c>
    </row>
    <row r="5840" customFormat="false" ht="51" hidden="false" customHeight="false" outlineLevel="0" collapsed="false">
      <c r="A5840" s="37" t="s">
        <v>11344</v>
      </c>
      <c r="B5840" s="34" t="s">
        <v>11345</v>
      </c>
      <c r="C5840" s="34" t="s">
        <v>546</v>
      </c>
    </row>
    <row r="5841" customFormat="false" ht="38.25" hidden="false" customHeight="false" outlineLevel="0" collapsed="false">
      <c r="A5841" s="37" t="s">
        <v>11346</v>
      </c>
      <c r="B5841" s="34" t="s">
        <v>11347</v>
      </c>
      <c r="C5841" s="34" t="s">
        <v>613</v>
      </c>
    </row>
    <row r="5842" customFormat="false" ht="51" hidden="false" customHeight="false" outlineLevel="0" collapsed="false">
      <c r="A5842" s="37" t="s">
        <v>11348</v>
      </c>
      <c r="B5842" s="34" t="s">
        <v>11349</v>
      </c>
      <c r="C5842" s="34" t="s">
        <v>546</v>
      </c>
    </row>
    <row r="5843" customFormat="false" ht="51" hidden="false" customHeight="false" outlineLevel="0" collapsed="false">
      <c r="A5843" s="37" t="s">
        <v>11350</v>
      </c>
      <c r="B5843" s="34" t="s">
        <v>11351</v>
      </c>
      <c r="C5843" s="34" t="s">
        <v>546</v>
      </c>
    </row>
    <row r="5844" customFormat="false" ht="51" hidden="false" customHeight="false" outlineLevel="0" collapsed="false">
      <c r="A5844" s="37" t="s">
        <v>11352</v>
      </c>
      <c r="B5844" s="34" t="s">
        <v>11353</v>
      </c>
      <c r="C5844" s="34" t="s">
        <v>546</v>
      </c>
    </row>
    <row r="5845" customFormat="false" ht="38.25" hidden="false" customHeight="false" outlineLevel="0" collapsed="false">
      <c r="A5845" s="37" t="s">
        <v>11354</v>
      </c>
      <c r="B5845" s="34" t="s">
        <v>11355</v>
      </c>
      <c r="C5845" s="34" t="s">
        <v>634</v>
      </c>
    </row>
    <row r="5846" customFormat="false" ht="38.25" hidden="false" customHeight="false" outlineLevel="0" collapsed="false">
      <c r="A5846" s="37" t="s">
        <v>11356</v>
      </c>
      <c r="B5846" s="34" t="s">
        <v>11357</v>
      </c>
      <c r="C5846" s="34" t="s">
        <v>637</v>
      </c>
    </row>
    <row r="5847" customFormat="false" ht="51" hidden="false" customHeight="false" outlineLevel="0" collapsed="false">
      <c r="A5847" s="37" t="s">
        <v>11358</v>
      </c>
      <c r="B5847" s="34" t="s">
        <v>11359</v>
      </c>
      <c r="C5847" s="34" t="s">
        <v>546</v>
      </c>
    </row>
    <row r="5848" customFormat="false" ht="51" hidden="false" customHeight="false" outlineLevel="0" collapsed="false">
      <c r="A5848" s="37" t="s">
        <v>11360</v>
      </c>
      <c r="B5848" s="34" t="s">
        <v>11361</v>
      </c>
      <c r="C5848" s="34" t="s">
        <v>546</v>
      </c>
    </row>
    <row r="5849" customFormat="false" ht="51" hidden="false" customHeight="false" outlineLevel="0" collapsed="false">
      <c r="A5849" s="37" t="s">
        <v>11362</v>
      </c>
      <c r="B5849" s="34" t="s">
        <v>11363</v>
      </c>
      <c r="C5849" s="34" t="s">
        <v>546</v>
      </c>
    </row>
    <row r="5850" customFormat="false" ht="63.75" hidden="false" customHeight="false" outlineLevel="0" collapsed="false">
      <c r="A5850" s="37" t="s">
        <v>11364</v>
      </c>
      <c r="B5850" s="34" t="s">
        <v>11365</v>
      </c>
      <c r="C5850" s="34" t="s">
        <v>139</v>
      </c>
    </row>
    <row r="5851" customFormat="false" ht="63.75" hidden="false" customHeight="false" outlineLevel="0" collapsed="false">
      <c r="A5851" s="37" t="s">
        <v>11366</v>
      </c>
      <c r="B5851" s="34" t="s">
        <v>11367</v>
      </c>
      <c r="C5851" s="34" t="s">
        <v>139</v>
      </c>
    </row>
    <row r="5852" customFormat="false" ht="63.75" hidden="false" customHeight="false" outlineLevel="0" collapsed="false">
      <c r="A5852" s="37" t="s">
        <v>11368</v>
      </c>
      <c r="B5852" s="34" t="s">
        <v>11369</v>
      </c>
      <c r="C5852" s="34" t="s">
        <v>139</v>
      </c>
    </row>
    <row r="5853" customFormat="false" ht="63.75" hidden="false" customHeight="false" outlineLevel="0" collapsed="false">
      <c r="A5853" s="37" t="s">
        <v>11370</v>
      </c>
      <c r="B5853" s="34" t="s">
        <v>11371</v>
      </c>
      <c r="C5853" s="34" t="s">
        <v>139</v>
      </c>
    </row>
    <row r="5854" customFormat="false" ht="76.5" hidden="false" customHeight="false" outlineLevel="0" collapsed="false">
      <c r="A5854" s="37" t="s">
        <v>11372</v>
      </c>
      <c r="B5854" s="34" t="s">
        <v>11373</v>
      </c>
      <c r="C5854" s="34" t="s">
        <v>2297</v>
      </c>
    </row>
    <row r="5855" customFormat="false" ht="76.5" hidden="false" customHeight="false" outlineLevel="0" collapsed="false">
      <c r="A5855" s="37" t="s">
        <v>11374</v>
      </c>
      <c r="B5855" s="34" t="s">
        <v>11375</v>
      </c>
      <c r="C5855" s="34" t="s">
        <v>2297</v>
      </c>
    </row>
    <row r="5856" customFormat="false" ht="63.75" hidden="false" customHeight="false" outlineLevel="0" collapsed="false">
      <c r="A5856" s="37" t="s">
        <v>11376</v>
      </c>
      <c r="B5856" s="34" t="s">
        <v>11377</v>
      </c>
      <c r="C5856" s="34" t="s">
        <v>139</v>
      </c>
    </row>
    <row r="5857" customFormat="false" ht="63.75" hidden="false" customHeight="false" outlineLevel="0" collapsed="false">
      <c r="A5857" s="37" t="s">
        <v>11378</v>
      </c>
      <c r="B5857" s="34" t="s">
        <v>11379</v>
      </c>
      <c r="C5857" s="34" t="s">
        <v>139</v>
      </c>
    </row>
    <row r="5858" customFormat="false" ht="63.75" hidden="false" customHeight="false" outlineLevel="0" collapsed="false">
      <c r="A5858" s="37" t="s">
        <v>11380</v>
      </c>
      <c r="B5858" s="34" t="s">
        <v>11381</v>
      </c>
      <c r="C5858" s="34" t="s">
        <v>139</v>
      </c>
    </row>
    <row r="5859" customFormat="false" ht="63.75" hidden="false" customHeight="false" outlineLevel="0" collapsed="false">
      <c r="A5859" s="37" t="s">
        <v>11382</v>
      </c>
      <c r="B5859" s="34" t="s">
        <v>11383</v>
      </c>
      <c r="C5859" s="34" t="s">
        <v>139</v>
      </c>
    </row>
    <row r="5860" customFormat="false" ht="63.75" hidden="false" customHeight="false" outlineLevel="0" collapsed="false">
      <c r="A5860" s="37" t="s">
        <v>11382</v>
      </c>
      <c r="B5860" s="34" t="s">
        <v>11384</v>
      </c>
      <c r="C5860" s="34" t="s">
        <v>8690</v>
      </c>
    </row>
    <row r="5861" customFormat="false" ht="51" hidden="false" customHeight="false" outlineLevel="0" collapsed="false">
      <c r="A5861" s="37" t="s">
        <v>11385</v>
      </c>
      <c r="B5861" s="34" t="s">
        <v>11386</v>
      </c>
      <c r="C5861" s="34" t="s">
        <v>8721</v>
      </c>
    </row>
    <row r="5862" customFormat="false" ht="51" hidden="false" customHeight="false" outlineLevel="0" collapsed="false">
      <c r="A5862" s="37" t="s">
        <v>11387</v>
      </c>
      <c r="B5862" s="34" t="s">
        <v>11388</v>
      </c>
      <c r="C5862" s="34" t="s">
        <v>8721</v>
      </c>
    </row>
    <row r="5863" customFormat="false" ht="51" hidden="false" customHeight="false" outlineLevel="0" collapsed="false">
      <c r="A5863" s="37" t="s">
        <v>11389</v>
      </c>
      <c r="B5863" s="34" t="s">
        <v>11390</v>
      </c>
      <c r="C5863" s="34" t="s">
        <v>8721</v>
      </c>
    </row>
    <row r="5864" customFormat="false" ht="51" hidden="false" customHeight="false" outlineLevel="0" collapsed="false">
      <c r="A5864" s="37" t="s">
        <v>11391</v>
      </c>
      <c r="B5864" s="34" t="s">
        <v>11392</v>
      </c>
      <c r="C5864" s="34" t="s">
        <v>8721</v>
      </c>
    </row>
    <row r="5865" customFormat="false" ht="51" hidden="false" customHeight="false" outlineLevel="0" collapsed="false">
      <c r="A5865" s="37" t="s">
        <v>11393</v>
      </c>
      <c r="B5865" s="34" t="s">
        <v>11394</v>
      </c>
      <c r="C5865" s="34" t="s">
        <v>8721</v>
      </c>
    </row>
    <row r="5866" customFormat="false" ht="51" hidden="false" customHeight="false" outlineLevel="0" collapsed="false">
      <c r="A5866" s="37" t="s">
        <v>11395</v>
      </c>
      <c r="B5866" s="34" t="s">
        <v>11396</v>
      </c>
      <c r="C5866" s="34" t="s">
        <v>11397</v>
      </c>
    </row>
    <row r="5867" customFormat="false" ht="114.75" hidden="false" customHeight="false" outlineLevel="0" collapsed="false">
      <c r="A5867" s="37" t="s">
        <v>11398</v>
      </c>
      <c r="B5867" s="34" t="s">
        <v>11399</v>
      </c>
      <c r="C5867" s="34" t="s">
        <v>11400</v>
      </c>
    </row>
    <row r="5868" customFormat="false" ht="127.5" hidden="false" customHeight="false" outlineLevel="0" collapsed="false">
      <c r="A5868" s="37" t="s">
        <v>11401</v>
      </c>
      <c r="B5868" s="34" t="s">
        <v>11402</v>
      </c>
      <c r="C5868" s="34" t="s">
        <v>11400</v>
      </c>
    </row>
    <row r="5869" customFormat="false" ht="127.5" hidden="false" customHeight="false" outlineLevel="0" collapsed="false">
      <c r="A5869" s="37" t="s">
        <v>11403</v>
      </c>
      <c r="B5869" s="34" t="s">
        <v>11404</v>
      </c>
      <c r="C5869" s="34" t="s">
        <v>11400</v>
      </c>
    </row>
    <row r="5870" customFormat="false" ht="51" hidden="false" customHeight="false" outlineLevel="0" collapsed="false">
      <c r="A5870" s="37" t="s">
        <v>11405</v>
      </c>
      <c r="B5870" s="34" t="s">
        <v>11406</v>
      </c>
      <c r="C5870" s="34" t="s">
        <v>11407</v>
      </c>
    </row>
    <row r="5871" customFormat="false" ht="51" hidden="false" customHeight="false" outlineLevel="0" collapsed="false">
      <c r="A5871" s="37" t="s">
        <v>11408</v>
      </c>
      <c r="B5871" s="34" t="s">
        <v>11409</v>
      </c>
      <c r="C5871" s="34" t="s">
        <v>11400</v>
      </c>
    </row>
    <row r="5872" customFormat="false" ht="51" hidden="false" customHeight="false" outlineLevel="0" collapsed="false">
      <c r="A5872" s="37" t="s">
        <v>11410</v>
      </c>
      <c r="B5872" s="34" t="s">
        <v>11411</v>
      </c>
      <c r="C5872" s="34" t="s">
        <v>11400</v>
      </c>
    </row>
    <row r="5873" customFormat="false" ht="51" hidden="false" customHeight="false" outlineLevel="0" collapsed="false">
      <c r="A5873" s="37" t="s">
        <v>11412</v>
      </c>
      <c r="B5873" s="34" t="s">
        <v>11413</v>
      </c>
      <c r="C5873" s="34" t="s">
        <v>2359</v>
      </c>
    </row>
    <row r="5874" customFormat="false" ht="63.75" hidden="false" customHeight="false" outlineLevel="0" collapsed="false">
      <c r="A5874" s="37" t="s">
        <v>11414</v>
      </c>
      <c r="B5874" s="34" t="s">
        <v>11415</v>
      </c>
      <c r="C5874" s="34" t="s">
        <v>2359</v>
      </c>
    </row>
    <row r="5875" customFormat="false" ht="63.75" hidden="false" customHeight="false" outlineLevel="0" collapsed="false">
      <c r="A5875" s="37" t="s">
        <v>11416</v>
      </c>
      <c r="B5875" s="34" t="s">
        <v>11417</v>
      </c>
      <c r="C5875" s="34" t="s">
        <v>11418</v>
      </c>
    </row>
    <row r="5876" customFormat="false" ht="89.25" hidden="false" customHeight="false" outlineLevel="0" collapsed="false">
      <c r="A5876" s="37" t="s">
        <v>11419</v>
      </c>
      <c r="B5876" s="34" t="s">
        <v>11420</v>
      </c>
      <c r="C5876" s="34" t="s">
        <v>11421</v>
      </c>
    </row>
    <row r="5877" customFormat="false" ht="63.75" hidden="false" customHeight="false" outlineLevel="0" collapsed="false">
      <c r="A5877" s="37" t="s">
        <v>11422</v>
      </c>
      <c r="B5877" s="34" t="s">
        <v>11423</v>
      </c>
      <c r="C5877" s="34" t="s">
        <v>11424</v>
      </c>
    </row>
    <row r="5878" customFormat="false" ht="63.75" hidden="false" customHeight="false" outlineLevel="0" collapsed="false">
      <c r="A5878" s="37" t="s">
        <v>11425</v>
      </c>
      <c r="B5878" s="34" t="s">
        <v>11426</v>
      </c>
      <c r="C5878" s="34" t="s">
        <v>11418</v>
      </c>
    </row>
    <row r="5879" customFormat="false" ht="63.75" hidden="false" customHeight="false" outlineLevel="0" collapsed="false">
      <c r="A5879" s="37" t="s">
        <v>11427</v>
      </c>
      <c r="B5879" s="34" t="s">
        <v>11428</v>
      </c>
      <c r="C5879" s="34" t="s">
        <v>2365</v>
      </c>
    </row>
    <row r="5880" customFormat="false" ht="63.75" hidden="false" customHeight="false" outlineLevel="0" collapsed="false">
      <c r="A5880" s="37" t="s">
        <v>11429</v>
      </c>
      <c r="B5880" s="34" t="s">
        <v>11430</v>
      </c>
      <c r="C5880" s="34" t="s">
        <v>2365</v>
      </c>
    </row>
    <row r="5881" customFormat="false" ht="63.75" hidden="false" customHeight="false" outlineLevel="0" collapsed="false">
      <c r="A5881" s="37" t="s">
        <v>11431</v>
      </c>
      <c r="B5881" s="34" t="s">
        <v>11432</v>
      </c>
      <c r="C5881" s="34" t="s">
        <v>2365</v>
      </c>
    </row>
    <row r="5882" customFormat="false" ht="63.75" hidden="false" customHeight="false" outlineLevel="0" collapsed="false">
      <c r="A5882" s="37" t="s">
        <v>11433</v>
      </c>
      <c r="B5882" s="34" t="s">
        <v>11434</v>
      </c>
      <c r="C5882" s="34" t="s">
        <v>2365</v>
      </c>
    </row>
    <row r="5883" customFormat="false" ht="63.75" hidden="false" customHeight="false" outlineLevel="0" collapsed="false">
      <c r="A5883" s="37" t="s">
        <v>11435</v>
      </c>
      <c r="B5883" s="34" t="s">
        <v>11436</v>
      </c>
      <c r="C5883" s="34" t="s">
        <v>2365</v>
      </c>
    </row>
    <row r="5884" customFormat="false" ht="63.75" hidden="false" customHeight="false" outlineLevel="0" collapsed="false">
      <c r="A5884" s="37" t="s">
        <v>11437</v>
      </c>
      <c r="B5884" s="34" t="s">
        <v>11438</v>
      </c>
      <c r="C5884" s="34" t="s">
        <v>2365</v>
      </c>
    </row>
    <row r="5885" customFormat="false" ht="63.75" hidden="false" customHeight="false" outlineLevel="0" collapsed="false">
      <c r="A5885" s="37" t="s">
        <v>11439</v>
      </c>
      <c r="B5885" s="34" t="s">
        <v>11440</v>
      </c>
      <c r="C5885" s="34" t="s">
        <v>2365</v>
      </c>
    </row>
    <row r="5886" customFormat="false" ht="63.75" hidden="false" customHeight="false" outlineLevel="0" collapsed="false">
      <c r="A5886" s="37" t="s">
        <v>11441</v>
      </c>
      <c r="B5886" s="34" t="s">
        <v>11442</v>
      </c>
      <c r="C5886" s="34" t="s">
        <v>2365</v>
      </c>
    </row>
    <row r="5887" customFormat="false" ht="63.75" hidden="false" customHeight="false" outlineLevel="0" collapsed="false">
      <c r="A5887" s="37" t="s">
        <v>11443</v>
      </c>
      <c r="B5887" s="34" t="s">
        <v>11444</v>
      </c>
      <c r="C5887" s="34" t="s">
        <v>2365</v>
      </c>
    </row>
    <row r="5888" customFormat="false" ht="63.75" hidden="false" customHeight="false" outlineLevel="0" collapsed="false">
      <c r="A5888" s="37" t="s">
        <v>11445</v>
      </c>
      <c r="B5888" s="34" t="s">
        <v>11446</v>
      </c>
      <c r="C5888" s="34" t="s">
        <v>2365</v>
      </c>
    </row>
    <row r="5889" customFormat="false" ht="51" hidden="false" customHeight="false" outlineLevel="0" collapsed="false">
      <c r="A5889" s="37" t="s">
        <v>11447</v>
      </c>
      <c r="B5889" s="34" t="s">
        <v>11448</v>
      </c>
      <c r="C5889" s="34" t="s">
        <v>2386</v>
      </c>
    </row>
    <row r="5890" customFormat="false" ht="51" hidden="false" customHeight="false" outlineLevel="0" collapsed="false">
      <c r="A5890" s="37" t="s">
        <v>11449</v>
      </c>
      <c r="B5890" s="34" t="s">
        <v>11450</v>
      </c>
      <c r="C5890" s="34" t="s">
        <v>2386</v>
      </c>
    </row>
    <row r="5891" customFormat="false" ht="51" hidden="false" customHeight="false" outlineLevel="0" collapsed="false">
      <c r="A5891" s="37" t="s">
        <v>11451</v>
      </c>
      <c r="B5891" s="34" t="s">
        <v>11452</v>
      </c>
      <c r="C5891" s="34" t="s">
        <v>2386</v>
      </c>
    </row>
    <row r="5892" customFormat="false" ht="51" hidden="false" customHeight="false" outlineLevel="0" collapsed="false">
      <c r="A5892" s="37" t="s">
        <v>11453</v>
      </c>
      <c r="B5892" s="34" t="s">
        <v>11454</v>
      </c>
      <c r="C5892" s="34" t="s">
        <v>2386</v>
      </c>
    </row>
    <row r="5893" customFormat="false" ht="51" hidden="false" customHeight="false" outlineLevel="0" collapsed="false">
      <c r="A5893" s="37" t="s">
        <v>11455</v>
      </c>
      <c r="B5893" s="34" t="s">
        <v>11456</v>
      </c>
      <c r="C5893" s="34" t="s">
        <v>2386</v>
      </c>
    </row>
    <row r="5894" customFormat="false" ht="63.75" hidden="false" customHeight="false" outlineLevel="0" collapsed="false">
      <c r="A5894" s="37" t="s">
        <v>11457</v>
      </c>
      <c r="B5894" s="34" t="s">
        <v>11458</v>
      </c>
      <c r="C5894" s="34" t="s">
        <v>2397</v>
      </c>
    </row>
    <row r="5895" customFormat="false" ht="63.75" hidden="false" customHeight="false" outlineLevel="0" collapsed="false">
      <c r="A5895" s="37" t="s">
        <v>11459</v>
      </c>
      <c r="B5895" s="34" t="s">
        <v>11460</v>
      </c>
      <c r="C5895" s="34" t="s">
        <v>139</v>
      </c>
    </row>
    <row r="5896" customFormat="false" ht="63.75" hidden="false" customHeight="false" outlineLevel="0" collapsed="false">
      <c r="A5896" s="37" t="s">
        <v>11461</v>
      </c>
      <c r="B5896" s="34" t="s">
        <v>11462</v>
      </c>
      <c r="C5896" s="34" t="s">
        <v>139</v>
      </c>
    </row>
    <row r="5897" customFormat="false" ht="63.75" hidden="false" customHeight="false" outlineLevel="0" collapsed="false">
      <c r="A5897" s="37" t="s">
        <v>11463</v>
      </c>
      <c r="B5897" s="34" t="s">
        <v>11464</v>
      </c>
      <c r="C5897" s="34" t="s">
        <v>139</v>
      </c>
    </row>
    <row r="5898" customFormat="false" ht="63.75" hidden="false" customHeight="false" outlineLevel="0" collapsed="false">
      <c r="A5898" s="37" t="s">
        <v>11465</v>
      </c>
      <c r="B5898" s="34" t="s">
        <v>11466</v>
      </c>
      <c r="C5898" s="34" t="s">
        <v>139</v>
      </c>
    </row>
    <row r="5899" customFormat="false" ht="63.75" hidden="false" customHeight="false" outlineLevel="0" collapsed="false">
      <c r="A5899" s="37" t="s">
        <v>11467</v>
      </c>
      <c r="B5899" s="34" t="s">
        <v>11468</v>
      </c>
      <c r="C5899" s="34" t="s">
        <v>139</v>
      </c>
    </row>
    <row r="5900" customFormat="false" ht="38.25" hidden="false" customHeight="false" outlineLevel="0" collapsed="false">
      <c r="A5900" s="37" t="s">
        <v>11469</v>
      </c>
      <c r="B5900" s="34" t="s">
        <v>11470</v>
      </c>
      <c r="C5900" s="34" t="s">
        <v>965</v>
      </c>
    </row>
    <row r="5901" customFormat="false" ht="38.25" hidden="false" customHeight="false" outlineLevel="0" collapsed="false">
      <c r="A5901" s="37" t="s">
        <v>11471</v>
      </c>
      <c r="B5901" s="34" t="s">
        <v>11472</v>
      </c>
      <c r="C5901" s="34" t="s">
        <v>73</v>
      </c>
    </row>
    <row r="5902" customFormat="false" ht="38.25" hidden="false" customHeight="false" outlineLevel="0" collapsed="false">
      <c r="A5902" s="37" t="s">
        <v>11473</v>
      </c>
      <c r="B5902" s="34" t="s">
        <v>11474</v>
      </c>
      <c r="C5902" s="34" t="s">
        <v>2412</v>
      </c>
    </row>
    <row r="5903" customFormat="false" ht="102" hidden="false" customHeight="false" outlineLevel="0" collapsed="false">
      <c r="A5903" s="37" t="s">
        <v>11475</v>
      </c>
      <c r="B5903" s="34" t="s">
        <v>11476</v>
      </c>
      <c r="C5903" s="34" t="s">
        <v>97</v>
      </c>
    </row>
    <row r="5904" customFormat="false" ht="76.5" hidden="false" customHeight="false" outlineLevel="0" collapsed="false">
      <c r="A5904" s="37" t="s">
        <v>11477</v>
      </c>
      <c r="B5904" s="34" t="s">
        <v>11478</v>
      </c>
      <c r="C5904" s="34" t="s">
        <v>108</v>
      </c>
    </row>
    <row r="5905" customFormat="false" ht="102" hidden="false" customHeight="false" outlineLevel="0" collapsed="false">
      <c r="A5905" s="37" t="s">
        <v>11479</v>
      </c>
      <c r="B5905" s="34" t="s">
        <v>11480</v>
      </c>
      <c r="C5905" s="34" t="s">
        <v>1530</v>
      </c>
    </row>
    <row r="5906" customFormat="false" ht="89.25" hidden="false" customHeight="false" outlineLevel="0" collapsed="false">
      <c r="A5906" s="37" t="s">
        <v>11481</v>
      </c>
      <c r="B5906" s="34" t="s">
        <v>11482</v>
      </c>
      <c r="C5906" s="34" t="s">
        <v>3982</v>
      </c>
    </row>
    <row r="5907" customFormat="false" ht="51" hidden="false" customHeight="false" outlineLevel="0" collapsed="false">
      <c r="A5907" s="37" t="s">
        <v>11483</v>
      </c>
      <c r="B5907" s="34" t="s">
        <v>11484</v>
      </c>
      <c r="C5907" s="34" t="s">
        <v>1520</v>
      </c>
    </row>
    <row r="5908" customFormat="false" ht="63.75" hidden="false" customHeight="false" outlineLevel="0" collapsed="false">
      <c r="A5908" s="37" t="s">
        <v>11485</v>
      </c>
      <c r="B5908" s="34" t="s">
        <v>11486</v>
      </c>
      <c r="C5908" s="34" t="s">
        <v>2425</v>
      </c>
    </row>
    <row r="5909" customFormat="false" ht="102" hidden="false" customHeight="false" outlineLevel="0" collapsed="false">
      <c r="A5909" s="37" t="s">
        <v>11487</v>
      </c>
      <c r="B5909" s="34" t="s">
        <v>11488</v>
      </c>
      <c r="C5909" s="34" t="s">
        <v>3989</v>
      </c>
    </row>
    <row r="5910" customFormat="false" ht="102" hidden="false" customHeight="false" outlineLevel="0" collapsed="false">
      <c r="A5910" s="37" t="s">
        <v>11489</v>
      </c>
      <c r="B5910" s="34" t="s">
        <v>11490</v>
      </c>
      <c r="C5910" s="34" t="s">
        <v>3989</v>
      </c>
    </row>
    <row r="5911" customFormat="false" ht="76.5" hidden="false" customHeight="false" outlineLevel="0" collapsed="false">
      <c r="A5911" s="37" t="s">
        <v>11491</v>
      </c>
      <c r="B5911" s="34" t="s">
        <v>11492</v>
      </c>
      <c r="C5911" s="34" t="s">
        <v>3994</v>
      </c>
    </row>
    <row r="5912" customFormat="false" ht="51" hidden="false" customHeight="false" outlineLevel="0" collapsed="false">
      <c r="A5912" s="37" t="s">
        <v>11493</v>
      </c>
      <c r="B5912" s="34" t="s">
        <v>11494</v>
      </c>
      <c r="C5912" s="34" t="s">
        <v>1520</v>
      </c>
    </row>
    <row r="5913" customFormat="false" ht="51" hidden="false" customHeight="false" outlineLevel="0" collapsed="false">
      <c r="A5913" s="37" t="s">
        <v>11495</v>
      </c>
      <c r="B5913" s="34" t="s">
        <v>11496</v>
      </c>
      <c r="C5913" s="34" t="s">
        <v>1520</v>
      </c>
    </row>
    <row r="5914" customFormat="false" ht="51" hidden="false" customHeight="false" outlineLevel="0" collapsed="false">
      <c r="A5914" s="37" t="s">
        <v>11497</v>
      </c>
      <c r="B5914" s="34" t="s">
        <v>11498</v>
      </c>
      <c r="C5914" s="34" t="s">
        <v>1520</v>
      </c>
    </row>
    <row r="5915" customFormat="false" ht="51" hidden="false" customHeight="false" outlineLevel="0" collapsed="false">
      <c r="A5915" s="37" t="s">
        <v>11499</v>
      </c>
      <c r="B5915" s="34" t="s">
        <v>11500</v>
      </c>
      <c r="C5915" s="34" t="s">
        <v>1520</v>
      </c>
    </row>
    <row r="5916" customFormat="false" ht="63.75" hidden="false" customHeight="false" outlineLevel="0" collapsed="false">
      <c r="A5916" s="37" t="s">
        <v>11501</v>
      </c>
      <c r="B5916" s="34" t="s">
        <v>11502</v>
      </c>
      <c r="C5916" s="34" t="s">
        <v>4005</v>
      </c>
    </row>
    <row r="5917" customFormat="false" ht="102" hidden="false" customHeight="false" outlineLevel="0" collapsed="false">
      <c r="A5917" s="37" t="s">
        <v>11503</v>
      </c>
      <c r="B5917" s="34" t="s">
        <v>11504</v>
      </c>
      <c r="C5917" s="34" t="s">
        <v>97</v>
      </c>
    </row>
    <row r="5918" customFormat="false" ht="102" hidden="false" customHeight="false" outlineLevel="0" collapsed="false">
      <c r="A5918" s="37" t="s">
        <v>11505</v>
      </c>
      <c r="B5918" s="34" t="s">
        <v>11506</v>
      </c>
      <c r="C5918" s="34" t="s">
        <v>97</v>
      </c>
    </row>
    <row r="5919" customFormat="false" ht="102" hidden="false" customHeight="false" outlineLevel="0" collapsed="false">
      <c r="A5919" s="37" t="s">
        <v>11507</v>
      </c>
      <c r="B5919" s="34" t="s">
        <v>11508</v>
      </c>
      <c r="C5919" s="34" t="s">
        <v>786</v>
      </c>
    </row>
    <row r="5920" customFormat="false" ht="114.75" hidden="false" customHeight="false" outlineLevel="0" collapsed="false">
      <c r="A5920" s="37" t="s">
        <v>11509</v>
      </c>
      <c r="B5920" s="34" t="s">
        <v>11510</v>
      </c>
      <c r="C5920" s="34" t="s">
        <v>1593</v>
      </c>
    </row>
    <row r="5921" customFormat="false" ht="89.25" hidden="false" customHeight="false" outlineLevel="0" collapsed="false">
      <c r="A5921" s="37" t="s">
        <v>11511</v>
      </c>
      <c r="B5921" s="34" t="s">
        <v>11512</v>
      </c>
      <c r="C5921" s="34" t="s">
        <v>891</v>
      </c>
    </row>
    <row r="5922" customFormat="false" ht="114.75" hidden="false" customHeight="false" outlineLevel="0" collapsed="false">
      <c r="A5922" s="37" t="s">
        <v>11513</v>
      </c>
      <c r="B5922" s="34" t="s">
        <v>11514</v>
      </c>
      <c r="C5922" s="34" t="s">
        <v>1596</v>
      </c>
    </row>
    <row r="5923" customFormat="false" ht="76.5" hidden="false" customHeight="false" outlineLevel="0" collapsed="false">
      <c r="A5923" s="37" t="s">
        <v>11515</v>
      </c>
      <c r="B5923" s="34" t="s">
        <v>11516</v>
      </c>
      <c r="C5923" s="34" t="s">
        <v>108</v>
      </c>
    </row>
    <row r="5924" customFormat="false" ht="89.25" hidden="false" customHeight="false" outlineLevel="0" collapsed="false">
      <c r="A5924" s="37" t="s">
        <v>11517</v>
      </c>
      <c r="B5924" s="34" t="s">
        <v>11518</v>
      </c>
      <c r="C5924" s="34" t="s">
        <v>871</v>
      </c>
    </row>
    <row r="5925" customFormat="false" ht="89.25" hidden="false" customHeight="false" outlineLevel="0" collapsed="false">
      <c r="A5925" s="37" t="s">
        <v>11519</v>
      </c>
      <c r="B5925" s="34" t="s">
        <v>11520</v>
      </c>
      <c r="C5925" s="34" t="s">
        <v>858</v>
      </c>
    </row>
    <row r="5926" customFormat="false" ht="89.25" hidden="false" customHeight="false" outlineLevel="0" collapsed="false">
      <c r="A5926" s="37" t="s">
        <v>11521</v>
      </c>
      <c r="B5926" s="34" t="s">
        <v>11522</v>
      </c>
      <c r="C5926" s="34" t="s">
        <v>902</v>
      </c>
    </row>
    <row r="5927" customFormat="false" ht="89.25" hidden="false" customHeight="false" outlineLevel="0" collapsed="false">
      <c r="A5927" s="37" t="s">
        <v>11523</v>
      </c>
      <c r="B5927" s="34" t="s">
        <v>11524</v>
      </c>
      <c r="C5927" s="34" t="s">
        <v>902</v>
      </c>
    </row>
    <row r="5928" customFormat="false" ht="89.25" hidden="false" customHeight="false" outlineLevel="0" collapsed="false">
      <c r="A5928" s="37" t="s">
        <v>11525</v>
      </c>
      <c r="B5928" s="34" t="s">
        <v>11526</v>
      </c>
      <c r="C5928" s="34" t="s">
        <v>122</v>
      </c>
    </row>
    <row r="5929" customFormat="false" ht="89.25" hidden="false" customHeight="false" outlineLevel="0" collapsed="false">
      <c r="A5929" s="37" t="s">
        <v>11527</v>
      </c>
      <c r="B5929" s="34" t="s">
        <v>11528</v>
      </c>
      <c r="C5929" s="34" t="s">
        <v>874</v>
      </c>
    </row>
    <row r="5930" customFormat="false" ht="89.25" hidden="false" customHeight="false" outlineLevel="0" collapsed="false">
      <c r="A5930" s="37" t="s">
        <v>11529</v>
      </c>
      <c r="B5930" s="34" t="s">
        <v>11530</v>
      </c>
      <c r="C5930" s="34" t="s">
        <v>874</v>
      </c>
    </row>
    <row r="5931" customFormat="false" ht="89.25" hidden="false" customHeight="false" outlineLevel="0" collapsed="false">
      <c r="A5931" s="37" t="s">
        <v>11531</v>
      </c>
      <c r="B5931" s="34" t="s">
        <v>11532</v>
      </c>
      <c r="C5931" s="34" t="s">
        <v>874</v>
      </c>
    </row>
    <row r="5932" customFormat="false" ht="89.25" hidden="false" customHeight="false" outlineLevel="0" collapsed="false">
      <c r="A5932" s="37" t="s">
        <v>11533</v>
      </c>
      <c r="B5932" s="34" t="s">
        <v>11534</v>
      </c>
      <c r="C5932" s="34" t="s">
        <v>874</v>
      </c>
    </row>
    <row r="5933" customFormat="false" ht="102" hidden="false" customHeight="false" outlineLevel="0" collapsed="false">
      <c r="A5933" s="37" t="s">
        <v>11535</v>
      </c>
      <c r="B5933" s="34" t="s">
        <v>11536</v>
      </c>
      <c r="C5933" s="34" t="s">
        <v>883</v>
      </c>
    </row>
    <row r="5934" customFormat="false" ht="102" hidden="false" customHeight="false" outlineLevel="0" collapsed="false">
      <c r="A5934" s="37" t="s">
        <v>11537</v>
      </c>
      <c r="B5934" s="34" t="s">
        <v>11538</v>
      </c>
      <c r="C5934" s="34" t="s">
        <v>97</v>
      </c>
    </row>
    <row r="5935" customFormat="false" ht="102" hidden="false" customHeight="false" outlineLevel="0" collapsed="false">
      <c r="A5935" s="37" t="s">
        <v>11539</v>
      </c>
      <c r="B5935" s="34" t="s">
        <v>11540</v>
      </c>
      <c r="C5935" s="34" t="s">
        <v>97</v>
      </c>
    </row>
    <row r="5936" customFormat="false" ht="102" hidden="false" customHeight="false" outlineLevel="0" collapsed="false">
      <c r="A5936" s="37" t="s">
        <v>11541</v>
      </c>
      <c r="B5936" s="34" t="s">
        <v>11542</v>
      </c>
      <c r="C5936" s="34" t="s">
        <v>887</v>
      </c>
    </row>
    <row r="5937" customFormat="false" ht="114.75" hidden="false" customHeight="false" outlineLevel="0" collapsed="false">
      <c r="A5937" s="37" t="s">
        <v>11543</v>
      </c>
      <c r="B5937" s="34" t="s">
        <v>11544</v>
      </c>
      <c r="C5937" s="34" t="s">
        <v>849</v>
      </c>
    </row>
    <row r="5938" customFormat="false" ht="89.25" hidden="false" customHeight="false" outlineLevel="0" collapsed="false">
      <c r="A5938" s="37" t="s">
        <v>11545</v>
      </c>
      <c r="B5938" s="34" t="s">
        <v>11546</v>
      </c>
      <c r="C5938" s="34" t="s">
        <v>891</v>
      </c>
    </row>
    <row r="5939" customFormat="false" ht="114.75" hidden="false" customHeight="false" outlineLevel="0" collapsed="false">
      <c r="A5939" s="37" t="s">
        <v>11547</v>
      </c>
      <c r="B5939" s="34" t="s">
        <v>11548</v>
      </c>
      <c r="C5939" s="34" t="s">
        <v>853</v>
      </c>
    </row>
    <row r="5940" customFormat="false" ht="76.5" hidden="false" customHeight="false" outlineLevel="0" collapsed="false">
      <c r="A5940" s="37" t="s">
        <v>11549</v>
      </c>
      <c r="B5940" s="34" t="s">
        <v>11550</v>
      </c>
      <c r="C5940" s="34" t="s">
        <v>108</v>
      </c>
    </row>
    <row r="5941" customFormat="false" ht="89.25" hidden="false" customHeight="false" outlineLevel="0" collapsed="false">
      <c r="A5941" s="37" t="s">
        <v>11551</v>
      </c>
      <c r="B5941" s="34" t="s">
        <v>11552</v>
      </c>
      <c r="C5941" s="34" t="s">
        <v>871</v>
      </c>
    </row>
    <row r="5942" customFormat="false" ht="89.25" hidden="false" customHeight="false" outlineLevel="0" collapsed="false">
      <c r="A5942" s="37" t="s">
        <v>11553</v>
      </c>
      <c r="B5942" s="34" t="s">
        <v>11554</v>
      </c>
      <c r="C5942" s="34" t="s">
        <v>858</v>
      </c>
    </row>
    <row r="5943" customFormat="false" ht="89.25" hidden="false" customHeight="false" outlineLevel="0" collapsed="false">
      <c r="A5943" s="37" t="s">
        <v>11555</v>
      </c>
      <c r="B5943" s="34" t="s">
        <v>11556</v>
      </c>
      <c r="C5943" s="34" t="s">
        <v>902</v>
      </c>
    </row>
    <row r="5944" customFormat="false" ht="89.25" hidden="false" customHeight="false" outlineLevel="0" collapsed="false">
      <c r="A5944" s="37" t="s">
        <v>11557</v>
      </c>
      <c r="B5944" s="34" t="s">
        <v>11558</v>
      </c>
      <c r="C5944" s="34" t="s">
        <v>902</v>
      </c>
    </row>
    <row r="5945" customFormat="false" ht="89.25" hidden="false" customHeight="false" outlineLevel="0" collapsed="false">
      <c r="A5945" s="37" t="s">
        <v>11559</v>
      </c>
      <c r="B5945" s="34" t="s">
        <v>11560</v>
      </c>
      <c r="C5945" s="34" t="s">
        <v>122</v>
      </c>
    </row>
    <row r="5946" customFormat="false" ht="89.25" hidden="false" customHeight="false" outlineLevel="0" collapsed="false">
      <c r="A5946" s="37" t="s">
        <v>11561</v>
      </c>
      <c r="B5946" s="34" t="s">
        <v>11562</v>
      </c>
      <c r="C5946" s="34" t="s">
        <v>874</v>
      </c>
    </row>
    <row r="5947" customFormat="false" ht="89.25" hidden="false" customHeight="false" outlineLevel="0" collapsed="false">
      <c r="A5947" s="37" t="s">
        <v>11563</v>
      </c>
      <c r="B5947" s="34" t="s">
        <v>11564</v>
      </c>
      <c r="C5947" s="34" t="s">
        <v>874</v>
      </c>
    </row>
    <row r="5948" customFormat="false" ht="89.25" hidden="false" customHeight="false" outlineLevel="0" collapsed="false">
      <c r="A5948" s="37" t="s">
        <v>11565</v>
      </c>
      <c r="B5948" s="34" t="s">
        <v>11566</v>
      </c>
      <c r="C5948" s="34" t="s">
        <v>874</v>
      </c>
    </row>
    <row r="5949" customFormat="false" ht="89.25" hidden="false" customHeight="false" outlineLevel="0" collapsed="false">
      <c r="A5949" s="37" t="s">
        <v>11567</v>
      </c>
      <c r="B5949" s="34" t="s">
        <v>11568</v>
      </c>
      <c r="C5949" s="34" t="s">
        <v>874</v>
      </c>
    </row>
    <row r="5950" customFormat="false" ht="102" hidden="false" customHeight="false" outlineLevel="0" collapsed="false">
      <c r="A5950" s="37" t="s">
        <v>11569</v>
      </c>
      <c r="B5950" s="34" t="s">
        <v>11570</v>
      </c>
      <c r="C5950" s="34" t="s">
        <v>883</v>
      </c>
    </row>
    <row r="5951" customFormat="false" ht="102" hidden="false" customHeight="false" outlineLevel="0" collapsed="false">
      <c r="A5951" s="37" t="s">
        <v>11571</v>
      </c>
      <c r="B5951" s="34" t="s">
        <v>11572</v>
      </c>
      <c r="C5951" s="34" t="s">
        <v>851</v>
      </c>
    </row>
    <row r="5952" customFormat="false" ht="89.25" hidden="false" customHeight="false" outlineLevel="0" collapsed="false">
      <c r="A5952" s="37" t="s">
        <v>11573</v>
      </c>
      <c r="B5952" s="34" t="s">
        <v>11574</v>
      </c>
      <c r="C5952" s="34" t="s">
        <v>858</v>
      </c>
    </row>
    <row r="5953" customFormat="false" ht="102" hidden="false" customHeight="false" outlineLevel="0" collapsed="false">
      <c r="A5953" s="37" t="s">
        <v>11575</v>
      </c>
      <c r="B5953" s="34" t="s">
        <v>11576</v>
      </c>
      <c r="C5953" s="34" t="s">
        <v>851</v>
      </c>
    </row>
    <row r="5954" customFormat="false" ht="102" hidden="false" customHeight="false" outlineLevel="0" collapsed="false">
      <c r="A5954" s="37" t="s">
        <v>11577</v>
      </c>
      <c r="B5954" s="34" t="s">
        <v>11578</v>
      </c>
      <c r="C5954" s="34" t="s">
        <v>851</v>
      </c>
    </row>
    <row r="5955" customFormat="false" ht="89.25" hidden="false" customHeight="false" outlineLevel="0" collapsed="false">
      <c r="A5955" s="37" t="s">
        <v>11579</v>
      </c>
      <c r="B5955" s="34" t="s">
        <v>11580</v>
      </c>
      <c r="C5955" s="34" t="s">
        <v>122</v>
      </c>
    </row>
    <row r="5956" customFormat="false" ht="114.75" hidden="false" customHeight="false" outlineLevel="0" collapsed="false">
      <c r="A5956" s="37" t="s">
        <v>11581</v>
      </c>
      <c r="B5956" s="34" t="s">
        <v>11582</v>
      </c>
      <c r="C5956" s="34" t="s">
        <v>849</v>
      </c>
    </row>
    <row r="5957" customFormat="false" ht="114.75" hidden="false" customHeight="false" outlineLevel="0" collapsed="false">
      <c r="A5957" s="37" t="s">
        <v>11583</v>
      </c>
      <c r="B5957" s="34" t="s">
        <v>11584</v>
      </c>
      <c r="C5957" s="34" t="s">
        <v>853</v>
      </c>
    </row>
    <row r="5958" customFormat="false" ht="89.25" hidden="false" customHeight="false" outlineLevel="0" collapsed="false">
      <c r="A5958" s="37" t="s">
        <v>11585</v>
      </c>
      <c r="B5958" s="34" t="s">
        <v>11586</v>
      </c>
      <c r="C5958" s="34" t="s">
        <v>871</v>
      </c>
    </row>
    <row r="5959" customFormat="false" ht="102" hidden="false" customHeight="false" outlineLevel="0" collapsed="false">
      <c r="A5959" s="37" t="s">
        <v>11587</v>
      </c>
      <c r="B5959" s="34" t="s">
        <v>11588</v>
      </c>
      <c r="C5959" s="34" t="s">
        <v>97</v>
      </c>
    </row>
    <row r="5960" customFormat="false" ht="102" hidden="false" customHeight="false" outlineLevel="0" collapsed="false">
      <c r="A5960" s="37" t="s">
        <v>11589</v>
      </c>
      <c r="B5960" s="34" t="s">
        <v>11590</v>
      </c>
      <c r="C5960" s="34" t="s">
        <v>97</v>
      </c>
    </row>
    <row r="5961" customFormat="false" ht="102" hidden="false" customHeight="false" outlineLevel="0" collapsed="false">
      <c r="A5961" s="37" t="s">
        <v>11591</v>
      </c>
      <c r="B5961" s="34" t="s">
        <v>11592</v>
      </c>
      <c r="C5961" s="34" t="s">
        <v>887</v>
      </c>
    </row>
    <row r="5962" customFormat="false" ht="114.75" hidden="false" customHeight="false" outlineLevel="0" collapsed="false">
      <c r="A5962" s="37" t="s">
        <v>11593</v>
      </c>
      <c r="B5962" s="34" t="s">
        <v>11594</v>
      </c>
      <c r="C5962" s="34" t="s">
        <v>849</v>
      </c>
    </row>
    <row r="5963" customFormat="false" ht="89.25" hidden="false" customHeight="false" outlineLevel="0" collapsed="false">
      <c r="A5963" s="37" t="s">
        <v>11595</v>
      </c>
      <c r="B5963" s="34" t="s">
        <v>11596</v>
      </c>
      <c r="C5963" s="34" t="s">
        <v>891</v>
      </c>
    </row>
    <row r="5964" customFormat="false" ht="89.25" hidden="false" customHeight="false" outlineLevel="0" collapsed="false">
      <c r="A5964" s="37" t="s">
        <v>11597</v>
      </c>
      <c r="B5964" s="34" t="s">
        <v>11598</v>
      </c>
      <c r="C5964" s="34" t="s">
        <v>4081</v>
      </c>
    </row>
    <row r="5965" customFormat="false" ht="76.5" hidden="false" customHeight="false" outlineLevel="0" collapsed="false">
      <c r="A5965" s="37" t="s">
        <v>11599</v>
      </c>
      <c r="B5965" s="34" t="s">
        <v>11600</v>
      </c>
      <c r="C5965" s="34" t="s">
        <v>108</v>
      </c>
    </row>
    <row r="5966" customFormat="false" ht="89.25" hidden="false" customHeight="false" outlineLevel="0" collapsed="false">
      <c r="A5966" s="37" t="s">
        <v>11601</v>
      </c>
      <c r="B5966" s="34" t="s">
        <v>11602</v>
      </c>
      <c r="C5966" s="34" t="s">
        <v>871</v>
      </c>
    </row>
    <row r="5967" customFormat="false" ht="89.25" hidden="false" customHeight="false" outlineLevel="0" collapsed="false">
      <c r="A5967" s="37" t="s">
        <v>11603</v>
      </c>
      <c r="B5967" s="34" t="s">
        <v>11604</v>
      </c>
      <c r="C5967" s="34" t="s">
        <v>858</v>
      </c>
    </row>
    <row r="5968" customFormat="false" ht="89.25" hidden="false" customHeight="false" outlineLevel="0" collapsed="false">
      <c r="A5968" s="37" t="s">
        <v>11605</v>
      </c>
      <c r="B5968" s="34" t="s">
        <v>11606</v>
      </c>
      <c r="C5968" s="34" t="s">
        <v>902</v>
      </c>
    </row>
    <row r="5969" customFormat="false" ht="89.25" hidden="false" customHeight="false" outlineLevel="0" collapsed="false">
      <c r="A5969" s="37" t="s">
        <v>11607</v>
      </c>
      <c r="B5969" s="34" t="s">
        <v>11608</v>
      </c>
      <c r="C5969" s="34" t="s">
        <v>902</v>
      </c>
    </row>
    <row r="5970" customFormat="false" ht="89.25" hidden="false" customHeight="false" outlineLevel="0" collapsed="false">
      <c r="A5970" s="37" t="s">
        <v>11609</v>
      </c>
      <c r="B5970" s="34" t="s">
        <v>11610</v>
      </c>
      <c r="C5970" s="34" t="s">
        <v>122</v>
      </c>
    </row>
    <row r="5971" customFormat="false" ht="89.25" hidden="false" customHeight="false" outlineLevel="0" collapsed="false">
      <c r="A5971" s="37" t="s">
        <v>11611</v>
      </c>
      <c r="B5971" s="34" t="s">
        <v>11612</v>
      </c>
      <c r="C5971" s="34" t="s">
        <v>874</v>
      </c>
    </row>
    <row r="5972" customFormat="false" ht="89.25" hidden="false" customHeight="false" outlineLevel="0" collapsed="false">
      <c r="A5972" s="37" t="s">
        <v>11613</v>
      </c>
      <c r="B5972" s="34" t="s">
        <v>11614</v>
      </c>
      <c r="C5972" s="34" t="s">
        <v>874</v>
      </c>
    </row>
    <row r="5973" customFormat="false" ht="89.25" hidden="false" customHeight="false" outlineLevel="0" collapsed="false">
      <c r="A5973" s="37" t="s">
        <v>11615</v>
      </c>
      <c r="B5973" s="34" t="s">
        <v>11616</v>
      </c>
      <c r="C5973" s="34" t="s">
        <v>874</v>
      </c>
    </row>
    <row r="5974" customFormat="false" ht="89.25" hidden="false" customHeight="false" outlineLevel="0" collapsed="false">
      <c r="A5974" s="37" t="s">
        <v>11617</v>
      </c>
      <c r="B5974" s="34" t="s">
        <v>11618</v>
      </c>
      <c r="C5974" s="34" t="s">
        <v>874</v>
      </c>
    </row>
    <row r="5975" customFormat="false" ht="102" hidden="false" customHeight="false" outlineLevel="0" collapsed="false">
      <c r="A5975" s="37" t="s">
        <v>11619</v>
      </c>
      <c r="B5975" s="34" t="s">
        <v>11620</v>
      </c>
      <c r="C5975" s="34" t="s">
        <v>883</v>
      </c>
    </row>
    <row r="5976" customFormat="false" ht="51" hidden="false" customHeight="false" outlineLevel="0" collapsed="false">
      <c r="A5976" s="37" t="s">
        <v>11621</v>
      </c>
      <c r="B5976" s="34" t="s">
        <v>11622</v>
      </c>
      <c r="C5976" s="34" t="s">
        <v>4109</v>
      </c>
    </row>
    <row r="5977" customFormat="false" ht="63.75" hidden="false" customHeight="false" outlineLevel="0" collapsed="false">
      <c r="A5977" s="37" t="s">
        <v>11623</v>
      </c>
      <c r="B5977" s="34" t="s">
        <v>11624</v>
      </c>
      <c r="C5977" s="34" t="s">
        <v>4109</v>
      </c>
    </row>
    <row r="5978" customFormat="false" ht="51" hidden="false" customHeight="false" outlineLevel="0" collapsed="false">
      <c r="A5978" s="37" t="s">
        <v>11625</v>
      </c>
      <c r="B5978" s="34" t="s">
        <v>11626</v>
      </c>
      <c r="C5978" s="34" t="s">
        <v>4109</v>
      </c>
    </row>
    <row r="5979" customFormat="false" ht="51" hidden="false" customHeight="false" outlineLevel="0" collapsed="false">
      <c r="A5979" s="37" t="s">
        <v>11627</v>
      </c>
      <c r="B5979" s="34" t="s">
        <v>11628</v>
      </c>
      <c r="C5979" s="34" t="s">
        <v>4109</v>
      </c>
    </row>
    <row r="5980" customFormat="false" ht="63.75" hidden="false" customHeight="false" outlineLevel="0" collapsed="false">
      <c r="A5980" s="37" t="s">
        <v>11629</v>
      </c>
      <c r="B5980" s="34" t="s">
        <v>11630</v>
      </c>
      <c r="C5980" s="34" t="s">
        <v>919</v>
      </c>
    </row>
    <row r="5981" customFormat="false" ht="63.75" hidden="false" customHeight="false" outlineLevel="0" collapsed="false">
      <c r="A5981" s="37" t="s">
        <v>11631</v>
      </c>
      <c r="B5981" s="34" t="s">
        <v>11632</v>
      </c>
      <c r="C5981" s="34" t="s">
        <v>919</v>
      </c>
    </row>
    <row r="5982" customFormat="false" ht="63.75" hidden="false" customHeight="false" outlineLevel="0" collapsed="false">
      <c r="A5982" s="37" t="s">
        <v>11633</v>
      </c>
      <c r="B5982" s="34" t="s">
        <v>11634</v>
      </c>
      <c r="C5982" s="34" t="s">
        <v>919</v>
      </c>
    </row>
    <row r="5983" customFormat="false" ht="63.75" hidden="false" customHeight="false" outlineLevel="0" collapsed="false">
      <c r="A5983" s="37" t="s">
        <v>11635</v>
      </c>
      <c r="B5983" s="34" t="s">
        <v>11636</v>
      </c>
      <c r="C5983" s="34" t="s">
        <v>919</v>
      </c>
    </row>
    <row r="5984" customFormat="false" ht="63.75" hidden="false" customHeight="false" outlineLevel="0" collapsed="false">
      <c r="A5984" s="37" t="s">
        <v>11637</v>
      </c>
      <c r="B5984" s="34" t="s">
        <v>11638</v>
      </c>
      <c r="C5984" s="34" t="s">
        <v>919</v>
      </c>
    </row>
    <row r="5985" customFormat="false" ht="63.75" hidden="false" customHeight="false" outlineLevel="0" collapsed="false">
      <c r="A5985" s="37" t="s">
        <v>11639</v>
      </c>
      <c r="B5985" s="34" t="s">
        <v>11640</v>
      </c>
      <c r="C5985" s="34" t="s">
        <v>919</v>
      </c>
    </row>
    <row r="5986" customFormat="false" ht="63.75" hidden="false" customHeight="false" outlineLevel="0" collapsed="false">
      <c r="A5986" s="37" t="s">
        <v>11641</v>
      </c>
      <c r="B5986" s="34" t="s">
        <v>11642</v>
      </c>
      <c r="C5986" s="34" t="s">
        <v>919</v>
      </c>
    </row>
    <row r="5987" customFormat="false" ht="63.75" hidden="false" customHeight="false" outlineLevel="0" collapsed="false">
      <c r="A5987" s="37" t="s">
        <v>11643</v>
      </c>
      <c r="B5987" s="34" t="s">
        <v>11644</v>
      </c>
      <c r="C5987" s="34" t="s">
        <v>919</v>
      </c>
    </row>
    <row r="5988" customFormat="false" ht="63.75" hidden="false" customHeight="false" outlineLevel="0" collapsed="false">
      <c r="A5988" s="37" t="s">
        <v>11645</v>
      </c>
      <c r="B5988" s="34" t="s">
        <v>11646</v>
      </c>
      <c r="C5988" s="34" t="s">
        <v>919</v>
      </c>
    </row>
    <row r="5989" customFormat="false" ht="63.75" hidden="false" customHeight="false" outlineLevel="0" collapsed="false">
      <c r="A5989" s="37" t="s">
        <v>11647</v>
      </c>
      <c r="B5989" s="34" t="s">
        <v>11648</v>
      </c>
      <c r="C5989" s="34" t="s">
        <v>919</v>
      </c>
    </row>
    <row r="5990" customFormat="false" ht="63.75" hidden="false" customHeight="false" outlineLevel="0" collapsed="false">
      <c r="A5990" s="37" t="s">
        <v>11649</v>
      </c>
      <c r="B5990" s="34" t="s">
        <v>11650</v>
      </c>
      <c r="C5990" s="34" t="s">
        <v>919</v>
      </c>
    </row>
    <row r="5991" customFormat="false" ht="51" hidden="false" customHeight="false" outlineLevel="0" collapsed="false">
      <c r="A5991" s="37" t="s">
        <v>11651</v>
      </c>
      <c r="B5991" s="34" t="s">
        <v>951</v>
      </c>
      <c r="C5991" s="34" t="s">
        <v>4109</v>
      </c>
    </row>
    <row r="5992" customFormat="false" ht="51" hidden="false" customHeight="false" outlineLevel="0" collapsed="false">
      <c r="A5992" s="37" t="s">
        <v>11652</v>
      </c>
      <c r="B5992" s="34" t="s">
        <v>11653</v>
      </c>
      <c r="C5992" s="34" t="s">
        <v>4139</v>
      </c>
    </row>
    <row r="5993" customFormat="false" ht="38.25" hidden="false" customHeight="false" outlineLevel="0" collapsed="false">
      <c r="A5993" s="37" t="s">
        <v>11654</v>
      </c>
      <c r="B5993" s="34" t="s">
        <v>11655</v>
      </c>
      <c r="C5993" s="34" t="s">
        <v>4139</v>
      </c>
    </row>
    <row r="5994" customFormat="false" ht="38.25" hidden="false" customHeight="false" outlineLevel="0" collapsed="false">
      <c r="A5994" s="37" t="s">
        <v>11656</v>
      </c>
      <c r="B5994" s="34" t="s">
        <v>11657</v>
      </c>
      <c r="C5994" s="34" t="s">
        <v>4139</v>
      </c>
    </row>
    <row r="5995" customFormat="false" ht="38.25" hidden="false" customHeight="false" outlineLevel="0" collapsed="false">
      <c r="A5995" s="37" t="s">
        <v>11658</v>
      </c>
      <c r="B5995" s="34" t="s">
        <v>11659</v>
      </c>
      <c r="C5995" s="34" t="s">
        <v>4139</v>
      </c>
    </row>
    <row r="5996" customFormat="false" ht="38.25" hidden="false" customHeight="false" outlineLevel="0" collapsed="false">
      <c r="A5996" s="37" t="s">
        <v>11660</v>
      </c>
      <c r="B5996" s="34" t="s">
        <v>11661</v>
      </c>
      <c r="C5996" s="34" t="s">
        <v>4139</v>
      </c>
    </row>
    <row r="5997" customFormat="false" ht="38.25" hidden="false" customHeight="false" outlineLevel="0" collapsed="false">
      <c r="A5997" s="37" t="s">
        <v>11662</v>
      </c>
      <c r="B5997" s="34" t="s">
        <v>11663</v>
      </c>
      <c r="C5997" s="34" t="s">
        <v>965</v>
      </c>
    </row>
    <row r="5998" customFormat="false" ht="38.25" hidden="false" customHeight="false" outlineLevel="0" collapsed="false">
      <c r="A5998" s="37" t="s">
        <v>11664</v>
      </c>
      <c r="B5998" s="34" t="s">
        <v>11665</v>
      </c>
      <c r="C5998" s="34" t="s">
        <v>965</v>
      </c>
    </row>
    <row r="5999" customFormat="false" ht="38.25" hidden="false" customHeight="false" outlineLevel="0" collapsed="false">
      <c r="A5999" s="37" t="s">
        <v>11666</v>
      </c>
      <c r="B5999" s="34" t="s">
        <v>11667</v>
      </c>
      <c r="C5999" s="34" t="s">
        <v>965</v>
      </c>
    </row>
    <row r="6000" customFormat="false" ht="38.25" hidden="false" customHeight="false" outlineLevel="0" collapsed="false">
      <c r="A6000" s="37" t="s">
        <v>11668</v>
      </c>
      <c r="B6000" s="34" t="s">
        <v>11669</v>
      </c>
      <c r="C6000" s="34" t="s">
        <v>965</v>
      </c>
    </row>
    <row r="6001" customFormat="false" ht="38.25" hidden="false" customHeight="false" outlineLevel="0" collapsed="false">
      <c r="A6001" s="37" t="s">
        <v>11670</v>
      </c>
      <c r="B6001" s="34" t="s">
        <v>11669</v>
      </c>
      <c r="C6001" s="34" t="s">
        <v>965</v>
      </c>
    </row>
    <row r="6002" customFormat="false" ht="38.25" hidden="false" customHeight="false" outlineLevel="0" collapsed="false">
      <c r="A6002" s="37" t="s">
        <v>11671</v>
      </c>
      <c r="B6002" s="34" t="s">
        <v>11669</v>
      </c>
      <c r="C6002" s="34" t="s">
        <v>965</v>
      </c>
    </row>
    <row r="6003" customFormat="false" ht="38.25" hidden="false" customHeight="false" outlineLevel="0" collapsed="false">
      <c r="A6003" s="37" t="s">
        <v>11672</v>
      </c>
      <c r="B6003" s="34" t="s">
        <v>11669</v>
      </c>
      <c r="C6003" s="34" t="s">
        <v>965</v>
      </c>
    </row>
    <row r="6004" customFormat="false" ht="38.25" hidden="false" customHeight="false" outlineLevel="0" collapsed="false">
      <c r="A6004" s="37" t="s">
        <v>11673</v>
      </c>
      <c r="B6004" s="34" t="s">
        <v>11669</v>
      </c>
      <c r="C6004" s="34" t="s">
        <v>965</v>
      </c>
    </row>
    <row r="6005" customFormat="false" ht="38.25" hidden="false" customHeight="false" outlineLevel="0" collapsed="false">
      <c r="A6005" s="37" t="s">
        <v>11674</v>
      </c>
      <c r="B6005" s="34" t="s">
        <v>11669</v>
      </c>
      <c r="C6005" s="34" t="s">
        <v>965</v>
      </c>
    </row>
    <row r="6006" customFormat="false" ht="38.25" hidden="false" customHeight="false" outlineLevel="0" collapsed="false">
      <c r="A6006" s="37" t="s">
        <v>11675</v>
      </c>
      <c r="B6006" s="34" t="s">
        <v>11669</v>
      </c>
      <c r="C6006" s="34" t="s">
        <v>965</v>
      </c>
    </row>
    <row r="6007" customFormat="false" ht="38.25" hidden="false" customHeight="false" outlineLevel="0" collapsed="false">
      <c r="A6007" s="37" t="s">
        <v>11676</v>
      </c>
      <c r="B6007" s="34" t="s">
        <v>11669</v>
      </c>
      <c r="C6007" s="34" t="s">
        <v>965</v>
      </c>
    </row>
    <row r="6008" customFormat="false" ht="89.25" hidden="false" customHeight="false" outlineLevel="0" collapsed="false">
      <c r="A6008" s="37" t="s">
        <v>11677</v>
      </c>
      <c r="B6008" s="34" t="s">
        <v>11678</v>
      </c>
      <c r="C6008" s="34" t="s">
        <v>985</v>
      </c>
    </row>
    <row r="6009" customFormat="false" ht="89.25" hidden="false" customHeight="false" outlineLevel="0" collapsed="false">
      <c r="A6009" s="37" t="s">
        <v>11679</v>
      </c>
      <c r="B6009" s="34" t="s">
        <v>11680</v>
      </c>
      <c r="C6009" s="34" t="s">
        <v>988</v>
      </c>
    </row>
    <row r="6010" customFormat="false" ht="76.5" hidden="false" customHeight="false" outlineLevel="0" collapsed="false">
      <c r="A6010" s="37" t="s">
        <v>11681</v>
      </c>
      <c r="B6010" s="34" t="s">
        <v>11682</v>
      </c>
      <c r="C6010" s="34" t="s">
        <v>1661</v>
      </c>
    </row>
    <row r="6011" customFormat="false" ht="51" hidden="false" customHeight="false" outlineLevel="0" collapsed="false">
      <c r="A6011" s="37" t="s">
        <v>11683</v>
      </c>
      <c r="B6011" s="34" t="s">
        <v>11684</v>
      </c>
      <c r="C6011" s="34" t="s">
        <v>965</v>
      </c>
    </row>
    <row r="6012" customFormat="false" ht="51" hidden="false" customHeight="false" outlineLevel="0" collapsed="false">
      <c r="A6012" s="37" t="s">
        <v>11685</v>
      </c>
      <c r="B6012" s="34" t="s">
        <v>11686</v>
      </c>
      <c r="C6012" s="34" t="s">
        <v>965</v>
      </c>
    </row>
    <row r="6013" customFormat="false" ht="63.75" hidden="false" customHeight="false" outlineLevel="0" collapsed="false">
      <c r="A6013" s="37" t="s">
        <v>11687</v>
      </c>
      <c r="B6013" s="34" t="s">
        <v>11688</v>
      </c>
      <c r="C6013" s="34" t="s">
        <v>965</v>
      </c>
    </row>
    <row r="6014" customFormat="false" ht="89.25" hidden="false" customHeight="false" outlineLevel="0" collapsed="false">
      <c r="A6014" s="37" t="s">
        <v>11689</v>
      </c>
      <c r="B6014" s="34" t="s">
        <v>11690</v>
      </c>
      <c r="C6014" s="34" t="s">
        <v>997</v>
      </c>
    </row>
    <row r="6015" customFormat="false" ht="89.25" hidden="false" customHeight="false" outlineLevel="0" collapsed="false">
      <c r="A6015" s="37" t="s">
        <v>11691</v>
      </c>
      <c r="B6015" s="34" t="s">
        <v>11692</v>
      </c>
      <c r="C6015" s="34" t="s">
        <v>997</v>
      </c>
    </row>
    <row r="6016" customFormat="false" ht="38.25" hidden="false" customHeight="false" outlineLevel="0" collapsed="false">
      <c r="A6016" s="37" t="s">
        <v>11693</v>
      </c>
      <c r="B6016" s="34" t="s">
        <v>11694</v>
      </c>
      <c r="C6016" s="34" t="s">
        <v>1002</v>
      </c>
    </row>
    <row r="6017" customFormat="false" ht="76.5" hidden="false" customHeight="false" outlineLevel="0" collapsed="false">
      <c r="A6017" s="37" t="s">
        <v>11695</v>
      </c>
      <c r="B6017" s="34" t="s">
        <v>11696</v>
      </c>
      <c r="C6017" s="34" t="s">
        <v>965</v>
      </c>
    </row>
    <row r="6018" customFormat="false" ht="63.75" hidden="false" customHeight="false" outlineLevel="0" collapsed="false">
      <c r="A6018" s="37" t="s">
        <v>11697</v>
      </c>
      <c r="B6018" s="34" t="s">
        <v>11698</v>
      </c>
      <c r="C6018" s="34" t="s">
        <v>965</v>
      </c>
    </row>
    <row r="6019" customFormat="false" ht="38.25" hidden="false" customHeight="false" outlineLevel="0" collapsed="false">
      <c r="A6019" s="37" t="s">
        <v>11699</v>
      </c>
      <c r="B6019" s="34" t="s">
        <v>2586</v>
      </c>
      <c r="C6019" s="34" t="s">
        <v>965</v>
      </c>
    </row>
    <row r="6020" customFormat="false" ht="63.75" hidden="false" customHeight="false" outlineLevel="0" collapsed="false">
      <c r="A6020" s="37" t="s">
        <v>11700</v>
      </c>
      <c r="B6020" s="34" t="s">
        <v>11701</v>
      </c>
      <c r="C6020" s="34" t="s">
        <v>139</v>
      </c>
    </row>
    <row r="6021" customFormat="false" ht="63.75" hidden="false" customHeight="false" outlineLevel="0" collapsed="false">
      <c r="A6021" s="37" t="s">
        <v>11702</v>
      </c>
      <c r="B6021" s="34" t="s">
        <v>11703</v>
      </c>
      <c r="C6021" s="34" t="s">
        <v>142</v>
      </c>
    </row>
    <row r="6022" customFormat="false" ht="63.75" hidden="false" customHeight="false" outlineLevel="0" collapsed="false">
      <c r="A6022" s="37" t="s">
        <v>11704</v>
      </c>
      <c r="B6022" s="34" t="s">
        <v>11705</v>
      </c>
      <c r="C6022" s="34" t="s">
        <v>11706</v>
      </c>
    </row>
    <row r="6023" customFormat="false" ht="63.75" hidden="false" customHeight="false" outlineLevel="0" collapsed="false">
      <c r="A6023" s="37" t="s">
        <v>11707</v>
      </c>
      <c r="B6023" s="34" t="s">
        <v>11708</v>
      </c>
      <c r="C6023" s="34" t="s">
        <v>1033</v>
      </c>
    </row>
    <row r="6024" customFormat="false" ht="38.25" hidden="false" customHeight="false" outlineLevel="0" collapsed="false">
      <c r="A6024" s="37" t="s">
        <v>11709</v>
      </c>
      <c r="B6024" s="34" t="s">
        <v>11710</v>
      </c>
      <c r="C6024" s="34" t="s">
        <v>687</v>
      </c>
    </row>
    <row r="6025" customFormat="false" ht="51" hidden="false" customHeight="false" outlineLevel="0" collapsed="false">
      <c r="A6025" s="37" t="s">
        <v>11711</v>
      </c>
      <c r="B6025" s="34" t="s">
        <v>1037</v>
      </c>
      <c r="C6025" s="34" t="s">
        <v>1038</v>
      </c>
    </row>
    <row r="6026" customFormat="false" ht="38.25" hidden="false" customHeight="false" outlineLevel="0" collapsed="false">
      <c r="A6026" s="37" t="s">
        <v>11712</v>
      </c>
      <c r="B6026" s="34" t="s">
        <v>11713</v>
      </c>
      <c r="C6026" s="34" t="s">
        <v>1041</v>
      </c>
    </row>
    <row r="6027" customFormat="false" ht="38.25" hidden="false" customHeight="false" outlineLevel="0" collapsed="false">
      <c r="A6027" s="37" t="s">
        <v>11714</v>
      </c>
      <c r="B6027" s="34" t="s">
        <v>11715</v>
      </c>
      <c r="C6027" s="34" t="s">
        <v>1044</v>
      </c>
    </row>
    <row r="6028" customFormat="false" ht="51" hidden="false" customHeight="false" outlineLevel="0" collapsed="false">
      <c r="A6028" s="37" t="s">
        <v>11716</v>
      </c>
      <c r="B6028" s="34" t="s">
        <v>11717</v>
      </c>
      <c r="C6028" s="34" t="s">
        <v>1047</v>
      </c>
    </row>
    <row r="6029" customFormat="false" ht="51" hidden="false" customHeight="false" outlineLevel="0" collapsed="false">
      <c r="A6029" s="37" t="s">
        <v>11718</v>
      </c>
      <c r="B6029" s="34" t="s">
        <v>11719</v>
      </c>
      <c r="C6029" s="34" t="s">
        <v>1050</v>
      </c>
    </row>
    <row r="6030" customFormat="false" ht="51" hidden="false" customHeight="false" outlineLevel="0" collapsed="false">
      <c r="A6030" s="37" t="s">
        <v>11720</v>
      </c>
      <c r="B6030" s="34" t="s">
        <v>11721</v>
      </c>
      <c r="C6030" s="34" t="s">
        <v>1053</v>
      </c>
    </row>
    <row r="6031" customFormat="false" ht="38.25" hidden="false" customHeight="false" outlineLevel="0" collapsed="false">
      <c r="A6031" s="37" t="s">
        <v>11722</v>
      </c>
      <c r="B6031" s="34" t="s">
        <v>11723</v>
      </c>
      <c r="C6031" s="34" t="s">
        <v>1056</v>
      </c>
    </row>
    <row r="6032" customFormat="false" ht="63.75" hidden="false" customHeight="false" outlineLevel="0" collapsed="false">
      <c r="A6032" s="37" t="s">
        <v>11724</v>
      </c>
      <c r="B6032" s="34" t="s">
        <v>11725</v>
      </c>
      <c r="C6032" s="34" t="s">
        <v>1059</v>
      </c>
    </row>
    <row r="6033" customFormat="false" ht="63.75" hidden="false" customHeight="false" outlineLevel="0" collapsed="false">
      <c r="A6033" s="37" t="s">
        <v>11726</v>
      </c>
      <c r="B6033" s="34" t="s">
        <v>11727</v>
      </c>
      <c r="C6033" s="34" t="s">
        <v>139</v>
      </c>
    </row>
    <row r="6034" customFormat="false" ht="63.75" hidden="false" customHeight="false" outlineLevel="0" collapsed="false">
      <c r="A6034" s="37" t="s">
        <v>11728</v>
      </c>
      <c r="B6034" s="34" t="s">
        <v>11729</v>
      </c>
      <c r="C6034" s="34" t="s">
        <v>139</v>
      </c>
    </row>
    <row r="6035" customFormat="false" ht="63.75" hidden="false" customHeight="false" outlineLevel="0" collapsed="false">
      <c r="A6035" s="37" t="s">
        <v>11730</v>
      </c>
      <c r="B6035" s="34" t="s">
        <v>11731</v>
      </c>
      <c r="C6035" s="34" t="s">
        <v>139</v>
      </c>
    </row>
    <row r="6036" customFormat="false" ht="63.75" hidden="false" customHeight="false" outlineLevel="0" collapsed="false">
      <c r="A6036" s="37" t="s">
        <v>11732</v>
      </c>
      <c r="B6036" s="34" t="s">
        <v>11733</v>
      </c>
      <c r="C6036" s="34" t="s">
        <v>139</v>
      </c>
    </row>
    <row r="6037" customFormat="false" ht="102" hidden="false" customHeight="false" outlineLevel="0" collapsed="false">
      <c r="A6037" s="37" t="s">
        <v>11734</v>
      </c>
      <c r="B6037" s="34" t="s">
        <v>11735</v>
      </c>
      <c r="C6037" s="34" t="s">
        <v>4218</v>
      </c>
    </row>
    <row r="6038" customFormat="false" ht="127.5" hidden="false" customHeight="false" outlineLevel="0" collapsed="false">
      <c r="A6038" s="37" t="s">
        <v>11736</v>
      </c>
      <c r="B6038" s="34" t="s">
        <v>11737</v>
      </c>
      <c r="C6038" s="34" t="s">
        <v>1069</v>
      </c>
    </row>
    <row r="6039" customFormat="false" ht="127.5" hidden="false" customHeight="false" outlineLevel="0" collapsed="false">
      <c r="A6039" s="37" t="s">
        <v>11738</v>
      </c>
      <c r="B6039" s="34" t="s">
        <v>11739</v>
      </c>
      <c r="C6039" s="34" t="s">
        <v>1069</v>
      </c>
    </row>
    <row r="6040" customFormat="false" ht="127.5" hidden="false" customHeight="false" outlineLevel="0" collapsed="false">
      <c r="A6040" s="37" t="s">
        <v>11740</v>
      </c>
      <c r="B6040" s="34" t="s">
        <v>11741</v>
      </c>
      <c r="C6040" s="34" t="s">
        <v>1069</v>
      </c>
    </row>
    <row r="6041" customFormat="false" ht="127.5" hidden="false" customHeight="false" outlineLevel="0" collapsed="false">
      <c r="A6041" s="37" t="s">
        <v>11742</v>
      </c>
      <c r="B6041" s="34" t="s">
        <v>11743</v>
      </c>
      <c r="C6041" s="34" t="s">
        <v>1069</v>
      </c>
    </row>
    <row r="6042" customFormat="false" ht="127.5" hidden="false" customHeight="false" outlineLevel="0" collapsed="false">
      <c r="A6042" s="37" t="s">
        <v>11744</v>
      </c>
      <c r="B6042" s="34" t="s">
        <v>11745</v>
      </c>
      <c r="C6042" s="34" t="s">
        <v>1069</v>
      </c>
    </row>
    <row r="6043" customFormat="false" ht="127.5" hidden="false" customHeight="false" outlineLevel="0" collapsed="false">
      <c r="A6043" s="37" t="s">
        <v>11746</v>
      </c>
      <c r="B6043" s="34" t="s">
        <v>11747</v>
      </c>
      <c r="C6043" s="34" t="s">
        <v>1069</v>
      </c>
    </row>
    <row r="6044" customFormat="false" ht="127.5" hidden="false" customHeight="false" outlineLevel="0" collapsed="false">
      <c r="A6044" s="37" t="s">
        <v>11748</v>
      </c>
      <c r="B6044" s="34" t="s">
        <v>11749</v>
      </c>
      <c r="C6044" s="34" t="s">
        <v>1069</v>
      </c>
    </row>
    <row r="6045" customFormat="false" ht="127.5" hidden="false" customHeight="false" outlineLevel="0" collapsed="false">
      <c r="A6045" s="37" t="s">
        <v>11750</v>
      </c>
      <c r="B6045" s="34" t="s">
        <v>11751</v>
      </c>
      <c r="C6045" s="34" t="s">
        <v>1069</v>
      </c>
    </row>
    <row r="6046" customFormat="false" ht="127.5" hidden="false" customHeight="false" outlineLevel="0" collapsed="false">
      <c r="A6046" s="37" t="s">
        <v>11752</v>
      </c>
      <c r="B6046" s="34" t="s">
        <v>11753</v>
      </c>
      <c r="C6046" s="34" t="s">
        <v>1069</v>
      </c>
    </row>
    <row r="6047" customFormat="false" ht="114.75" hidden="false" customHeight="false" outlineLevel="0" collapsed="false">
      <c r="A6047" s="37" t="s">
        <v>11754</v>
      </c>
      <c r="B6047" s="34" t="s">
        <v>11755</v>
      </c>
      <c r="C6047" s="34" t="s">
        <v>4230</v>
      </c>
    </row>
    <row r="6048" customFormat="false" ht="127.5" hidden="false" customHeight="false" outlineLevel="0" collapsed="false">
      <c r="A6048" s="37" t="s">
        <v>11756</v>
      </c>
      <c r="B6048" s="34" t="s">
        <v>11757</v>
      </c>
      <c r="C6048" s="34" t="s">
        <v>1069</v>
      </c>
    </row>
    <row r="6049" customFormat="false" ht="127.5" hidden="false" customHeight="false" outlineLevel="0" collapsed="false">
      <c r="A6049" s="37" t="s">
        <v>11758</v>
      </c>
      <c r="B6049" s="34" t="s">
        <v>11759</v>
      </c>
      <c r="C6049" s="34" t="s">
        <v>1732</v>
      </c>
    </row>
    <row r="6050" customFormat="false" ht="102" hidden="false" customHeight="false" outlineLevel="0" collapsed="false">
      <c r="A6050" s="37" t="s">
        <v>11760</v>
      </c>
      <c r="B6050" s="34" t="s">
        <v>11761</v>
      </c>
      <c r="C6050" s="34" t="s">
        <v>1737</v>
      </c>
    </row>
    <row r="6051" customFormat="false" ht="127.5" hidden="false" customHeight="false" outlineLevel="0" collapsed="false">
      <c r="A6051" s="37" t="s">
        <v>11762</v>
      </c>
      <c r="B6051" s="34" t="s">
        <v>11763</v>
      </c>
      <c r="C6051" s="34" t="s">
        <v>1732</v>
      </c>
    </row>
    <row r="6052" customFormat="false" ht="102" hidden="false" customHeight="false" outlineLevel="0" collapsed="false">
      <c r="A6052" s="37" t="s">
        <v>11764</v>
      </c>
      <c r="B6052" s="34" t="s">
        <v>11765</v>
      </c>
      <c r="C6052" s="34" t="s">
        <v>1737</v>
      </c>
    </row>
    <row r="6053" customFormat="false" ht="102" hidden="false" customHeight="false" outlineLevel="0" collapsed="false">
      <c r="A6053" s="37" t="s">
        <v>11766</v>
      </c>
      <c r="B6053" s="34" t="s">
        <v>11767</v>
      </c>
      <c r="C6053" s="34" t="s">
        <v>1737</v>
      </c>
    </row>
    <row r="6054" customFormat="false" ht="102" hidden="false" customHeight="false" outlineLevel="0" collapsed="false">
      <c r="A6054" s="37" t="s">
        <v>11768</v>
      </c>
      <c r="B6054" s="34" t="s">
        <v>11769</v>
      </c>
      <c r="C6054" s="34" t="s">
        <v>1737</v>
      </c>
    </row>
    <row r="6055" customFormat="false" ht="76.5" hidden="false" customHeight="false" outlineLevel="0" collapsed="false">
      <c r="A6055" s="37" t="s">
        <v>11770</v>
      </c>
      <c r="B6055" s="34" t="s">
        <v>11771</v>
      </c>
      <c r="C6055" s="34" t="s">
        <v>1741</v>
      </c>
    </row>
    <row r="6056" customFormat="false" ht="63.75" hidden="false" customHeight="false" outlineLevel="0" collapsed="false">
      <c r="A6056" s="37" t="s">
        <v>11772</v>
      </c>
      <c r="B6056" s="34" t="s">
        <v>11773</v>
      </c>
      <c r="C6056" s="34" t="s">
        <v>1744</v>
      </c>
    </row>
    <row r="6057" customFormat="false" ht="102" hidden="false" customHeight="false" outlineLevel="0" collapsed="false">
      <c r="A6057" s="37" t="s">
        <v>11774</v>
      </c>
      <c r="B6057" s="34" t="s">
        <v>11775</v>
      </c>
      <c r="C6057" s="34" t="s">
        <v>177</v>
      </c>
    </row>
    <row r="6058" customFormat="false" ht="102" hidden="false" customHeight="false" outlineLevel="0" collapsed="false">
      <c r="A6058" s="37" t="s">
        <v>11776</v>
      </c>
      <c r="B6058" s="34" t="s">
        <v>11777</v>
      </c>
      <c r="C6058" s="34" t="s">
        <v>177</v>
      </c>
    </row>
    <row r="6059" customFormat="false" ht="102" hidden="false" customHeight="false" outlineLevel="0" collapsed="false">
      <c r="A6059" s="37" t="s">
        <v>11778</v>
      </c>
      <c r="B6059" s="34" t="s">
        <v>11779</v>
      </c>
      <c r="C6059" s="34" t="s">
        <v>1737</v>
      </c>
    </row>
    <row r="6060" customFormat="false" ht="102" hidden="false" customHeight="false" outlineLevel="0" collapsed="false">
      <c r="A6060" s="37" t="s">
        <v>11780</v>
      </c>
      <c r="B6060" s="34" t="s">
        <v>11781</v>
      </c>
      <c r="C6060" s="34" t="s">
        <v>1737</v>
      </c>
    </row>
    <row r="6061" customFormat="false" ht="127.5" hidden="false" customHeight="false" outlineLevel="0" collapsed="false">
      <c r="A6061" s="37" t="s">
        <v>11782</v>
      </c>
      <c r="B6061" s="34" t="s">
        <v>11783</v>
      </c>
      <c r="C6061" s="34" t="s">
        <v>186</v>
      </c>
    </row>
    <row r="6062" customFormat="false" ht="114.75" hidden="false" customHeight="false" outlineLevel="0" collapsed="false">
      <c r="A6062" s="37" t="s">
        <v>11784</v>
      </c>
      <c r="B6062" s="34" t="s">
        <v>11785</v>
      </c>
      <c r="C6062" s="34" t="s">
        <v>3372</v>
      </c>
    </row>
    <row r="6063" customFormat="false" ht="51" hidden="false" customHeight="false" outlineLevel="0" collapsed="false">
      <c r="A6063" s="37" t="s">
        <v>11786</v>
      </c>
      <c r="B6063" s="34" t="s">
        <v>11787</v>
      </c>
      <c r="C6063" s="34" t="s">
        <v>965</v>
      </c>
    </row>
    <row r="6064" customFormat="false" ht="89.25" hidden="false" customHeight="false" outlineLevel="0" collapsed="false">
      <c r="A6064" s="37" t="s">
        <v>11788</v>
      </c>
      <c r="B6064" s="34" t="s">
        <v>11789</v>
      </c>
      <c r="C6064" s="34" t="s">
        <v>4265</v>
      </c>
    </row>
    <row r="6065" customFormat="false" ht="63.75" hidden="false" customHeight="false" outlineLevel="0" collapsed="false">
      <c r="A6065" s="37" t="s">
        <v>11790</v>
      </c>
      <c r="B6065" s="34" t="s">
        <v>11791</v>
      </c>
      <c r="C6065" s="34" t="s">
        <v>139</v>
      </c>
    </row>
    <row r="6066" customFormat="false" ht="63.75" hidden="false" customHeight="false" outlineLevel="0" collapsed="false">
      <c r="A6066" s="37" t="s">
        <v>11792</v>
      </c>
      <c r="B6066" s="34" t="s">
        <v>11793</v>
      </c>
      <c r="C6066" s="34" t="s">
        <v>139</v>
      </c>
    </row>
    <row r="6067" customFormat="false" ht="63.75" hidden="false" customHeight="false" outlineLevel="0" collapsed="false">
      <c r="A6067" s="37" t="s">
        <v>11794</v>
      </c>
      <c r="B6067" s="34" t="s">
        <v>11795</v>
      </c>
      <c r="C6067" s="34" t="s">
        <v>139</v>
      </c>
    </row>
    <row r="6068" customFormat="false" ht="63.75" hidden="false" customHeight="false" outlineLevel="0" collapsed="false">
      <c r="A6068" s="37" t="s">
        <v>11796</v>
      </c>
      <c r="B6068" s="34" t="s">
        <v>11797</v>
      </c>
      <c r="C6068" s="34" t="s">
        <v>139</v>
      </c>
    </row>
    <row r="6069" customFormat="false" ht="51" hidden="false" customHeight="false" outlineLevel="0" collapsed="false">
      <c r="A6069" s="37" t="s">
        <v>11798</v>
      </c>
      <c r="B6069" s="34" t="s">
        <v>11799</v>
      </c>
      <c r="C6069" s="34" t="s">
        <v>965</v>
      </c>
    </row>
    <row r="6070" customFormat="false" ht="38.25" hidden="false" customHeight="false" outlineLevel="0" collapsed="false">
      <c r="A6070" s="37" t="s">
        <v>11800</v>
      </c>
      <c r="B6070" s="34" t="s">
        <v>11801</v>
      </c>
      <c r="C6070" s="34" t="s">
        <v>965</v>
      </c>
    </row>
    <row r="6071" customFormat="false" ht="76.5" hidden="false" customHeight="false" outlineLevel="0" collapsed="false">
      <c r="A6071" s="37" t="s">
        <v>11802</v>
      </c>
      <c r="B6071" s="34" t="s">
        <v>11803</v>
      </c>
      <c r="C6071" s="34" t="s">
        <v>139</v>
      </c>
    </row>
    <row r="6072" customFormat="false" ht="63.75" hidden="false" customHeight="false" outlineLevel="0" collapsed="false">
      <c r="A6072" s="37" t="s">
        <v>11804</v>
      </c>
      <c r="B6072" s="34" t="s">
        <v>11805</v>
      </c>
      <c r="C6072" s="34" t="s">
        <v>4281</v>
      </c>
    </row>
    <row r="6073" customFormat="false" ht="102" hidden="false" customHeight="false" outlineLevel="0" collapsed="false">
      <c r="A6073" s="37" t="s">
        <v>11806</v>
      </c>
      <c r="B6073" s="34" t="s">
        <v>11807</v>
      </c>
      <c r="C6073" s="34" t="s">
        <v>4283</v>
      </c>
    </row>
    <row r="6074" customFormat="false" ht="127.5" hidden="false" customHeight="false" outlineLevel="0" collapsed="false">
      <c r="A6074" s="37" t="s">
        <v>11808</v>
      </c>
      <c r="B6074" s="34" t="s">
        <v>11809</v>
      </c>
      <c r="C6074" s="34" t="s">
        <v>1079</v>
      </c>
    </row>
    <row r="6075" customFormat="false" ht="127.5" hidden="false" customHeight="false" outlineLevel="0" collapsed="false">
      <c r="A6075" s="37" t="s">
        <v>11810</v>
      </c>
      <c r="B6075" s="34" t="s">
        <v>11811</v>
      </c>
      <c r="C6075" s="34" t="s">
        <v>1079</v>
      </c>
    </row>
    <row r="6076" customFormat="false" ht="127.5" hidden="false" customHeight="false" outlineLevel="0" collapsed="false">
      <c r="A6076" s="37" t="s">
        <v>11812</v>
      </c>
      <c r="B6076" s="34" t="s">
        <v>11813</v>
      </c>
      <c r="C6076" s="34" t="s">
        <v>1079</v>
      </c>
    </row>
    <row r="6077" customFormat="false" ht="127.5" hidden="false" customHeight="false" outlineLevel="0" collapsed="false">
      <c r="A6077" s="37" t="s">
        <v>11814</v>
      </c>
      <c r="B6077" s="34" t="s">
        <v>11815</v>
      </c>
      <c r="C6077" s="34" t="s">
        <v>1079</v>
      </c>
    </row>
    <row r="6078" customFormat="false" ht="127.5" hidden="false" customHeight="false" outlineLevel="0" collapsed="false">
      <c r="A6078" s="37" t="s">
        <v>11816</v>
      </c>
      <c r="B6078" s="34" t="s">
        <v>11817</v>
      </c>
      <c r="C6078" s="34" t="s">
        <v>1079</v>
      </c>
    </row>
    <row r="6079" customFormat="false" ht="127.5" hidden="false" customHeight="false" outlineLevel="0" collapsed="false">
      <c r="A6079" s="37" t="s">
        <v>11818</v>
      </c>
      <c r="B6079" s="34" t="s">
        <v>11819</v>
      </c>
      <c r="C6079" s="34" t="s">
        <v>1079</v>
      </c>
    </row>
    <row r="6080" customFormat="false" ht="127.5" hidden="false" customHeight="false" outlineLevel="0" collapsed="false">
      <c r="A6080" s="37" t="s">
        <v>11820</v>
      </c>
      <c r="B6080" s="34" t="s">
        <v>11821</v>
      </c>
      <c r="C6080" s="34" t="s">
        <v>1079</v>
      </c>
    </row>
    <row r="6081" customFormat="false" ht="127.5" hidden="false" customHeight="false" outlineLevel="0" collapsed="false">
      <c r="A6081" s="37" t="s">
        <v>11822</v>
      </c>
      <c r="B6081" s="34" t="s">
        <v>11823</v>
      </c>
      <c r="C6081" s="34" t="s">
        <v>1079</v>
      </c>
    </row>
    <row r="6082" customFormat="false" ht="127.5" hidden="false" customHeight="false" outlineLevel="0" collapsed="false">
      <c r="A6082" s="37" t="s">
        <v>11824</v>
      </c>
      <c r="B6082" s="34" t="s">
        <v>11825</v>
      </c>
      <c r="C6082" s="34" t="s">
        <v>1079</v>
      </c>
    </row>
    <row r="6083" customFormat="false" ht="114.75" hidden="false" customHeight="false" outlineLevel="0" collapsed="false">
      <c r="A6083" s="37" t="s">
        <v>11826</v>
      </c>
      <c r="B6083" s="34" t="s">
        <v>11827</v>
      </c>
      <c r="C6083" s="34" t="s">
        <v>4295</v>
      </c>
    </row>
    <row r="6084" customFormat="false" ht="127.5" hidden="false" customHeight="false" outlineLevel="0" collapsed="false">
      <c r="A6084" s="37" t="s">
        <v>11828</v>
      </c>
      <c r="B6084" s="34" t="s">
        <v>11829</v>
      </c>
      <c r="C6084" s="34" t="s">
        <v>1069</v>
      </c>
    </row>
    <row r="6085" customFormat="false" ht="127.5" hidden="false" customHeight="false" outlineLevel="0" collapsed="false">
      <c r="A6085" s="37" t="s">
        <v>11830</v>
      </c>
      <c r="B6085" s="34" t="s">
        <v>11831</v>
      </c>
      <c r="C6085" s="34" t="s">
        <v>1732</v>
      </c>
    </row>
    <row r="6086" customFormat="false" ht="102" hidden="false" customHeight="false" outlineLevel="0" collapsed="false">
      <c r="A6086" s="37" t="s">
        <v>11832</v>
      </c>
      <c r="B6086" s="34" t="s">
        <v>11833</v>
      </c>
      <c r="C6086" s="34" t="s">
        <v>1737</v>
      </c>
    </row>
    <row r="6087" customFormat="false" ht="127.5" hidden="false" customHeight="false" outlineLevel="0" collapsed="false">
      <c r="A6087" s="37" t="s">
        <v>11834</v>
      </c>
      <c r="B6087" s="34" t="s">
        <v>11835</v>
      </c>
      <c r="C6087" s="34" t="s">
        <v>1732</v>
      </c>
    </row>
    <row r="6088" customFormat="false" ht="102" hidden="false" customHeight="false" outlineLevel="0" collapsed="false">
      <c r="A6088" s="37" t="s">
        <v>11836</v>
      </c>
      <c r="B6088" s="34" t="s">
        <v>11837</v>
      </c>
      <c r="C6088" s="34" t="s">
        <v>1737</v>
      </c>
    </row>
    <row r="6089" customFormat="false" ht="102" hidden="false" customHeight="false" outlineLevel="0" collapsed="false">
      <c r="A6089" s="37" t="s">
        <v>11838</v>
      </c>
      <c r="B6089" s="34" t="s">
        <v>11839</v>
      </c>
      <c r="C6089" s="34" t="s">
        <v>1737</v>
      </c>
    </row>
    <row r="6090" customFormat="false" ht="102" hidden="false" customHeight="false" outlineLevel="0" collapsed="false">
      <c r="A6090" s="37" t="s">
        <v>11840</v>
      </c>
      <c r="B6090" s="34" t="s">
        <v>11841</v>
      </c>
      <c r="C6090" s="34" t="s">
        <v>1737</v>
      </c>
    </row>
    <row r="6091" customFormat="false" ht="76.5" hidden="false" customHeight="false" outlineLevel="0" collapsed="false">
      <c r="A6091" s="37" t="s">
        <v>11842</v>
      </c>
      <c r="B6091" s="34" t="s">
        <v>11843</v>
      </c>
      <c r="C6091" s="34" t="s">
        <v>1741</v>
      </c>
    </row>
    <row r="6092" customFormat="false" ht="63.75" hidden="false" customHeight="false" outlineLevel="0" collapsed="false">
      <c r="A6092" s="37" t="s">
        <v>11844</v>
      </c>
      <c r="B6092" s="34" t="s">
        <v>11845</v>
      </c>
      <c r="C6092" s="34" t="s">
        <v>1801</v>
      </c>
    </row>
    <row r="6093" customFormat="false" ht="102" hidden="false" customHeight="false" outlineLevel="0" collapsed="false">
      <c r="A6093" s="37" t="s">
        <v>11846</v>
      </c>
      <c r="B6093" s="34" t="s">
        <v>11847</v>
      </c>
      <c r="C6093" s="34" t="s">
        <v>221</v>
      </c>
    </row>
    <row r="6094" customFormat="false" ht="102" hidden="false" customHeight="false" outlineLevel="0" collapsed="false">
      <c r="A6094" s="37" t="s">
        <v>11848</v>
      </c>
      <c r="B6094" s="34" t="s">
        <v>11849</v>
      </c>
      <c r="C6094" s="34" t="s">
        <v>221</v>
      </c>
    </row>
    <row r="6095" customFormat="false" ht="102" hidden="false" customHeight="false" outlineLevel="0" collapsed="false">
      <c r="A6095" s="37" t="s">
        <v>11850</v>
      </c>
      <c r="B6095" s="34" t="s">
        <v>11851</v>
      </c>
      <c r="C6095" s="34" t="s">
        <v>1737</v>
      </c>
    </row>
    <row r="6096" customFormat="false" ht="89.25" hidden="false" customHeight="false" outlineLevel="0" collapsed="false">
      <c r="A6096" s="37" t="s">
        <v>11852</v>
      </c>
      <c r="B6096" s="34" t="s">
        <v>11853</v>
      </c>
      <c r="C6096" s="34" t="s">
        <v>210</v>
      </c>
    </row>
    <row r="6097" customFormat="false" ht="127.5" hidden="false" customHeight="false" outlineLevel="0" collapsed="false">
      <c r="A6097" s="37" t="s">
        <v>11854</v>
      </c>
      <c r="B6097" s="34" t="s">
        <v>11855</v>
      </c>
      <c r="C6097" s="34" t="s">
        <v>230</v>
      </c>
    </row>
    <row r="6098" customFormat="false" ht="114.75" hidden="false" customHeight="false" outlineLevel="0" collapsed="false">
      <c r="A6098" s="37" t="s">
        <v>11856</v>
      </c>
      <c r="B6098" s="34" t="s">
        <v>11857</v>
      </c>
      <c r="C6098" s="34" t="s">
        <v>3428</v>
      </c>
    </row>
    <row r="6099" customFormat="false" ht="51" hidden="false" customHeight="false" outlineLevel="0" collapsed="false">
      <c r="A6099" s="37" t="s">
        <v>11858</v>
      </c>
      <c r="B6099" s="34" t="s">
        <v>11859</v>
      </c>
      <c r="C6099" s="34" t="s">
        <v>965</v>
      </c>
    </row>
    <row r="6100" customFormat="false" ht="89.25" hidden="false" customHeight="false" outlineLevel="0" collapsed="false">
      <c r="A6100" s="37" t="s">
        <v>11860</v>
      </c>
      <c r="B6100" s="34" t="s">
        <v>11861</v>
      </c>
      <c r="C6100" s="34" t="s">
        <v>4329</v>
      </c>
    </row>
    <row r="6101" customFormat="false" ht="63.75" hidden="false" customHeight="false" outlineLevel="0" collapsed="false">
      <c r="A6101" s="37" t="s">
        <v>11862</v>
      </c>
      <c r="B6101" s="34" t="s">
        <v>11863</v>
      </c>
      <c r="C6101" s="34" t="s">
        <v>139</v>
      </c>
    </row>
    <row r="6102" customFormat="false" ht="63.75" hidden="false" customHeight="false" outlineLevel="0" collapsed="false">
      <c r="A6102" s="37" t="s">
        <v>11864</v>
      </c>
      <c r="B6102" s="34" t="s">
        <v>11865</v>
      </c>
      <c r="C6102" s="34" t="s">
        <v>139</v>
      </c>
    </row>
    <row r="6103" customFormat="false" ht="63.75" hidden="false" customHeight="false" outlineLevel="0" collapsed="false">
      <c r="A6103" s="37" t="s">
        <v>11866</v>
      </c>
      <c r="B6103" s="34" t="s">
        <v>11867</v>
      </c>
      <c r="C6103" s="34" t="s">
        <v>139</v>
      </c>
    </row>
    <row r="6104" customFormat="false" ht="63.75" hidden="false" customHeight="false" outlineLevel="0" collapsed="false">
      <c r="A6104" s="37" t="s">
        <v>11868</v>
      </c>
      <c r="B6104" s="34" t="s">
        <v>3436</v>
      </c>
      <c r="C6104" s="34" t="s">
        <v>139</v>
      </c>
    </row>
    <row r="6105" customFormat="false" ht="51" hidden="false" customHeight="false" outlineLevel="0" collapsed="false">
      <c r="A6105" s="37" t="s">
        <v>11869</v>
      </c>
      <c r="B6105" s="34" t="s">
        <v>11870</v>
      </c>
      <c r="C6105" s="34" t="s">
        <v>965</v>
      </c>
    </row>
    <row r="6106" customFormat="false" ht="38.25" hidden="false" customHeight="false" outlineLevel="0" collapsed="false">
      <c r="A6106" s="37" t="s">
        <v>11871</v>
      </c>
      <c r="B6106" s="34" t="s">
        <v>11872</v>
      </c>
      <c r="C6106" s="34" t="s">
        <v>965</v>
      </c>
    </row>
    <row r="6107" customFormat="false" ht="76.5" hidden="false" customHeight="false" outlineLevel="0" collapsed="false">
      <c r="A6107" s="37" t="s">
        <v>11873</v>
      </c>
      <c r="B6107" s="34" t="s">
        <v>11874</v>
      </c>
      <c r="C6107" s="34" t="s">
        <v>139</v>
      </c>
    </row>
    <row r="6108" customFormat="false" ht="89.25" hidden="false" customHeight="false" outlineLevel="0" collapsed="false">
      <c r="A6108" s="37" t="s">
        <v>11875</v>
      </c>
      <c r="B6108" s="34" t="s">
        <v>11876</v>
      </c>
      <c r="C6108" s="34" t="s">
        <v>4281</v>
      </c>
    </row>
    <row r="6109" customFormat="false" ht="102" hidden="false" customHeight="false" outlineLevel="0" collapsed="false">
      <c r="A6109" s="37" t="s">
        <v>11877</v>
      </c>
      <c r="B6109" s="34" t="s">
        <v>11878</v>
      </c>
      <c r="C6109" s="34" t="s">
        <v>4346</v>
      </c>
    </row>
    <row r="6110" customFormat="false" ht="127.5" hidden="false" customHeight="false" outlineLevel="0" collapsed="false">
      <c r="A6110" s="37" t="s">
        <v>11879</v>
      </c>
      <c r="B6110" s="34" t="s">
        <v>11880</v>
      </c>
      <c r="C6110" s="34" t="s">
        <v>1089</v>
      </c>
    </row>
    <row r="6111" customFormat="false" ht="127.5" hidden="false" customHeight="false" outlineLevel="0" collapsed="false">
      <c r="A6111" s="37" t="s">
        <v>11881</v>
      </c>
      <c r="B6111" s="34" t="s">
        <v>11882</v>
      </c>
      <c r="C6111" s="34" t="s">
        <v>1089</v>
      </c>
    </row>
    <row r="6112" customFormat="false" ht="127.5" hidden="false" customHeight="false" outlineLevel="0" collapsed="false">
      <c r="A6112" s="37" t="s">
        <v>11883</v>
      </c>
      <c r="B6112" s="34" t="s">
        <v>11884</v>
      </c>
      <c r="C6112" s="34" t="s">
        <v>1089</v>
      </c>
    </row>
    <row r="6113" customFormat="false" ht="127.5" hidden="false" customHeight="false" outlineLevel="0" collapsed="false">
      <c r="A6113" s="37" t="s">
        <v>11885</v>
      </c>
      <c r="B6113" s="34" t="s">
        <v>11886</v>
      </c>
      <c r="C6113" s="34" t="s">
        <v>1089</v>
      </c>
    </row>
    <row r="6114" customFormat="false" ht="127.5" hidden="false" customHeight="false" outlineLevel="0" collapsed="false">
      <c r="A6114" s="37" t="s">
        <v>11887</v>
      </c>
      <c r="B6114" s="34" t="s">
        <v>11888</v>
      </c>
      <c r="C6114" s="34" t="s">
        <v>1089</v>
      </c>
    </row>
    <row r="6115" customFormat="false" ht="127.5" hidden="false" customHeight="false" outlineLevel="0" collapsed="false">
      <c r="A6115" s="37" t="s">
        <v>11889</v>
      </c>
      <c r="B6115" s="34" t="s">
        <v>11890</v>
      </c>
      <c r="C6115" s="34" t="s">
        <v>1089</v>
      </c>
    </row>
    <row r="6116" customFormat="false" ht="127.5" hidden="false" customHeight="false" outlineLevel="0" collapsed="false">
      <c r="A6116" s="37" t="s">
        <v>11891</v>
      </c>
      <c r="B6116" s="34" t="s">
        <v>11892</v>
      </c>
      <c r="C6116" s="34" t="s">
        <v>1089</v>
      </c>
    </row>
    <row r="6117" customFormat="false" ht="127.5" hidden="false" customHeight="false" outlineLevel="0" collapsed="false">
      <c r="A6117" s="37" t="s">
        <v>11893</v>
      </c>
      <c r="B6117" s="34" t="s">
        <v>11894</v>
      </c>
      <c r="C6117" s="34" t="s">
        <v>1089</v>
      </c>
    </row>
    <row r="6118" customFormat="false" ht="127.5" hidden="false" customHeight="false" outlineLevel="0" collapsed="false">
      <c r="A6118" s="37" t="s">
        <v>11895</v>
      </c>
      <c r="B6118" s="34" t="s">
        <v>11896</v>
      </c>
      <c r="C6118" s="34" t="s">
        <v>1089</v>
      </c>
    </row>
    <row r="6119" customFormat="false" ht="114.75" hidden="false" customHeight="false" outlineLevel="0" collapsed="false">
      <c r="A6119" s="37" t="s">
        <v>11897</v>
      </c>
      <c r="B6119" s="34" t="s">
        <v>11898</v>
      </c>
      <c r="C6119" s="34" t="s">
        <v>4358</v>
      </c>
    </row>
    <row r="6120" customFormat="false" ht="127.5" hidden="false" customHeight="false" outlineLevel="0" collapsed="false">
      <c r="A6120" s="37" t="s">
        <v>11899</v>
      </c>
      <c r="B6120" s="34" t="s">
        <v>11900</v>
      </c>
      <c r="C6120" s="34" t="s">
        <v>1069</v>
      </c>
    </row>
    <row r="6121" customFormat="false" ht="127.5" hidden="false" customHeight="false" outlineLevel="0" collapsed="false">
      <c r="A6121" s="37" t="s">
        <v>11901</v>
      </c>
      <c r="B6121" s="34" t="s">
        <v>11902</v>
      </c>
      <c r="C6121" s="34" t="s">
        <v>1732</v>
      </c>
    </row>
    <row r="6122" customFormat="false" ht="102" hidden="false" customHeight="false" outlineLevel="0" collapsed="false">
      <c r="A6122" s="37" t="s">
        <v>11903</v>
      </c>
      <c r="B6122" s="34" t="s">
        <v>11904</v>
      </c>
      <c r="C6122" s="34" t="s">
        <v>1737</v>
      </c>
    </row>
    <row r="6123" customFormat="false" ht="127.5" hidden="false" customHeight="false" outlineLevel="0" collapsed="false">
      <c r="A6123" s="37" t="s">
        <v>11905</v>
      </c>
      <c r="B6123" s="34" t="s">
        <v>11906</v>
      </c>
      <c r="C6123" s="34" t="s">
        <v>1732</v>
      </c>
    </row>
    <row r="6124" customFormat="false" ht="102" hidden="false" customHeight="false" outlineLevel="0" collapsed="false">
      <c r="A6124" s="37" t="s">
        <v>11907</v>
      </c>
      <c r="B6124" s="34" t="s">
        <v>11908</v>
      </c>
      <c r="C6124" s="34" t="s">
        <v>1737</v>
      </c>
    </row>
    <row r="6125" customFormat="false" ht="102" hidden="false" customHeight="false" outlineLevel="0" collapsed="false">
      <c r="A6125" s="37" t="s">
        <v>11909</v>
      </c>
      <c r="B6125" s="34" t="s">
        <v>11910</v>
      </c>
      <c r="C6125" s="34" t="s">
        <v>1737</v>
      </c>
    </row>
    <row r="6126" customFormat="false" ht="102" hidden="false" customHeight="false" outlineLevel="0" collapsed="false">
      <c r="A6126" s="37" t="s">
        <v>11911</v>
      </c>
      <c r="B6126" s="34" t="s">
        <v>11912</v>
      </c>
      <c r="C6126" s="34" t="s">
        <v>1737</v>
      </c>
    </row>
    <row r="6127" customFormat="false" ht="76.5" hidden="false" customHeight="false" outlineLevel="0" collapsed="false">
      <c r="A6127" s="37" t="s">
        <v>11913</v>
      </c>
      <c r="B6127" s="34" t="s">
        <v>11914</v>
      </c>
      <c r="C6127" s="34" t="s">
        <v>1741</v>
      </c>
    </row>
    <row r="6128" customFormat="false" ht="63.75" hidden="false" customHeight="false" outlineLevel="0" collapsed="false">
      <c r="A6128" s="37" t="s">
        <v>11915</v>
      </c>
      <c r="B6128" s="34" t="s">
        <v>4376</v>
      </c>
      <c r="C6128" s="34" t="s">
        <v>1859</v>
      </c>
    </row>
    <row r="6129" customFormat="false" ht="102" hidden="false" customHeight="false" outlineLevel="0" collapsed="false">
      <c r="A6129" s="37" t="s">
        <v>11916</v>
      </c>
      <c r="B6129" s="34" t="s">
        <v>4378</v>
      </c>
      <c r="C6129" s="34" t="s">
        <v>265</v>
      </c>
    </row>
    <row r="6130" customFormat="false" ht="102" hidden="false" customHeight="false" outlineLevel="0" collapsed="false">
      <c r="A6130" s="37" t="s">
        <v>11917</v>
      </c>
      <c r="B6130" s="34" t="s">
        <v>4380</v>
      </c>
      <c r="C6130" s="34" t="s">
        <v>265</v>
      </c>
    </row>
    <row r="6131" customFormat="false" ht="102" hidden="false" customHeight="false" outlineLevel="0" collapsed="false">
      <c r="A6131" s="37" t="s">
        <v>11918</v>
      </c>
      <c r="B6131" s="34" t="s">
        <v>11919</v>
      </c>
      <c r="C6131" s="34" t="s">
        <v>1737</v>
      </c>
    </row>
    <row r="6132" customFormat="false" ht="89.25" hidden="false" customHeight="false" outlineLevel="0" collapsed="false">
      <c r="A6132" s="37" t="s">
        <v>11920</v>
      </c>
      <c r="B6132" s="34" t="s">
        <v>11921</v>
      </c>
      <c r="C6132" s="34" t="s">
        <v>254</v>
      </c>
    </row>
    <row r="6133" customFormat="false" ht="127.5" hidden="false" customHeight="false" outlineLevel="0" collapsed="false">
      <c r="A6133" s="37" t="s">
        <v>11922</v>
      </c>
      <c r="B6133" s="34" t="s">
        <v>11923</v>
      </c>
      <c r="C6133" s="34" t="s">
        <v>274</v>
      </c>
    </row>
    <row r="6134" customFormat="false" ht="114.75" hidden="false" customHeight="false" outlineLevel="0" collapsed="false">
      <c r="A6134" s="37" t="s">
        <v>11924</v>
      </c>
      <c r="B6134" s="34" t="s">
        <v>11925</v>
      </c>
      <c r="C6134" s="34" t="s">
        <v>3483</v>
      </c>
    </row>
    <row r="6135" customFormat="false" ht="51" hidden="false" customHeight="false" outlineLevel="0" collapsed="false">
      <c r="A6135" s="37" t="s">
        <v>11926</v>
      </c>
      <c r="B6135" s="34" t="s">
        <v>11927</v>
      </c>
      <c r="C6135" s="34" t="s">
        <v>965</v>
      </c>
    </row>
    <row r="6136" customFormat="false" ht="89.25" hidden="false" customHeight="false" outlineLevel="0" collapsed="false">
      <c r="A6136" s="37" t="s">
        <v>11928</v>
      </c>
      <c r="B6136" s="34" t="s">
        <v>11929</v>
      </c>
      <c r="C6136" s="34" t="s">
        <v>4393</v>
      </c>
    </row>
    <row r="6137" customFormat="false" ht="63.75" hidden="false" customHeight="false" outlineLevel="0" collapsed="false">
      <c r="A6137" s="37" t="s">
        <v>11930</v>
      </c>
      <c r="B6137" s="34" t="s">
        <v>11931</v>
      </c>
      <c r="C6137" s="34" t="s">
        <v>139</v>
      </c>
    </row>
    <row r="6138" customFormat="false" ht="63.75" hidden="false" customHeight="false" outlineLevel="0" collapsed="false">
      <c r="A6138" s="37" t="s">
        <v>11932</v>
      </c>
      <c r="B6138" s="34" t="s">
        <v>11933</v>
      </c>
      <c r="C6138" s="34" t="s">
        <v>139</v>
      </c>
    </row>
    <row r="6139" customFormat="false" ht="63.75" hidden="false" customHeight="false" outlineLevel="0" collapsed="false">
      <c r="A6139" s="37" t="s">
        <v>11934</v>
      </c>
      <c r="B6139" s="34" t="s">
        <v>11935</v>
      </c>
      <c r="C6139" s="34" t="s">
        <v>139</v>
      </c>
    </row>
    <row r="6140" customFormat="false" ht="63.75" hidden="false" customHeight="false" outlineLevel="0" collapsed="false">
      <c r="A6140" s="37" t="s">
        <v>11936</v>
      </c>
      <c r="B6140" s="34" t="s">
        <v>11937</v>
      </c>
      <c r="C6140" s="34" t="s">
        <v>139</v>
      </c>
    </row>
    <row r="6141" customFormat="false" ht="51" hidden="false" customHeight="false" outlineLevel="0" collapsed="false">
      <c r="A6141" s="37" t="s">
        <v>11938</v>
      </c>
      <c r="B6141" s="34" t="s">
        <v>11939</v>
      </c>
      <c r="C6141" s="34" t="s">
        <v>965</v>
      </c>
    </row>
    <row r="6142" customFormat="false" ht="38.25" hidden="false" customHeight="false" outlineLevel="0" collapsed="false">
      <c r="A6142" s="37" t="s">
        <v>11940</v>
      </c>
      <c r="B6142" s="34" t="s">
        <v>11941</v>
      </c>
      <c r="C6142" s="34" t="s">
        <v>965</v>
      </c>
    </row>
    <row r="6143" customFormat="false" ht="76.5" hidden="false" customHeight="false" outlineLevel="0" collapsed="false">
      <c r="A6143" s="37" t="s">
        <v>11942</v>
      </c>
      <c r="B6143" s="34" t="s">
        <v>11943</v>
      </c>
      <c r="C6143" s="34" t="s">
        <v>139</v>
      </c>
    </row>
    <row r="6144" customFormat="false" ht="89.25" hidden="false" customHeight="false" outlineLevel="0" collapsed="false">
      <c r="A6144" s="37" t="s">
        <v>11944</v>
      </c>
      <c r="B6144" s="34" t="s">
        <v>11945</v>
      </c>
      <c r="C6144" s="34" t="s">
        <v>4281</v>
      </c>
    </row>
    <row r="6145" customFormat="false" ht="102" hidden="false" customHeight="false" outlineLevel="0" collapsed="false">
      <c r="A6145" s="37" t="s">
        <v>11946</v>
      </c>
      <c r="B6145" s="34" t="s">
        <v>11947</v>
      </c>
      <c r="C6145" s="34" t="s">
        <v>4410</v>
      </c>
    </row>
    <row r="6146" customFormat="false" ht="127.5" hidden="false" customHeight="false" outlineLevel="0" collapsed="false">
      <c r="A6146" s="37" t="s">
        <v>11948</v>
      </c>
      <c r="B6146" s="34" t="s">
        <v>11949</v>
      </c>
      <c r="C6146" s="34" t="s">
        <v>1099</v>
      </c>
    </row>
    <row r="6147" customFormat="false" ht="127.5" hidden="false" customHeight="false" outlineLevel="0" collapsed="false">
      <c r="A6147" s="37" t="s">
        <v>11950</v>
      </c>
      <c r="B6147" s="34" t="s">
        <v>11951</v>
      </c>
      <c r="C6147" s="34" t="s">
        <v>1099</v>
      </c>
    </row>
    <row r="6148" customFormat="false" ht="127.5" hidden="false" customHeight="false" outlineLevel="0" collapsed="false">
      <c r="A6148" s="37" t="s">
        <v>11952</v>
      </c>
      <c r="B6148" s="34" t="s">
        <v>11953</v>
      </c>
      <c r="C6148" s="34" t="s">
        <v>1099</v>
      </c>
    </row>
    <row r="6149" customFormat="false" ht="127.5" hidden="false" customHeight="false" outlineLevel="0" collapsed="false">
      <c r="A6149" s="37" t="s">
        <v>11954</v>
      </c>
      <c r="B6149" s="34" t="s">
        <v>11955</v>
      </c>
      <c r="C6149" s="34" t="s">
        <v>1099</v>
      </c>
    </row>
    <row r="6150" customFormat="false" ht="127.5" hidden="false" customHeight="false" outlineLevel="0" collapsed="false">
      <c r="A6150" s="37" t="s">
        <v>11956</v>
      </c>
      <c r="B6150" s="34" t="s">
        <v>11957</v>
      </c>
      <c r="C6150" s="34" t="s">
        <v>1099</v>
      </c>
    </row>
    <row r="6151" customFormat="false" ht="127.5" hidden="false" customHeight="false" outlineLevel="0" collapsed="false">
      <c r="A6151" s="37" t="s">
        <v>11958</v>
      </c>
      <c r="B6151" s="34" t="s">
        <v>11959</v>
      </c>
      <c r="C6151" s="34" t="s">
        <v>1099</v>
      </c>
    </row>
    <row r="6152" customFormat="false" ht="127.5" hidden="false" customHeight="false" outlineLevel="0" collapsed="false">
      <c r="A6152" s="37" t="s">
        <v>11960</v>
      </c>
      <c r="B6152" s="34" t="s">
        <v>11961</v>
      </c>
      <c r="C6152" s="34" t="s">
        <v>1099</v>
      </c>
    </row>
    <row r="6153" customFormat="false" ht="127.5" hidden="false" customHeight="false" outlineLevel="0" collapsed="false">
      <c r="A6153" s="37" t="s">
        <v>11962</v>
      </c>
      <c r="B6153" s="34" t="s">
        <v>11963</v>
      </c>
      <c r="C6153" s="34" t="s">
        <v>1099</v>
      </c>
    </row>
    <row r="6154" customFormat="false" ht="127.5" hidden="false" customHeight="false" outlineLevel="0" collapsed="false">
      <c r="A6154" s="37" t="s">
        <v>11964</v>
      </c>
      <c r="B6154" s="34" t="s">
        <v>11965</v>
      </c>
      <c r="C6154" s="34" t="s">
        <v>1099</v>
      </c>
    </row>
    <row r="6155" customFormat="false" ht="114.75" hidden="false" customHeight="false" outlineLevel="0" collapsed="false">
      <c r="A6155" s="37" t="s">
        <v>11966</v>
      </c>
      <c r="B6155" s="34" t="s">
        <v>11967</v>
      </c>
      <c r="C6155" s="34" t="s">
        <v>4422</v>
      </c>
    </row>
    <row r="6156" customFormat="false" ht="127.5" hidden="false" customHeight="false" outlineLevel="0" collapsed="false">
      <c r="A6156" s="37" t="s">
        <v>11968</v>
      </c>
      <c r="B6156" s="34" t="s">
        <v>11969</v>
      </c>
      <c r="C6156" s="34" t="s">
        <v>1069</v>
      </c>
    </row>
    <row r="6157" customFormat="false" ht="127.5" hidden="false" customHeight="false" outlineLevel="0" collapsed="false">
      <c r="A6157" s="37" t="s">
        <v>11970</v>
      </c>
      <c r="B6157" s="34" t="s">
        <v>11971</v>
      </c>
      <c r="C6157" s="34" t="s">
        <v>1732</v>
      </c>
    </row>
    <row r="6158" customFormat="false" ht="102" hidden="false" customHeight="false" outlineLevel="0" collapsed="false">
      <c r="A6158" s="37" t="s">
        <v>11972</v>
      </c>
      <c r="B6158" s="34" t="s">
        <v>11973</v>
      </c>
      <c r="C6158" s="34" t="s">
        <v>1737</v>
      </c>
    </row>
    <row r="6159" customFormat="false" ht="127.5" hidden="false" customHeight="false" outlineLevel="0" collapsed="false">
      <c r="A6159" s="37" t="s">
        <v>11974</v>
      </c>
      <c r="B6159" s="34" t="s">
        <v>11975</v>
      </c>
      <c r="C6159" s="34" t="s">
        <v>1732</v>
      </c>
    </row>
    <row r="6160" customFormat="false" ht="102" hidden="false" customHeight="false" outlineLevel="0" collapsed="false">
      <c r="A6160" s="37" t="s">
        <v>11976</v>
      </c>
      <c r="B6160" s="34" t="s">
        <v>11977</v>
      </c>
      <c r="C6160" s="34" t="s">
        <v>1737</v>
      </c>
    </row>
    <row r="6161" customFormat="false" ht="102" hidden="false" customHeight="false" outlineLevel="0" collapsed="false">
      <c r="A6161" s="37" t="s">
        <v>11978</v>
      </c>
      <c r="B6161" s="34" t="s">
        <v>11979</v>
      </c>
      <c r="C6161" s="34" t="s">
        <v>1737</v>
      </c>
    </row>
    <row r="6162" customFormat="false" ht="102" hidden="false" customHeight="false" outlineLevel="0" collapsed="false">
      <c r="A6162" s="37" t="s">
        <v>11980</v>
      </c>
      <c r="B6162" s="34" t="s">
        <v>11981</v>
      </c>
      <c r="C6162" s="34" t="s">
        <v>1737</v>
      </c>
    </row>
    <row r="6163" customFormat="false" ht="76.5" hidden="false" customHeight="false" outlineLevel="0" collapsed="false">
      <c r="A6163" s="37" t="s">
        <v>11982</v>
      </c>
      <c r="B6163" s="34" t="s">
        <v>11983</v>
      </c>
      <c r="C6163" s="34" t="s">
        <v>1741</v>
      </c>
    </row>
    <row r="6164" customFormat="false" ht="63.75" hidden="false" customHeight="false" outlineLevel="0" collapsed="false">
      <c r="A6164" s="37" t="s">
        <v>11984</v>
      </c>
      <c r="B6164" s="34" t="s">
        <v>11985</v>
      </c>
      <c r="C6164" s="34" t="s">
        <v>1917</v>
      </c>
    </row>
    <row r="6165" customFormat="false" ht="102" hidden="false" customHeight="false" outlineLevel="0" collapsed="false">
      <c r="A6165" s="37" t="s">
        <v>11986</v>
      </c>
      <c r="B6165" s="34" t="s">
        <v>11987</v>
      </c>
      <c r="C6165" s="34" t="s">
        <v>309</v>
      </c>
    </row>
    <row r="6166" customFormat="false" ht="102" hidden="false" customHeight="false" outlineLevel="0" collapsed="false">
      <c r="A6166" s="37" t="s">
        <v>11988</v>
      </c>
      <c r="B6166" s="34" t="s">
        <v>11989</v>
      </c>
      <c r="C6166" s="34" t="s">
        <v>309</v>
      </c>
    </row>
    <row r="6167" customFormat="false" ht="102" hidden="false" customHeight="false" outlineLevel="0" collapsed="false">
      <c r="A6167" s="37" t="s">
        <v>11990</v>
      </c>
      <c r="B6167" s="34" t="s">
        <v>11991</v>
      </c>
      <c r="C6167" s="34" t="s">
        <v>1737</v>
      </c>
    </row>
    <row r="6168" customFormat="false" ht="89.25" hidden="false" customHeight="false" outlineLevel="0" collapsed="false">
      <c r="A6168" s="37" t="s">
        <v>11992</v>
      </c>
      <c r="B6168" s="34" t="s">
        <v>11993</v>
      </c>
      <c r="C6168" s="34" t="s">
        <v>298</v>
      </c>
    </row>
    <row r="6169" customFormat="false" ht="127.5" hidden="false" customHeight="false" outlineLevel="0" collapsed="false">
      <c r="A6169" s="37" t="s">
        <v>11994</v>
      </c>
      <c r="B6169" s="34" t="s">
        <v>11995</v>
      </c>
      <c r="C6169" s="34" t="s">
        <v>318</v>
      </c>
    </row>
    <row r="6170" customFormat="false" ht="114.75" hidden="false" customHeight="false" outlineLevel="0" collapsed="false">
      <c r="A6170" s="37" t="s">
        <v>11996</v>
      </c>
      <c r="B6170" s="34" t="s">
        <v>11997</v>
      </c>
      <c r="C6170" s="34" t="s">
        <v>3540</v>
      </c>
    </row>
    <row r="6171" customFormat="false" ht="51" hidden="false" customHeight="false" outlineLevel="0" collapsed="false">
      <c r="A6171" s="37" t="s">
        <v>11998</v>
      </c>
      <c r="B6171" s="34" t="s">
        <v>11999</v>
      </c>
      <c r="C6171" s="34" t="s">
        <v>965</v>
      </c>
    </row>
    <row r="6172" customFormat="false" ht="89.25" hidden="false" customHeight="false" outlineLevel="0" collapsed="false">
      <c r="A6172" s="37" t="s">
        <v>12000</v>
      </c>
      <c r="B6172" s="34" t="s">
        <v>12001</v>
      </c>
      <c r="C6172" s="34" t="s">
        <v>4457</v>
      </c>
    </row>
    <row r="6173" customFormat="false" ht="63.75" hidden="false" customHeight="false" outlineLevel="0" collapsed="false">
      <c r="A6173" s="37" t="s">
        <v>12002</v>
      </c>
      <c r="B6173" s="34" t="s">
        <v>12003</v>
      </c>
      <c r="C6173" s="34" t="s">
        <v>139</v>
      </c>
    </row>
    <row r="6174" customFormat="false" ht="63.75" hidden="false" customHeight="false" outlineLevel="0" collapsed="false">
      <c r="A6174" s="37" t="s">
        <v>12004</v>
      </c>
      <c r="B6174" s="34" t="s">
        <v>12005</v>
      </c>
      <c r="C6174" s="34" t="s">
        <v>139</v>
      </c>
    </row>
    <row r="6175" customFormat="false" ht="63.75" hidden="false" customHeight="false" outlineLevel="0" collapsed="false">
      <c r="A6175" s="37" t="s">
        <v>12006</v>
      </c>
      <c r="B6175" s="34" t="s">
        <v>12007</v>
      </c>
      <c r="C6175" s="34" t="s">
        <v>139</v>
      </c>
    </row>
    <row r="6176" customFormat="false" ht="63.75" hidden="false" customHeight="false" outlineLevel="0" collapsed="false">
      <c r="A6176" s="37" t="s">
        <v>12008</v>
      </c>
      <c r="B6176" s="34" t="s">
        <v>12009</v>
      </c>
      <c r="C6176" s="34" t="s">
        <v>139</v>
      </c>
    </row>
    <row r="6177" customFormat="false" ht="51" hidden="false" customHeight="false" outlineLevel="0" collapsed="false">
      <c r="A6177" s="37" t="s">
        <v>12010</v>
      </c>
      <c r="B6177" s="34" t="s">
        <v>12011</v>
      </c>
      <c r="C6177" s="34" t="s">
        <v>965</v>
      </c>
    </row>
    <row r="6178" customFormat="false" ht="38.25" hidden="false" customHeight="false" outlineLevel="0" collapsed="false">
      <c r="A6178" s="37" t="s">
        <v>12012</v>
      </c>
      <c r="B6178" s="34" t="s">
        <v>12013</v>
      </c>
      <c r="C6178" s="34" t="s">
        <v>965</v>
      </c>
    </row>
    <row r="6179" customFormat="false" ht="76.5" hidden="false" customHeight="false" outlineLevel="0" collapsed="false">
      <c r="A6179" s="37" t="s">
        <v>12014</v>
      </c>
      <c r="B6179" s="34" t="s">
        <v>12015</v>
      </c>
      <c r="C6179" s="34" t="s">
        <v>139</v>
      </c>
    </row>
    <row r="6180" customFormat="false" ht="89.25" hidden="false" customHeight="false" outlineLevel="0" collapsed="false">
      <c r="A6180" s="37" t="s">
        <v>12016</v>
      </c>
      <c r="B6180" s="34" t="s">
        <v>12017</v>
      </c>
      <c r="C6180" s="34" t="s">
        <v>4281</v>
      </c>
    </row>
    <row r="6181" customFormat="false" ht="102" hidden="false" customHeight="false" outlineLevel="0" collapsed="false">
      <c r="A6181" s="37" t="s">
        <v>12018</v>
      </c>
      <c r="B6181" s="34" t="s">
        <v>12019</v>
      </c>
      <c r="C6181" s="34" t="s">
        <v>4474</v>
      </c>
    </row>
    <row r="6182" customFormat="false" ht="127.5" hidden="false" customHeight="false" outlineLevel="0" collapsed="false">
      <c r="A6182" s="37" t="s">
        <v>12020</v>
      </c>
      <c r="B6182" s="34" t="s">
        <v>12021</v>
      </c>
      <c r="C6182" s="34" t="s">
        <v>1108</v>
      </c>
    </row>
    <row r="6183" customFormat="false" ht="127.5" hidden="false" customHeight="false" outlineLevel="0" collapsed="false">
      <c r="A6183" s="37" t="s">
        <v>12022</v>
      </c>
      <c r="B6183" s="34" t="s">
        <v>12023</v>
      </c>
      <c r="C6183" s="34" t="s">
        <v>1108</v>
      </c>
    </row>
    <row r="6184" customFormat="false" ht="127.5" hidden="false" customHeight="false" outlineLevel="0" collapsed="false">
      <c r="A6184" s="37" t="s">
        <v>12024</v>
      </c>
      <c r="B6184" s="34" t="s">
        <v>12025</v>
      </c>
      <c r="C6184" s="34" t="s">
        <v>1108</v>
      </c>
    </row>
    <row r="6185" customFormat="false" ht="127.5" hidden="false" customHeight="false" outlineLevel="0" collapsed="false">
      <c r="A6185" s="37" t="s">
        <v>12026</v>
      </c>
      <c r="B6185" s="34" t="s">
        <v>12027</v>
      </c>
      <c r="C6185" s="34" t="s">
        <v>1108</v>
      </c>
    </row>
    <row r="6186" customFormat="false" ht="127.5" hidden="false" customHeight="false" outlineLevel="0" collapsed="false">
      <c r="A6186" s="37" t="s">
        <v>12028</v>
      </c>
      <c r="B6186" s="34" t="s">
        <v>12029</v>
      </c>
      <c r="C6186" s="34" t="s">
        <v>1108</v>
      </c>
    </row>
    <row r="6187" customFormat="false" ht="127.5" hidden="false" customHeight="false" outlineLevel="0" collapsed="false">
      <c r="A6187" s="37" t="s">
        <v>12030</v>
      </c>
      <c r="B6187" s="34" t="s">
        <v>12031</v>
      </c>
      <c r="C6187" s="34" t="s">
        <v>1108</v>
      </c>
    </row>
    <row r="6188" customFormat="false" ht="127.5" hidden="false" customHeight="false" outlineLevel="0" collapsed="false">
      <c r="A6188" s="37" t="s">
        <v>12032</v>
      </c>
      <c r="B6188" s="34" t="s">
        <v>12033</v>
      </c>
      <c r="C6188" s="34" t="s">
        <v>1108</v>
      </c>
    </row>
    <row r="6189" customFormat="false" ht="127.5" hidden="false" customHeight="false" outlineLevel="0" collapsed="false">
      <c r="A6189" s="37" t="s">
        <v>12034</v>
      </c>
      <c r="B6189" s="34" t="s">
        <v>12035</v>
      </c>
      <c r="C6189" s="34" t="s">
        <v>1108</v>
      </c>
    </row>
    <row r="6190" customFormat="false" ht="114.75" hidden="false" customHeight="false" outlineLevel="0" collapsed="false">
      <c r="A6190" s="37" t="s">
        <v>12036</v>
      </c>
      <c r="B6190" s="34" t="s">
        <v>12037</v>
      </c>
      <c r="C6190" s="34" t="s">
        <v>4486</v>
      </c>
    </row>
    <row r="6191" customFormat="false" ht="127.5" hidden="false" customHeight="false" outlineLevel="0" collapsed="false">
      <c r="A6191" s="37" t="s">
        <v>12038</v>
      </c>
      <c r="B6191" s="34" t="s">
        <v>12039</v>
      </c>
      <c r="C6191" s="34" t="s">
        <v>1069</v>
      </c>
    </row>
    <row r="6192" customFormat="false" ht="127.5" hidden="false" customHeight="false" outlineLevel="0" collapsed="false">
      <c r="A6192" s="37" t="s">
        <v>12040</v>
      </c>
      <c r="B6192" s="34" t="s">
        <v>12041</v>
      </c>
      <c r="C6192" s="34" t="s">
        <v>1732</v>
      </c>
    </row>
    <row r="6193" customFormat="false" ht="102" hidden="false" customHeight="false" outlineLevel="0" collapsed="false">
      <c r="A6193" s="37" t="s">
        <v>12042</v>
      </c>
      <c r="B6193" s="34" t="s">
        <v>12043</v>
      </c>
      <c r="C6193" s="34" t="s">
        <v>1737</v>
      </c>
    </row>
    <row r="6194" customFormat="false" ht="127.5" hidden="false" customHeight="false" outlineLevel="0" collapsed="false">
      <c r="A6194" s="37" t="s">
        <v>12044</v>
      </c>
      <c r="B6194" s="34" t="s">
        <v>12045</v>
      </c>
      <c r="C6194" s="34" t="s">
        <v>1732</v>
      </c>
    </row>
    <row r="6195" customFormat="false" ht="102" hidden="false" customHeight="false" outlineLevel="0" collapsed="false">
      <c r="A6195" s="37" t="s">
        <v>12046</v>
      </c>
      <c r="B6195" s="34" t="s">
        <v>12047</v>
      </c>
      <c r="C6195" s="34" t="s">
        <v>1737</v>
      </c>
    </row>
    <row r="6196" customFormat="false" ht="102" hidden="false" customHeight="false" outlineLevel="0" collapsed="false">
      <c r="A6196" s="37" t="s">
        <v>12048</v>
      </c>
      <c r="B6196" s="34" t="s">
        <v>12049</v>
      </c>
      <c r="C6196" s="34" t="s">
        <v>1737</v>
      </c>
    </row>
    <row r="6197" customFormat="false" ht="102" hidden="false" customHeight="false" outlineLevel="0" collapsed="false">
      <c r="A6197" s="37" t="s">
        <v>12050</v>
      </c>
      <c r="B6197" s="34" t="s">
        <v>12051</v>
      </c>
      <c r="C6197" s="34" t="s">
        <v>1737</v>
      </c>
    </row>
    <row r="6198" customFormat="false" ht="76.5" hidden="false" customHeight="false" outlineLevel="0" collapsed="false">
      <c r="A6198" s="37" t="s">
        <v>12052</v>
      </c>
      <c r="B6198" s="34" t="s">
        <v>12053</v>
      </c>
      <c r="C6198" s="34" t="s">
        <v>1741</v>
      </c>
    </row>
    <row r="6199" customFormat="false" ht="63.75" hidden="false" customHeight="false" outlineLevel="0" collapsed="false">
      <c r="A6199" s="37" t="s">
        <v>12054</v>
      </c>
      <c r="B6199" s="34" t="s">
        <v>12055</v>
      </c>
      <c r="C6199" s="34" t="s">
        <v>1980</v>
      </c>
    </row>
    <row r="6200" customFormat="false" ht="102" hidden="false" customHeight="false" outlineLevel="0" collapsed="false">
      <c r="A6200" s="37" t="s">
        <v>12056</v>
      </c>
      <c r="B6200" s="34" t="s">
        <v>12057</v>
      </c>
      <c r="C6200" s="34" t="s">
        <v>351</v>
      </c>
    </row>
    <row r="6201" customFormat="false" ht="102" hidden="false" customHeight="false" outlineLevel="0" collapsed="false">
      <c r="A6201" s="37" t="s">
        <v>12058</v>
      </c>
      <c r="B6201" s="34" t="s">
        <v>12059</v>
      </c>
      <c r="C6201" s="34" t="s">
        <v>351</v>
      </c>
    </row>
    <row r="6202" customFormat="false" ht="102" hidden="false" customHeight="false" outlineLevel="0" collapsed="false">
      <c r="A6202" s="37" t="s">
        <v>12060</v>
      </c>
      <c r="B6202" s="34" t="s">
        <v>12061</v>
      </c>
      <c r="C6202" s="34" t="s">
        <v>1737</v>
      </c>
    </row>
    <row r="6203" customFormat="false" ht="89.25" hidden="false" customHeight="false" outlineLevel="0" collapsed="false">
      <c r="A6203" s="37" t="s">
        <v>12062</v>
      </c>
      <c r="B6203" s="34" t="s">
        <v>12063</v>
      </c>
      <c r="C6203" s="34" t="s">
        <v>340</v>
      </c>
    </row>
    <row r="6204" customFormat="false" ht="127.5" hidden="false" customHeight="false" outlineLevel="0" collapsed="false">
      <c r="A6204" s="37" t="s">
        <v>12064</v>
      </c>
      <c r="B6204" s="34" t="s">
        <v>12065</v>
      </c>
      <c r="C6204" s="34" t="s">
        <v>360</v>
      </c>
    </row>
    <row r="6205" customFormat="false" ht="114.75" hidden="false" customHeight="false" outlineLevel="0" collapsed="false">
      <c r="A6205" s="37" t="s">
        <v>12066</v>
      </c>
      <c r="B6205" s="34" t="s">
        <v>12067</v>
      </c>
      <c r="C6205" s="34" t="s">
        <v>3597</v>
      </c>
    </row>
    <row r="6206" customFormat="false" ht="51" hidden="false" customHeight="false" outlineLevel="0" collapsed="false">
      <c r="A6206" s="37" t="s">
        <v>12068</v>
      </c>
      <c r="B6206" s="34" t="s">
        <v>12069</v>
      </c>
      <c r="C6206" s="34" t="s">
        <v>965</v>
      </c>
    </row>
    <row r="6207" customFormat="false" ht="89.25" hidden="false" customHeight="false" outlineLevel="0" collapsed="false">
      <c r="A6207" s="37" t="s">
        <v>12070</v>
      </c>
      <c r="B6207" s="34" t="s">
        <v>12071</v>
      </c>
      <c r="C6207" s="34" t="s">
        <v>4521</v>
      </c>
    </row>
    <row r="6208" customFormat="false" ht="63.75" hidden="false" customHeight="false" outlineLevel="0" collapsed="false">
      <c r="A6208" s="37" t="s">
        <v>12072</v>
      </c>
      <c r="B6208" s="34" t="s">
        <v>12073</v>
      </c>
      <c r="C6208" s="34" t="s">
        <v>139</v>
      </c>
    </row>
    <row r="6209" customFormat="false" ht="63.75" hidden="false" customHeight="false" outlineLevel="0" collapsed="false">
      <c r="A6209" s="37" t="s">
        <v>12074</v>
      </c>
      <c r="B6209" s="34" t="s">
        <v>12075</v>
      </c>
      <c r="C6209" s="34" t="s">
        <v>139</v>
      </c>
    </row>
    <row r="6210" customFormat="false" ht="63.75" hidden="false" customHeight="false" outlineLevel="0" collapsed="false">
      <c r="A6210" s="37" t="s">
        <v>12076</v>
      </c>
      <c r="B6210" s="34" t="s">
        <v>12077</v>
      </c>
      <c r="C6210" s="34" t="s">
        <v>139</v>
      </c>
    </row>
    <row r="6211" customFormat="false" ht="63.75" hidden="false" customHeight="false" outlineLevel="0" collapsed="false">
      <c r="A6211" s="37" t="s">
        <v>12078</v>
      </c>
      <c r="B6211" s="34" t="s">
        <v>12079</v>
      </c>
      <c r="C6211" s="34" t="s">
        <v>139</v>
      </c>
    </row>
    <row r="6212" customFormat="false" ht="51" hidden="false" customHeight="false" outlineLevel="0" collapsed="false">
      <c r="A6212" s="37" t="s">
        <v>12080</v>
      </c>
      <c r="B6212" s="34" t="s">
        <v>12081</v>
      </c>
      <c r="C6212" s="34" t="s">
        <v>965</v>
      </c>
    </row>
    <row r="6213" customFormat="false" ht="38.25" hidden="false" customHeight="false" outlineLevel="0" collapsed="false">
      <c r="A6213" s="37" t="s">
        <v>12082</v>
      </c>
      <c r="B6213" s="34" t="s">
        <v>12013</v>
      </c>
      <c r="C6213" s="34" t="s">
        <v>965</v>
      </c>
    </row>
    <row r="6214" customFormat="false" ht="76.5" hidden="false" customHeight="false" outlineLevel="0" collapsed="false">
      <c r="A6214" s="37" t="s">
        <v>12083</v>
      </c>
      <c r="B6214" s="34" t="s">
        <v>12084</v>
      </c>
      <c r="C6214" s="34" t="s">
        <v>139</v>
      </c>
    </row>
    <row r="6215" customFormat="false" ht="89.25" hidden="false" customHeight="false" outlineLevel="0" collapsed="false">
      <c r="A6215" s="37" t="s">
        <v>12085</v>
      </c>
      <c r="B6215" s="34" t="s">
        <v>12086</v>
      </c>
      <c r="C6215" s="34" t="s">
        <v>4281</v>
      </c>
    </row>
    <row r="6216" customFormat="false" ht="127.5" hidden="false" customHeight="false" outlineLevel="0" collapsed="false">
      <c r="A6216" s="37" t="s">
        <v>12087</v>
      </c>
      <c r="B6216" s="34" t="s">
        <v>12088</v>
      </c>
      <c r="C6216" s="34" t="s">
        <v>1108</v>
      </c>
    </row>
    <row r="6217" customFormat="false" ht="89.25" hidden="false" customHeight="false" outlineLevel="0" collapsed="false">
      <c r="A6217" s="37" t="s">
        <v>12089</v>
      </c>
      <c r="B6217" s="34" t="s">
        <v>12090</v>
      </c>
      <c r="C6217" s="34" t="s">
        <v>1115</v>
      </c>
    </row>
    <row r="6218" customFormat="false" ht="51" hidden="false" customHeight="false" outlineLevel="0" collapsed="false">
      <c r="A6218" s="37" t="s">
        <v>12091</v>
      </c>
      <c r="B6218" s="34" t="s">
        <v>12092</v>
      </c>
      <c r="C6218" s="34" t="s">
        <v>965</v>
      </c>
    </row>
    <row r="6219" customFormat="false" ht="76.5" hidden="false" customHeight="false" outlineLevel="0" collapsed="false">
      <c r="A6219" s="37" t="s">
        <v>12093</v>
      </c>
      <c r="B6219" s="34" t="s">
        <v>12094</v>
      </c>
      <c r="C6219" s="34" t="s">
        <v>1121</v>
      </c>
    </row>
    <row r="6220" customFormat="false" ht="76.5" hidden="false" customHeight="false" outlineLevel="0" collapsed="false">
      <c r="A6220" s="37" t="s">
        <v>12095</v>
      </c>
      <c r="B6220" s="34" t="s">
        <v>12096</v>
      </c>
      <c r="C6220" s="34" t="s">
        <v>1121</v>
      </c>
    </row>
    <row r="6221" customFormat="false" ht="63.75" hidden="false" customHeight="false" outlineLevel="0" collapsed="false">
      <c r="A6221" s="37" t="s">
        <v>12097</v>
      </c>
      <c r="B6221" s="34" t="s">
        <v>12098</v>
      </c>
      <c r="C6221" s="34" t="s">
        <v>1142</v>
      </c>
    </row>
    <row r="6222" customFormat="false" ht="63.75" hidden="false" customHeight="false" outlineLevel="0" collapsed="false">
      <c r="A6222" s="37" t="s">
        <v>12099</v>
      </c>
      <c r="B6222" s="34" t="s">
        <v>12100</v>
      </c>
      <c r="C6222" s="34" t="s">
        <v>1142</v>
      </c>
    </row>
    <row r="6223" customFormat="false" ht="63.75" hidden="false" customHeight="false" outlineLevel="0" collapsed="false">
      <c r="A6223" s="37" t="s">
        <v>12101</v>
      </c>
      <c r="B6223" s="34" t="s">
        <v>12102</v>
      </c>
      <c r="C6223" s="34" t="s">
        <v>1142</v>
      </c>
    </row>
    <row r="6224" customFormat="false" ht="63.75" hidden="false" customHeight="false" outlineLevel="0" collapsed="false">
      <c r="A6224" s="37" t="s">
        <v>12103</v>
      </c>
      <c r="B6224" s="34" t="s">
        <v>12104</v>
      </c>
      <c r="C6224" s="34" t="s">
        <v>1142</v>
      </c>
    </row>
    <row r="6225" customFormat="false" ht="63.75" hidden="false" customHeight="false" outlineLevel="0" collapsed="false">
      <c r="A6225" s="37" t="s">
        <v>12105</v>
      </c>
      <c r="B6225" s="34" t="s">
        <v>12106</v>
      </c>
      <c r="C6225" s="34" t="s">
        <v>1142</v>
      </c>
    </row>
    <row r="6226" customFormat="false" ht="89.25" hidden="false" customHeight="false" outlineLevel="0" collapsed="false">
      <c r="A6226" s="37" t="s">
        <v>12107</v>
      </c>
      <c r="B6226" s="34" t="s">
        <v>12108</v>
      </c>
      <c r="C6226" s="34" t="s">
        <v>387</v>
      </c>
    </row>
    <row r="6227" customFormat="false" ht="51" hidden="false" customHeight="false" outlineLevel="0" collapsed="false">
      <c r="A6227" s="37" t="s">
        <v>12109</v>
      </c>
      <c r="B6227" s="34" t="s">
        <v>12110</v>
      </c>
      <c r="C6227" s="34" t="s">
        <v>1170</v>
      </c>
    </row>
    <row r="6228" customFormat="false" ht="76.5" hidden="false" customHeight="false" outlineLevel="0" collapsed="false">
      <c r="A6228" s="37" t="s">
        <v>12111</v>
      </c>
      <c r="B6228" s="34" t="s">
        <v>12112</v>
      </c>
      <c r="C6228" s="34" t="s">
        <v>1170</v>
      </c>
    </row>
    <row r="6229" customFormat="false" ht="63.75" hidden="false" customHeight="false" outlineLevel="0" collapsed="false">
      <c r="A6229" s="37" t="s">
        <v>12113</v>
      </c>
      <c r="B6229" s="34" t="s">
        <v>12114</v>
      </c>
      <c r="C6229" s="34" t="s">
        <v>1170</v>
      </c>
    </row>
    <row r="6230" customFormat="false" ht="63.75" hidden="false" customHeight="false" outlineLevel="0" collapsed="false">
      <c r="A6230" s="37" t="s">
        <v>12115</v>
      </c>
      <c r="B6230" s="34" t="s">
        <v>12116</v>
      </c>
      <c r="C6230" s="34" t="s">
        <v>373</v>
      </c>
    </row>
    <row r="6231" customFormat="false" ht="63.75" hidden="false" customHeight="false" outlineLevel="0" collapsed="false">
      <c r="A6231" s="37" t="s">
        <v>12117</v>
      </c>
      <c r="B6231" s="34" t="s">
        <v>12118</v>
      </c>
      <c r="C6231" s="34" t="s">
        <v>373</v>
      </c>
    </row>
    <row r="6232" customFormat="false" ht="51" hidden="false" customHeight="false" outlineLevel="0" collapsed="false">
      <c r="A6232" s="37" t="s">
        <v>12119</v>
      </c>
      <c r="B6232" s="34" t="s">
        <v>12120</v>
      </c>
      <c r="C6232" s="34" t="s">
        <v>384</v>
      </c>
    </row>
    <row r="6233" customFormat="false" ht="76.5" hidden="false" customHeight="false" outlineLevel="0" collapsed="false">
      <c r="A6233" s="37" t="s">
        <v>12121</v>
      </c>
      <c r="B6233" s="34" t="s">
        <v>12122</v>
      </c>
      <c r="C6233" s="34" t="s">
        <v>1188</v>
      </c>
    </row>
    <row r="6234" customFormat="false" ht="76.5" hidden="false" customHeight="false" outlineLevel="0" collapsed="false">
      <c r="A6234" s="37" t="s">
        <v>12123</v>
      </c>
      <c r="B6234" s="34" t="s">
        <v>12124</v>
      </c>
      <c r="C6234" s="34" t="s">
        <v>1188</v>
      </c>
    </row>
    <row r="6235" customFormat="false" ht="76.5" hidden="false" customHeight="false" outlineLevel="0" collapsed="false">
      <c r="A6235" s="37" t="s">
        <v>12125</v>
      </c>
      <c r="B6235" s="34" t="s">
        <v>12122</v>
      </c>
      <c r="C6235" s="34" t="s">
        <v>1188</v>
      </c>
    </row>
    <row r="6236" customFormat="false" ht="76.5" hidden="false" customHeight="false" outlineLevel="0" collapsed="false">
      <c r="A6236" s="37" t="s">
        <v>12126</v>
      </c>
      <c r="B6236" s="34" t="s">
        <v>12127</v>
      </c>
      <c r="C6236" s="34" t="s">
        <v>1188</v>
      </c>
    </row>
    <row r="6237" customFormat="false" ht="76.5" hidden="false" customHeight="false" outlineLevel="0" collapsed="false">
      <c r="A6237" s="37" t="s">
        <v>12128</v>
      </c>
      <c r="B6237" s="34" t="s">
        <v>12129</v>
      </c>
      <c r="C6237" s="34" t="s">
        <v>1193</v>
      </c>
    </row>
    <row r="6238" customFormat="false" ht="76.5" hidden="false" customHeight="false" outlineLevel="0" collapsed="false">
      <c r="A6238" s="37" t="s">
        <v>12130</v>
      </c>
      <c r="B6238" s="34" t="s">
        <v>12131</v>
      </c>
      <c r="C6238" s="34" t="s">
        <v>1193</v>
      </c>
    </row>
    <row r="6239" customFormat="false" ht="89.25" hidden="false" customHeight="false" outlineLevel="0" collapsed="false">
      <c r="A6239" s="37" t="s">
        <v>12132</v>
      </c>
      <c r="B6239" s="34" t="s">
        <v>12133</v>
      </c>
      <c r="C6239" s="34" t="s">
        <v>1198</v>
      </c>
    </row>
    <row r="6240" customFormat="false" ht="89.25" hidden="false" customHeight="false" outlineLevel="0" collapsed="false">
      <c r="A6240" s="37" t="s">
        <v>12134</v>
      </c>
      <c r="B6240" s="34" t="s">
        <v>12135</v>
      </c>
      <c r="C6240" s="34" t="s">
        <v>1198</v>
      </c>
    </row>
    <row r="6241" customFormat="false" ht="89.25" hidden="false" customHeight="false" outlineLevel="0" collapsed="false">
      <c r="A6241" s="37" t="s">
        <v>12136</v>
      </c>
      <c r="B6241" s="34" t="s">
        <v>12137</v>
      </c>
      <c r="C6241" s="34" t="s">
        <v>1198</v>
      </c>
    </row>
    <row r="6242" customFormat="false" ht="89.25" hidden="false" customHeight="false" outlineLevel="0" collapsed="false">
      <c r="A6242" s="37" t="s">
        <v>12138</v>
      </c>
      <c r="B6242" s="34" t="s">
        <v>12139</v>
      </c>
      <c r="C6242" s="34" t="s">
        <v>1198</v>
      </c>
    </row>
    <row r="6243" customFormat="false" ht="89.25" hidden="false" customHeight="false" outlineLevel="0" collapsed="false">
      <c r="A6243" s="37" t="s">
        <v>12140</v>
      </c>
      <c r="B6243" s="34" t="s">
        <v>12141</v>
      </c>
      <c r="C6243" s="34" t="s">
        <v>1198</v>
      </c>
    </row>
    <row r="6244" customFormat="false" ht="89.25" hidden="false" customHeight="false" outlineLevel="0" collapsed="false">
      <c r="A6244" s="37" t="s">
        <v>12142</v>
      </c>
      <c r="B6244" s="34" t="s">
        <v>12143</v>
      </c>
      <c r="C6244" s="34" t="s">
        <v>1198</v>
      </c>
    </row>
    <row r="6245" customFormat="false" ht="89.25" hidden="false" customHeight="false" outlineLevel="0" collapsed="false">
      <c r="A6245" s="37" t="s">
        <v>12144</v>
      </c>
      <c r="B6245" s="34" t="s">
        <v>12145</v>
      </c>
      <c r="C6245" s="34" t="s">
        <v>1198</v>
      </c>
    </row>
    <row r="6246" customFormat="false" ht="89.25" hidden="false" customHeight="false" outlineLevel="0" collapsed="false">
      <c r="A6246" s="37" t="s">
        <v>12146</v>
      </c>
      <c r="B6246" s="34" t="s">
        <v>12147</v>
      </c>
      <c r="C6246" s="34" t="s">
        <v>1198</v>
      </c>
    </row>
    <row r="6247" customFormat="false" ht="102" hidden="false" customHeight="false" outlineLevel="0" collapsed="false">
      <c r="A6247" s="37" t="s">
        <v>12148</v>
      </c>
      <c r="B6247" s="34" t="s">
        <v>12149</v>
      </c>
      <c r="C6247" s="34" t="s">
        <v>1215</v>
      </c>
    </row>
    <row r="6248" customFormat="false" ht="38.25" hidden="false" customHeight="false" outlineLevel="0" collapsed="false">
      <c r="A6248" s="37" t="s">
        <v>12150</v>
      </c>
      <c r="B6248" s="34" t="s">
        <v>12151</v>
      </c>
      <c r="C6248" s="34" t="s">
        <v>965</v>
      </c>
    </row>
    <row r="6249" customFormat="false" ht="63.75" hidden="false" customHeight="false" outlineLevel="0" collapsed="false">
      <c r="A6249" s="37" t="s">
        <v>12152</v>
      </c>
      <c r="B6249" s="34" t="s">
        <v>12153</v>
      </c>
      <c r="C6249" s="34" t="s">
        <v>139</v>
      </c>
    </row>
    <row r="6250" customFormat="false" ht="63.75" hidden="false" customHeight="false" outlineLevel="0" collapsed="false">
      <c r="A6250" s="37" t="s">
        <v>12154</v>
      </c>
      <c r="B6250" s="34" t="s">
        <v>12155</v>
      </c>
      <c r="C6250" s="34" t="s">
        <v>139</v>
      </c>
    </row>
    <row r="6251" customFormat="false" ht="63.75" hidden="false" customHeight="false" outlineLevel="0" collapsed="false">
      <c r="A6251" s="37" t="s">
        <v>12156</v>
      </c>
      <c r="B6251" s="34" t="s">
        <v>12157</v>
      </c>
      <c r="C6251" s="34" t="s">
        <v>139</v>
      </c>
    </row>
    <row r="6252" customFormat="false" ht="63.75" hidden="false" customHeight="false" outlineLevel="0" collapsed="false">
      <c r="A6252" s="37" t="s">
        <v>12158</v>
      </c>
      <c r="B6252" s="34" t="s">
        <v>12159</v>
      </c>
      <c r="C6252" s="34" t="s">
        <v>139</v>
      </c>
    </row>
    <row r="6253" customFormat="false" ht="89.25" hidden="false" customHeight="false" outlineLevel="0" collapsed="false">
      <c r="A6253" s="37" t="s">
        <v>12160</v>
      </c>
      <c r="B6253" s="34" t="s">
        <v>12161</v>
      </c>
      <c r="C6253" s="34" t="s">
        <v>122</v>
      </c>
    </row>
    <row r="6254" customFormat="false" ht="89.25" hidden="false" customHeight="false" outlineLevel="0" collapsed="false">
      <c r="A6254" s="37" t="s">
        <v>12162</v>
      </c>
      <c r="B6254" s="34" t="s">
        <v>12163</v>
      </c>
      <c r="C6254" s="34" t="s">
        <v>122</v>
      </c>
    </row>
    <row r="6255" customFormat="false" ht="89.25" hidden="false" customHeight="false" outlineLevel="0" collapsed="false">
      <c r="A6255" s="37" t="s">
        <v>12164</v>
      </c>
      <c r="B6255" s="34" t="s">
        <v>12165</v>
      </c>
      <c r="C6255" s="34" t="s">
        <v>122</v>
      </c>
    </row>
    <row r="6256" customFormat="false" ht="89.25" hidden="false" customHeight="false" outlineLevel="0" collapsed="false">
      <c r="A6256" s="37" t="s">
        <v>12166</v>
      </c>
      <c r="B6256" s="34" t="s">
        <v>12167</v>
      </c>
      <c r="C6256" s="34" t="s">
        <v>122</v>
      </c>
    </row>
    <row r="6257" customFormat="false" ht="89.25" hidden="false" customHeight="false" outlineLevel="0" collapsed="false">
      <c r="A6257" s="37" t="s">
        <v>12168</v>
      </c>
      <c r="B6257" s="34" t="s">
        <v>12169</v>
      </c>
      <c r="C6257" s="34" t="s">
        <v>122</v>
      </c>
    </row>
    <row r="6258" customFormat="false" ht="51" hidden="false" customHeight="false" outlineLevel="0" collapsed="false">
      <c r="A6258" s="37" t="s">
        <v>12170</v>
      </c>
      <c r="B6258" s="34" t="s">
        <v>12171</v>
      </c>
      <c r="C6258" s="34" t="s">
        <v>437</v>
      </c>
    </row>
    <row r="6259" customFormat="false" ht="51" hidden="false" customHeight="false" outlineLevel="0" collapsed="false">
      <c r="A6259" s="37" t="s">
        <v>12172</v>
      </c>
      <c r="B6259" s="34" t="s">
        <v>12173</v>
      </c>
      <c r="C6259" s="34" t="s">
        <v>437</v>
      </c>
    </row>
    <row r="6260" customFormat="false" ht="51" hidden="false" customHeight="false" outlineLevel="0" collapsed="false">
      <c r="A6260" s="37" t="s">
        <v>12174</v>
      </c>
      <c r="B6260" s="34" t="s">
        <v>12175</v>
      </c>
      <c r="C6260" s="34" t="s">
        <v>437</v>
      </c>
    </row>
    <row r="6261" customFormat="false" ht="89.25" hidden="false" customHeight="false" outlineLevel="0" collapsed="false">
      <c r="A6261" s="37" t="s">
        <v>12176</v>
      </c>
      <c r="B6261" s="34" t="s">
        <v>12177</v>
      </c>
      <c r="C6261" s="34" t="s">
        <v>444</v>
      </c>
    </row>
    <row r="6262" customFormat="false" ht="89.25" hidden="false" customHeight="false" outlineLevel="0" collapsed="false">
      <c r="A6262" s="37" t="s">
        <v>12178</v>
      </c>
      <c r="B6262" s="34" t="s">
        <v>12179</v>
      </c>
      <c r="C6262" s="34" t="s">
        <v>444</v>
      </c>
    </row>
    <row r="6263" customFormat="false" ht="89.25" hidden="false" customHeight="false" outlineLevel="0" collapsed="false">
      <c r="A6263" s="37" t="s">
        <v>12180</v>
      </c>
      <c r="B6263" s="34" t="s">
        <v>12177</v>
      </c>
      <c r="C6263" s="34" t="s">
        <v>449</v>
      </c>
    </row>
    <row r="6264" customFormat="false" ht="89.25" hidden="false" customHeight="false" outlineLevel="0" collapsed="false">
      <c r="A6264" s="37" t="s">
        <v>12181</v>
      </c>
      <c r="B6264" s="34" t="s">
        <v>12182</v>
      </c>
      <c r="C6264" s="34" t="s">
        <v>449</v>
      </c>
    </row>
    <row r="6265" customFormat="false" ht="63.75" hidden="false" customHeight="false" outlineLevel="0" collapsed="false">
      <c r="A6265" s="37" t="s">
        <v>12183</v>
      </c>
      <c r="B6265" s="34" t="s">
        <v>12184</v>
      </c>
      <c r="C6265" s="34" t="s">
        <v>452</v>
      </c>
    </row>
    <row r="6266" customFormat="false" ht="38.25" hidden="false" customHeight="false" outlineLevel="0" collapsed="false">
      <c r="A6266" s="37" t="s">
        <v>12185</v>
      </c>
      <c r="B6266" s="34" t="s">
        <v>12186</v>
      </c>
      <c r="C6266" s="34" t="s">
        <v>965</v>
      </c>
    </row>
    <row r="6267" customFormat="false" ht="63.75" hidden="false" customHeight="false" outlineLevel="0" collapsed="false">
      <c r="A6267" s="37" t="s">
        <v>12187</v>
      </c>
      <c r="B6267" s="34" t="s">
        <v>12188</v>
      </c>
      <c r="C6267" s="34" t="s">
        <v>139</v>
      </c>
    </row>
    <row r="6268" customFormat="false" ht="63.75" hidden="false" customHeight="false" outlineLevel="0" collapsed="false">
      <c r="A6268" s="37" t="s">
        <v>12189</v>
      </c>
      <c r="B6268" s="34" t="s">
        <v>12190</v>
      </c>
      <c r="C6268" s="34" t="s">
        <v>139</v>
      </c>
    </row>
    <row r="6269" customFormat="false" ht="63.75" hidden="false" customHeight="false" outlineLevel="0" collapsed="false">
      <c r="A6269" s="37" t="s">
        <v>12191</v>
      </c>
      <c r="B6269" s="34" t="s">
        <v>12192</v>
      </c>
      <c r="C6269" s="34" t="s">
        <v>139</v>
      </c>
    </row>
    <row r="6270" customFormat="false" ht="63.75" hidden="false" customHeight="false" outlineLevel="0" collapsed="false">
      <c r="A6270" s="37" t="s">
        <v>12193</v>
      </c>
      <c r="B6270" s="34" t="s">
        <v>12194</v>
      </c>
      <c r="C6270" s="34" t="s">
        <v>139</v>
      </c>
    </row>
    <row r="6271" customFormat="false" ht="38.25" hidden="false" customHeight="false" outlineLevel="0" collapsed="false">
      <c r="A6271" s="37" t="s">
        <v>12195</v>
      </c>
      <c r="B6271" s="34" t="s">
        <v>12196</v>
      </c>
      <c r="C6271" s="34" t="s">
        <v>463</v>
      </c>
    </row>
    <row r="6272" customFormat="false" ht="38.25" hidden="false" customHeight="false" outlineLevel="0" collapsed="false">
      <c r="A6272" s="37" t="s">
        <v>12197</v>
      </c>
      <c r="B6272" s="34" t="s">
        <v>12198</v>
      </c>
      <c r="C6272" s="34" t="s">
        <v>466</v>
      </c>
    </row>
    <row r="6273" customFormat="false" ht="38.25" hidden="false" customHeight="false" outlineLevel="0" collapsed="false">
      <c r="A6273" s="37" t="s">
        <v>12199</v>
      </c>
      <c r="B6273" s="34" t="s">
        <v>12200</v>
      </c>
      <c r="C6273" s="34" t="s">
        <v>469</v>
      </c>
    </row>
    <row r="6274" customFormat="false" ht="38.25" hidden="false" customHeight="false" outlineLevel="0" collapsed="false">
      <c r="A6274" s="37" t="s">
        <v>12201</v>
      </c>
      <c r="B6274" s="34" t="s">
        <v>12202</v>
      </c>
      <c r="C6274" s="34" t="s">
        <v>472</v>
      </c>
    </row>
    <row r="6275" customFormat="false" ht="38.25" hidden="false" customHeight="false" outlineLevel="0" collapsed="false">
      <c r="A6275" s="37" t="s">
        <v>12203</v>
      </c>
      <c r="B6275" s="34" t="s">
        <v>12204</v>
      </c>
      <c r="C6275" s="34" t="s">
        <v>475</v>
      </c>
    </row>
    <row r="6276" customFormat="false" ht="38.25" hidden="false" customHeight="false" outlineLevel="0" collapsed="false">
      <c r="A6276" s="37" t="s">
        <v>12205</v>
      </c>
      <c r="B6276" s="34" t="s">
        <v>12206</v>
      </c>
      <c r="C6276" s="34" t="s">
        <v>478</v>
      </c>
    </row>
    <row r="6277" customFormat="false" ht="38.25" hidden="false" customHeight="false" outlineLevel="0" collapsed="false">
      <c r="A6277" s="37" t="s">
        <v>12207</v>
      </c>
      <c r="B6277" s="34" t="s">
        <v>12208</v>
      </c>
      <c r="C6277" s="34" t="s">
        <v>481</v>
      </c>
    </row>
    <row r="6278" customFormat="false" ht="38.25" hidden="false" customHeight="false" outlineLevel="0" collapsed="false">
      <c r="A6278" s="37" t="s">
        <v>12209</v>
      </c>
      <c r="B6278" s="34" t="s">
        <v>12210</v>
      </c>
      <c r="C6278" s="34" t="s">
        <v>484</v>
      </c>
    </row>
    <row r="6279" customFormat="false" ht="38.25" hidden="false" customHeight="false" outlineLevel="0" collapsed="false">
      <c r="A6279" s="37" t="s">
        <v>12211</v>
      </c>
      <c r="B6279" s="34" t="s">
        <v>12212</v>
      </c>
      <c r="C6279" s="34" t="s">
        <v>487</v>
      </c>
    </row>
    <row r="6280" customFormat="false" ht="38.25" hidden="false" customHeight="false" outlineLevel="0" collapsed="false">
      <c r="A6280" s="37" t="s">
        <v>12213</v>
      </c>
      <c r="B6280" s="34" t="s">
        <v>12214</v>
      </c>
      <c r="C6280" s="34" t="s">
        <v>490</v>
      </c>
    </row>
    <row r="6281" customFormat="false" ht="38.25" hidden="false" customHeight="false" outlineLevel="0" collapsed="false">
      <c r="A6281" s="37" t="s">
        <v>12215</v>
      </c>
      <c r="B6281" s="34" t="s">
        <v>12216</v>
      </c>
      <c r="C6281" s="34" t="s">
        <v>493</v>
      </c>
    </row>
    <row r="6282" customFormat="false" ht="38.25" hidden="false" customHeight="false" outlineLevel="0" collapsed="false">
      <c r="A6282" s="37" t="s">
        <v>12217</v>
      </c>
      <c r="B6282" s="34" t="s">
        <v>12218</v>
      </c>
      <c r="C6282" s="34" t="s">
        <v>496</v>
      </c>
    </row>
    <row r="6283" customFormat="false" ht="38.25" hidden="false" customHeight="false" outlineLevel="0" collapsed="false">
      <c r="A6283" s="37" t="s">
        <v>12219</v>
      </c>
      <c r="B6283" s="34" t="s">
        <v>12220</v>
      </c>
      <c r="C6283" s="34" t="s">
        <v>499</v>
      </c>
    </row>
    <row r="6284" customFormat="false" ht="38.25" hidden="false" customHeight="false" outlineLevel="0" collapsed="false">
      <c r="A6284" s="37" t="s">
        <v>12221</v>
      </c>
      <c r="B6284" s="34" t="s">
        <v>12222</v>
      </c>
      <c r="C6284" s="34" t="s">
        <v>502</v>
      </c>
    </row>
    <row r="6285" customFormat="false" ht="51" hidden="false" customHeight="false" outlineLevel="0" collapsed="false">
      <c r="A6285" s="37" t="s">
        <v>12223</v>
      </c>
      <c r="B6285" s="34" t="s">
        <v>12224</v>
      </c>
      <c r="C6285" s="34" t="s">
        <v>505</v>
      </c>
    </row>
    <row r="6286" customFormat="false" ht="51" hidden="false" customHeight="false" outlineLevel="0" collapsed="false">
      <c r="A6286" s="37" t="s">
        <v>12225</v>
      </c>
      <c r="B6286" s="34" t="s">
        <v>12226</v>
      </c>
      <c r="C6286" s="34" t="s">
        <v>508</v>
      </c>
    </row>
    <row r="6287" customFormat="false" ht="51" hidden="false" customHeight="false" outlineLevel="0" collapsed="false">
      <c r="A6287" s="37" t="s">
        <v>12227</v>
      </c>
      <c r="B6287" s="34" t="s">
        <v>12228</v>
      </c>
      <c r="C6287" s="34" t="s">
        <v>511</v>
      </c>
    </row>
    <row r="6288" customFormat="false" ht="51" hidden="false" customHeight="false" outlineLevel="0" collapsed="false">
      <c r="A6288" s="37" t="s">
        <v>12229</v>
      </c>
      <c r="B6288" s="34" t="s">
        <v>12230</v>
      </c>
      <c r="C6288" s="34" t="s">
        <v>514</v>
      </c>
    </row>
    <row r="6289" customFormat="false" ht="51" hidden="false" customHeight="false" outlineLevel="0" collapsed="false">
      <c r="A6289" s="37" t="s">
        <v>12231</v>
      </c>
      <c r="B6289" s="34" t="s">
        <v>12232</v>
      </c>
      <c r="C6289" s="34" t="s">
        <v>517</v>
      </c>
    </row>
    <row r="6290" customFormat="false" ht="51" hidden="false" customHeight="false" outlineLevel="0" collapsed="false">
      <c r="A6290" s="37" t="s">
        <v>12233</v>
      </c>
      <c r="B6290" s="34" t="s">
        <v>12234</v>
      </c>
      <c r="C6290" s="34" t="s">
        <v>517</v>
      </c>
    </row>
    <row r="6291" customFormat="false" ht="51" hidden="false" customHeight="false" outlineLevel="0" collapsed="false">
      <c r="A6291" s="37" t="s">
        <v>12235</v>
      </c>
      <c r="B6291" s="34" t="s">
        <v>12236</v>
      </c>
      <c r="C6291" s="34" t="s">
        <v>517</v>
      </c>
    </row>
    <row r="6292" customFormat="false" ht="51" hidden="false" customHeight="false" outlineLevel="0" collapsed="false">
      <c r="A6292" s="37" t="s">
        <v>12237</v>
      </c>
      <c r="B6292" s="34" t="s">
        <v>12238</v>
      </c>
      <c r="C6292" s="34" t="s">
        <v>517</v>
      </c>
    </row>
    <row r="6293" customFormat="false" ht="51" hidden="false" customHeight="false" outlineLevel="0" collapsed="false">
      <c r="A6293" s="37" t="s">
        <v>12239</v>
      </c>
      <c r="B6293" s="34" t="s">
        <v>12240</v>
      </c>
      <c r="C6293" s="34" t="s">
        <v>511</v>
      </c>
    </row>
    <row r="6294" customFormat="false" ht="51" hidden="false" customHeight="false" outlineLevel="0" collapsed="false">
      <c r="A6294" s="37" t="s">
        <v>12241</v>
      </c>
      <c r="B6294" s="34" t="s">
        <v>12242</v>
      </c>
      <c r="C6294" s="34" t="s">
        <v>511</v>
      </c>
    </row>
    <row r="6295" customFormat="false" ht="51" hidden="false" customHeight="false" outlineLevel="0" collapsed="false">
      <c r="A6295" s="37" t="s">
        <v>12243</v>
      </c>
      <c r="B6295" s="34" t="s">
        <v>12244</v>
      </c>
      <c r="C6295" s="34" t="s">
        <v>511</v>
      </c>
    </row>
    <row r="6296" customFormat="false" ht="51" hidden="false" customHeight="false" outlineLevel="0" collapsed="false">
      <c r="A6296" s="37" t="s">
        <v>12245</v>
      </c>
      <c r="B6296" s="34" t="s">
        <v>12246</v>
      </c>
      <c r="C6296" s="34" t="s">
        <v>511</v>
      </c>
    </row>
    <row r="6297" customFormat="false" ht="51" hidden="false" customHeight="false" outlineLevel="0" collapsed="false">
      <c r="A6297" s="37" t="s">
        <v>12247</v>
      </c>
      <c r="B6297" s="34" t="s">
        <v>12248</v>
      </c>
      <c r="C6297" s="34" t="s">
        <v>511</v>
      </c>
    </row>
    <row r="6298" customFormat="false" ht="51" hidden="false" customHeight="false" outlineLevel="0" collapsed="false">
      <c r="A6298" s="37" t="s">
        <v>12249</v>
      </c>
      <c r="B6298" s="34" t="s">
        <v>12250</v>
      </c>
      <c r="C6298" s="34" t="s">
        <v>511</v>
      </c>
    </row>
    <row r="6299" customFormat="false" ht="51" hidden="false" customHeight="false" outlineLevel="0" collapsed="false">
      <c r="A6299" s="37" t="s">
        <v>12251</v>
      </c>
      <c r="B6299" s="34" t="s">
        <v>12252</v>
      </c>
      <c r="C6299" s="34" t="s">
        <v>511</v>
      </c>
    </row>
    <row r="6300" customFormat="false" ht="51" hidden="false" customHeight="false" outlineLevel="0" collapsed="false">
      <c r="A6300" s="37" t="s">
        <v>12253</v>
      </c>
      <c r="B6300" s="34" t="s">
        <v>12254</v>
      </c>
      <c r="C6300" s="34" t="s">
        <v>511</v>
      </c>
    </row>
    <row r="6301" customFormat="false" ht="51" hidden="false" customHeight="false" outlineLevel="0" collapsed="false">
      <c r="A6301" s="37" t="s">
        <v>12255</v>
      </c>
      <c r="B6301" s="34" t="s">
        <v>12256</v>
      </c>
      <c r="C6301" s="34" t="s">
        <v>511</v>
      </c>
    </row>
    <row r="6302" customFormat="false" ht="51" hidden="false" customHeight="false" outlineLevel="0" collapsed="false">
      <c r="A6302" s="37" t="s">
        <v>12257</v>
      </c>
      <c r="B6302" s="34" t="s">
        <v>12258</v>
      </c>
      <c r="C6302" s="34" t="s">
        <v>511</v>
      </c>
    </row>
    <row r="6303" customFormat="false" ht="51" hidden="false" customHeight="false" outlineLevel="0" collapsed="false">
      <c r="A6303" s="37" t="s">
        <v>12259</v>
      </c>
      <c r="B6303" s="34" t="s">
        <v>12260</v>
      </c>
      <c r="C6303" s="34" t="s">
        <v>546</v>
      </c>
    </row>
    <row r="6304" customFormat="false" ht="51" hidden="false" customHeight="false" outlineLevel="0" collapsed="false">
      <c r="A6304" s="37" t="s">
        <v>12261</v>
      </c>
      <c r="B6304" s="34" t="s">
        <v>12262</v>
      </c>
      <c r="C6304" s="34" t="s">
        <v>546</v>
      </c>
    </row>
    <row r="6305" customFormat="false" ht="51" hidden="false" customHeight="false" outlineLevel="0" collapsed="false">
      <c r="A6305" s="37" t="s">
        <v>12263</v>
      </c>
      <c r="B6305" s="34" t="s">
        <v>12264</v>
      </c>
      <c r="C6305" s="34" t="s">
        <v>546</v>
      </c>
    </row>
    <row r="6306" customFormat="false" ht="51" hidden="false" customHeight="false" outlineLevel="0" collapsed="false">
      <c r="A6306" s="37" t="s">
        <v>12265</v>
      </c>
      <c r="B6306" s="34" t="s">
        <v>12266</v>
      </c>
      <c r="C6306" s="34" t="s">
        <v>546</v>
      </c>
    </row>
    <row r="6307" customFormat="false" ht="51" hidden="false" customHeight="false" outlineLevel="0" collapsed="false">
      <c r="A6307" s="37" t="s">
        <v>12267</v>
      </c>
      <c r="B6307" s="34" t="s">
        <v>12268</v>
      </c>
      <c r="C6307" s="34" t="s">
        <v>546</v>
      </c>
    </row>
    <row r="6308" customFormat="false" ht="63.75" hidden="false" customHeight="false" outlineLevel="0" collapsed="false">
      <c r="A6308" s="37" t="s">
        <v>12269</v>
      </c>
      <c r="B6308" s="34" t="s">
        <v>12270</v>
      </c>
      <c r="C6308" s="34" t="s">
        <v>546</v>
      </c>
    </row>
    <row r="6309" customFormat="false" ht="51" hidden="false" customHeight="false" outlineLevel="0" collapsed="false">
      <c r="A6309" s="37" t="s">
        <v>12271</v>
      </c>
      <c r="B6309" s="34" t="s">
        <v>12272</v>
      </c>
      <c r="C6309" s="34" t="s">
        <v>546</v>
      </c>
    </row>
    <row r="6310" customFormat="false" ht="76.5" hidden="false" customHeight="false" outlineLevel="0" collapsed="false">
      <c r="A6310" s="37" t="s">
        <v>12273</v>
      </c>
      <c r="B6310" s="34" t="s">
        <v>12274</v>
      </c>
      <c r="C6310" s="34" t="s">
        <v>561</v>
      </c>
    </row>
    <row r="6311" customFormat="false" ht="63.75" hidden="false" customHeight="false" outlineLevel="0" collapsed="false">
      <c r="A6311" s="37" t="s">
        <v>12275</v>
      </c>
      <c r="B6311" s="34" t="s">
        <v>12276</v>
      </c>
      <c r="C6311" s="34" t="s">
        <v>561</v>
      </c>
    </row>
    <row r="6312" customFormat="false" ht="89.25" hidden="false" customHeight="false" outlineLevel="0" collapsed="false">
      <c r="A6312" s="37" t="s">
        <v>12277</v>
      </c>
      <c r="B6312" s="34" t="s">
        <v>12278</v>
      </c>
      <c r="C6312" s="34" t="s">
        <v>566</v>
      </c>
    </row>
    <row r="6313" customFormat="false" ht="63.75" hidden="false" customHeight="false" outlineLevel="0" collapsed="false">
      <c r="A6313" s="37" t="s">
        <v>12279</v>
      </c>
      <c r="B6313" s="34" t="s">
        <v>12280</v>
      </c>
      <c r="C6313" s="34" t="s">
        <v>561</v>
      </c>
    </row>
    <row r="6314" customFormat="false" ht="63.75" hidden="false" customHeight="false" outlineLevel="0" collapsed="false">
      <c r="A6314" s="37" t="s">
        <v>12281</v>
      </c>
      <c r="B6314" s="34" t="s">
        <v>12282</v>
      </c>
      <c r="C6314" s="34" t="s">
        <v>571</v>
      </c>
    </row>
    <row r="6315" customFormat="false" ht="89.25" hidden="false" customHeight="false" outlineLevel="0" collapsed="false">
      <c r="A6315" s="37" t="s">
        <v>12283</v>
      </c>
      <c r="B6315" s="34" t="s">
        <v>12284</v>
      </c>
      <c r="C6315" s="34" t="s">
        <v>574</v>
      </c>
    </row>
    <row r="6316" customFormat="false" ht="89.25" hidden="false" customHeight="false" outlineLevel="0" collapsed="false">
      <c r="A6316" s="37" t="s">
        <v>12285</v>
      </c>
      <c r="B6316" s="34" t="s">
        <v>12286</v>
      </c>
      <c r="C6316" s="34" t="s">
        <v>574</v>
      </c>
    </row>
    <row r="6317" customFormat="false" ht="89.25" hidden="false" customHeight="false" outlineLevel="0" collapsed="false">
      <c r="A6317" s="37" t="s">
        <v>12287</v>
      </c>
      <c r="B6317" s="34" t="s">
        <v>12288</v>
      </c>
      <c r="C6317" s="34" t="s">
        <v>574</v>
      </c>
    </row>
    <row r="6318" customFormat="false" ht="89.25" hidden="false" customHeight="false" outlineLevel="0" collapsed="false">
      <c r="A6318" s="37" t="s">
        <v>12289</v>
      </c>
      <c r="B6318" s="34" t="s">
        <v>12290</v>
      </c>
      <c r="C6318" s="34" t="s">
        <v>574</v>
      </c>
    </row>
    <row r="6319" customFormat="false" ht="89.25" hidden="false" customHeight="false" outlineLevel="0" collapsed="false">
      <c r="A6319" s="37" t="s">
        <v>12291</v>
      </c>
      <c r="B6319" s="34" t="s">
        <v>12292</v>
      </c>
      <c r="C6319" s="34" t="s">
        <v>574</v>
      </c>
    </row>
    <row r="6320" customFormat="false" ht="63.75" hidden="false" customHeight="false" outlineLevel="0" collapsed="false">
      <c r="A6320" s="37" t="s">
        <v>12293</v>
      </c>
      <c r="B6320" s="34" t="s">
        <v>12294</v>
      </c>
      <c r="C6320" s="34" t="s">
        <v>585</v>
      </c>
    </row>
    <row r="6321" customFormat="false" ht="63.75" hidden="false" customHeight="false" outlineLevel="0" collapsed="false">
      <c r="A6321" s="37" t="s">
        <v>12295</v>
      </c>
      <c r="B6321" s="34" t="s">
        <v>12296</v>
      </c>
      <c r="C6321" s="34" t="s">
        <v>588</v>
      </c>
    </row>
    <row r="6322" customFormat="false" ht="51" hidden="false" customHeight="false" outlineLevel="0" collapsed="false">
      <c r="A6322" s="37" t="s">
        <v>12297</v>
      </c>
      <c r="B6322" s="34" t="s">
        <v>12298</v>
      </c>
      <c r="C6322" s="34" t="s">
        <v>546</v>
      </c>
    </row>
    <row r="6323" customFormat="false" ht="51" hidden="false" customHeight="false" outlineLevel="0" collapsed="false">
      <c r="A6323" s="37" t="s">
        <v>12299</v>
      </c>
      <c r="B6323" s="34" t="s">
        <v>12300</v>
      </c>
      <c r="C6323" s="34" t="s">
        <v>546</v>
      </c>
    </row>
    <row r="6324" customFormat="false" ht="51" hidden="false" customHeight="false" outlineLevel="0" collapsed="false">
      <c r="A6324" s="37" t="s">
        <v>12301</v>
      </c>
      <c r="B6324" s="34" t="s">
        <v>12302</v>
      </c>
      <c r="C6324" s="34" t="s">
        <v>546</v>
      </c>
    </row>
    <row r="6325" customFormat="false" ht="51" hidden="false" customHeight="false" outlineLevel="0" collapsed="false">
      <c r="A6325" s="37" t="s">
        <v>12303</v>
      </c>
      <c r="B6325" s="34" t="s">
        <v>12304</v>
      </c>
      <c r="C6325" s="34" t="s">
        <v>546</v>
      </c>
    </row>
    <row r="6326" customFormat="false" ht="51" hidden="false" customHeight="false" outlineLevel="0" collapsed="false">
      <c r="A6326" s="37" t="s">
        <v>12305</v>
      </c>
      <c r="B6326" s="34" t="s">
        <v>12306</v>
      </c>
      <c r="C6326" s="34" t="s">
        <v>546</v>
      </c>
    </row>
    <row r="6327" customFormat="false" ht="51" hidden="false" customHeight="false" outlineLevel="0" collapsed="false">
      <c r="A6327" s="37" t="s">
        <v>12307</v>
      </c>
      <c r="B6327" s="34" t="s">
        <v>12308</v>
      </c>
      <c r="C6327" s="34" t="s">
        <v>546</v>
      </c>
    </row>
    <row r="6328" customFormat="false" ht="51" hidden="false" customHeight="false" outlineLevel="0" collapsed="false">
      <c r="A6328" s="37" t="s">
        <v>12309</v>
      </c>
      <c r="B6328" s="34" t="s">
        <v>12310</v>
      </c>
      <c r="C6328" s="34" t="s">
        <v>546</v>
      </c>
    </row>
    <row r="6329" customFormat="false" ht="51" hidden="false" customHeight="false" outlineLevel="0" collapsed="false">
      <c r="A6329" s="37" t="s">
        <v>12311</v>
      </c>
      <c r="B6329" s="34" t="s">
        <v>12312</v>
      </c>
      <c r="C6329" s="34" t="s">
        <v>546</v>
      </c>
    </row>
    <row r="6330" customFormat="false" ht="51" hidden="false" customHeight="false" outlineLevel="0" collapsed="false">
      <c r="A6330" s="37" t="s">
        <v>12313</v>
      </c>
      <c r="B6330" s="34" t="s">
        <v>12314</v>
      </c>
      <c r="C6330" s="34" t="s">
        <v>546</v>
      </c>
    </row>
    <row r="6331" customFormat="false" ht="51" hidden="false" customHeight="false" outlineLevel="0" collapsed="false">
      <c r="A6331" s="37" t="s">
        <v>12315</v>
      </c>
      <c r="B6331" s="34" t="s">
        <v>12316</v>
      </c>
      <c r="C6331" s="34" t="s">
        <v>546</v>
      </c>
    </row>
    <row r="6332" customFormat="false" ht="51" hidden="false" customHeight="false" outlineLevel="0" collapsed="false">
      <c r="A6332" s="37" t="s">
        <v>12317</v>
      </c>
      <c r="B6332" s="34" t="s">
        <v>12318</v>
      </c>
      <c r="C6332" s="34" t="s">
        <v>546</v>
      </c>
    </row>
    <row r="6333" customFormat="false" ht="51" hidden="false" customHeight="false" outlineLevel="0" collapsed="false">
      <c r="A6333" s="37" t="s">
        <v>12319</v>
      </c>
      <c r="B6333" s="34" t="s">
        <v>12320</v>
      </c>
      <c r="C6333" s="34" t="s">
        <v>613</v>
      </c>
    </row>
    <row r="6334" customFormat="false" ht="51" hidden="false" customHeight="false" outlineLevel="0" collapsed="false">
      <c r="A6334" s="37" t="s">
        <v>12321</v>
      </c>
      <c r="B6334" s="34" t="s">
        <v>12322</v>
      </c>
      <c r="C6334" s="34" t="s">
        <v>546</v>
      </c>
    </row>
    <row r="6335" customFormat="false" ht="51" hidden="false" customHeight="false" outlineLevel="0" collapsed="false">
      <c r="A6335" s="37" t="s">
        <v>12323</v>
      </c>
      <c r="B6335" s="34" t="s">
        <v>12324</v>
      </c>
      <c r="C6335" s="34" t="s">
        <v>546</v>
      </c>
    </row>
    <row r="6336" customFormat="false" ht="51" hidden="false" customHeight="false" outlineLevel="0" collapsed="false">
      <c r="A6336" s="37" t="s">
        <v>12325</v>
      </c>
      <c r="B6336" s="34" t="s">
        <v>12326</v>
      </c>
      <c r="C6336" s="34" t="s">
        <v>546</v>
      </c>
    </row>
    <row r="6337" customFormat="false" ht="51" hidden="false" customHeight="false" outlineLevel="0" collapsed="false">
      <c r="A6337" s="37" t="s">
        <v>12327</v>
      </c>
      <c r="B6337" s="34" t="s">
        <v>12328</v>
      </c>
      <c r="C6337" s="34" t="s">
        <v>546</v>
      </c>
    </row>
    <row r="6338" customFormat="false" ht="51" hidden="false" customHeight="false" outlineLevel="0" collapsed="false">
      <c r="A6338" s="37" t="s">
        <v>12329</v>
      </c>
      <c r="B6338" s="34" t="s">
        <v>12330</v>
      </c>
      <c r="C6338" s="34" t="s">
        <v>546</v>
      </c>
    </row>
    <row r="6339" customFormat="false" ht="51" hidden="false" customHeight="false" outlineLevel="0" collapsed="false">
      <c r="A6339" s="37" t="s">
        <v>12331</v>
      </c>
      <c r="B6339" s="34" t="s">
        <v>12332</v>
      </c>
      <c r="C6339" s="34" t="s">
        <v>613</v>
      </c>
    </row>
    <row r="6340" customFormat="false" ht="51" hidden="false" customHeight="false" outlineLevel="0" collapsed="false">
      <c r="A6340" s="37" t="s">
        <v>12333</v>
      </c>
      <c r="B6340" s="34" t="s">
        <v>12334</v>
      </c>
      <c r="C6340" s="34" t="s">
        <v>546</v>
      </c>
    </row>
    <row r="6341" customFormat="false" ht="51" hidden="false" customHeight="false" outlineLevel="0" collapsed="false">
      <c r="A6341" s="37" t="s">
        <v>12335</v>
      </c>
      <c r="B6341" s="34" t="s">
        <v>12336</v>
      </c>
      <c r="C6341" s="34" t="s">
        <v>546</v>
      </c>
    </row>
    <row r="6342" customFormat="false" ht="51" hidden="false" customHeight="false" outlineLevel="0" collapsed="false">
      <c r="A6342" s="37" t="s">
        <v>12337</v>
      </c>
      <c r="B6342" s="34" t="s">
        <v>12338</v>
      </c>
      <c r="C6342" s="34" t="s">
        <v>546</v>
      </c>
    </row>
    <row r="6343" customFormat="false" ht="38.25" hidden="false" customHeight="false" outlineLevel="0" collapsed="false">
      <c r="A6343" s="37" t="s">
        <v>12339</v>
      </c>
      <c r="B6343" s="34" t="s">
        <v>12340</v>
      </c>
      <c r="C6343" s="34" t="s">
        <v>634</v>
      </c>
    </row>
    <row r="6344" customFormat="false" ht="38.25" hidden="false" customHeight="false" outlineLevel="0" collapsed="false">
      <c r="A6344" s="37" t="s">
        <v>12341</v>
      </c>
      <c r="B6344" s="34" t="s">
        <v>12342</v>
      </c>
      <c r="C6344" s="34" t="s">
        <v>637</v>
      </c>
    </row>
    <row r="6345" customFormat="false" ht="51" hidden="false" customHeight="false" outlineLevel="0" collapsed="false">
      <c r="A6345" s="37" t="s">
        <v>12343</v>
      </c>
      <c r="B6345" s="34" t="s">
        <v>12344</v>
      </c>
      <c r="C6345" s="34" t="s">
        <v>546</v>
      </c>
    </row>
    <row r="6346" customFormat="false" ht="51" hidden="false" customHeight="false" outlineLevel="0" collapsed="false">
      <c r="A6346" s="37" t="s">
        <v>12345</v>
      </c>
      <c r="B6346" s="34" t="s">
        <v>12346</v>
      </c>
      <c r="C6346" s="34" t="s">
        <v>546</v>
      </c>
    </row>
    <row r="6347" customFormat="false" ht="51" hidden="false" customHeight="false" outlineLevel="0" collapsed="false">
      <c r="A6347" s="37" t="s">
        <v>12347</v>
      </c>
      <c r="B6347" s="34" t="s">
        <v>12348</v>
      </c>
      <c r="C6347" s="34" t="s">
        <v>546</v>
      </c>
    </row>
    <row r="6348" customFormat="false" ht="63.75" hidden="false" customHeight="false" outlineLevel="0" collapsed="false">
      <c r="A6348" s="37" t="s">
        <v>12349</v>
      </c>
      <c r="B6348" s="34" t="s">
        <v>12350</v>
      </c>
      <c r="C6348" s="34" t="s">
        <v>139</v>
      </c>
    </row>
    <row r="6349" customFormat="false" ht="63.75" hidden="false" customHeight="false" outlineLevel="0" collapsed="false">
      <c r="A6349" s="37" t="s">
        <v>12351</v>
      </c>
      <c r="B6349" s="34" t="s">
        <v>12352</v>
      </c>
      <c r="C6349" s="34" t="s">
        <v>139</v>
      </c>
    </row>
    <row r="6350" customFormat="false" ht="63.75" hidden="false" customHeight="false" outlineLevel="0" collapsed="false">
      <c r="A6350" s="37" t="s">
        <v>12353</v>
      </c>
      <c r="B6350" s="34" t="s">
        <v>12354</v>
      </c>
      <c r="C6350" s="34" t="s">
        <v>139</v>
      </c>
    </row>
    <row r="6351" customFormat="false" ht="63.75" hidden="false" customHeight="false" outlineLevel="0" collapsed="false">
      <c r="A6351" s="37" t="s">
        <v>12355</v>
      </c>
      <c r="B6351" s="34" t="s">
        <v>12356</v>
      </c>
      <c r="C6351" s="34" t="s">
        <v>139</v>
      </c>
    </row>
    <row r="6352" customFormat="false" ht="63.75" hidden="false" customHeight="false" outlineLevel="0" collapsed="false">
      <c r="A6352" s="37" t="s">
        <v>12357</v>
      </c>
      <c r="B6352" s="34" t="s">
        <v>12358</v>
      </c>
      <c r="C6352" s="34" t="s">
        <v>139</v>
      </c>
    </row>
    <row r="6353" customFormat="false" ht="63.75" hidden="false" customHeight="false" outlineLevel="0" collapsed="false">
      <c r="A6353" s="37" t="s">
        <v>12359</v>
      </c>
      <c r="B6353" s="34" t="s">
        <v>12360</v>
      </c>
      <c r="C6353" s="34" t="s">
        <v>139</v>
      </c>
    </row>
    <row r="6354" customFormat="false" ht="63.75" hidden="false" customHeight="false" outlineLevel="0" collapsed="false">
      <c r="A6354" s="37" t="s">
        <v>12361</v>
      </c>
      <c r="B6354" s="34" t="s">
        <v>12362</v>
      </c>
      <c r="C6354" s="34" t="s">
        <v>139</v>
      </c>
    </row>
    <row r="6355" customFormat="false" ht="63.75" hidden="false" customHeight="false" outlineLevel="0" collapsed="false">
      <c r="A6355" s="37" t="s">
        <v>12363</v>
      </c>
      <c r="B6355" s="34" t="s">
        <v>12364</v>
      </c>
      <c r="C6355" s="34" t="s">
        <v>139</v>
      </c>
    </row>
    <row r="6356" customFormat="false" ht="63.75" hidden="false" customHeight="false" outlineLevel="0" collapsed="false">
      <c r="A6356" s="37" t="s">
        <v>12365</v>
      </c>
      <c r="B6356" s="34" t="s">
        <v>12366</v>
      </c>
      <c r="C6356" s="34" t="s">
        <v>139</v>
      </c>
    </row>
    <row r="6357" customFormat="false" ht="102" hidden="false" customHeight="false" outlineLevel="0" collapsed="false">
      <c r="A6357" s="37" t="s">
        <v>12367</v>
      </c>
      <c r="B6357" s="34" t="s">
        <v>12368</v>
      </c>
      <c r="C6357" s="34" t="s">
        <v>2216</v>
      </c>
    </row>
    <row r="6358" customFormat="false" ht="102" hidden="false" customHeight="false" outlineLevel="0" collapsed="false">
      <c r="A6358" s="37" t="s">
        <v>12369</v>
      </c>
      <c r="B6358" s="34" t="s">
        <v>12370</v>
      </c>
      <c r="C6358" s="34" t="s">
        <v>2216</v>
      </c>
    </row>
    <row r="6359" customFormat="false" ht="89.25" hidden="false" customHeight="false" outlineLevel="0" collapsed="false">
      <c r="A6359" s="37" t="s">
        <v>12371</v>
      </c>
      <c r="B6359" s="34" t="s">
        <v>12372</v>
      </c>
      <c r="C6359" s="34" t="s">
        <v>1450</v>
      </c>
    </row>
    <row r="6360" customFormat="false" ht="76.5" hidden="false" customHeight="false" outlineLevel="0" collapsed="false">
      <c r="A6360" s="37" t="s">
        <v>12373</v>
      </c>
      <c r="B6360" s="34" t="s">
        <v>12374</v>
      </c>
      <c r="C6360" s="34" t="s">
        <v>2222</v>
      </c>
    </row>
    <row r="6361" customFormat="false" ht="102" hidden="false" customHeight="false" outlineLevel="0" collapsed="false">
      <c r="A6361" s="37" t="s">
        <v>12375</v>
      </c>
      <c r="B6361" s="34" t="s">
        <v>12376</v>
      </c>
      <c r="C6361" s="34" t="s">
        <v>97</v>
      </c>
    </row>
    <row r="6362" customFormat="false" ht="102" hidden="false" customHeight="false" outlineLevel="0" collapsed="false">
      <c r="A6362" s="37" t="s">
        <v>12377</v>
      </c>
      <c r="B6362" s="34" t="s">
        <v>12378</v>
      </c>
      <c r="C6362" s="34" t="s">
        <v>97</v>
      </c>
    </row>
    <row r="6363" customFormat="false" ht="102" hidden="false" customHeight="false" outlineLevel="0" collapsed="false">
      <c r="A6363" s="37" t="s">
        <v>12379</v>
      </c>
      <c r="B6363" s="34" t="s">
        <v>12380</v>
      </c>
      <c r="C6363" s="34" t="s">
        <v>887</v>
      </c>
    </row>
    <row r="6364" customFormat="false" ht="114.75" hidden="false" customHeight="false" outlineLevel="0" collapsed="false">
      <c r="A6364" s="37" t="s">
        <v>12381</v>
      </c>
      <c r="B6364" s="34" t="s">
        <v>12382</v>
      </c>
      <c r="C6364" s="34" t="s">
        <v>849</v>
      </c>
    </row>
    <row r="6365" customFormat="false" ht="89.25" hidden="false" customHeight="false" outlineLevel="0" collapsed="false">
      <c r="A6365" s="37" t="s">
        <v>12383</v>
      </c>
      <c r="B6365" s="34" t="s">
        <v>12384</v>
      </c>
      <c r="C6365" s="34" t="s">
        <v>891</v>
      </c>
    </row>
    <row r="6366" customFormat="false" ht="114.75" hidden="false" customHeight="false" outlineLevel="0" collapsed="false">
      <c r="A6366" s="37" t="s">
        <v>12385</v>
      </c>
      <c r="B6366" s="34" t="s">
        <v>12386</v>
      </c>
      <c r="C6366" s="34" t="s">
        <v>849</v>
      </c>
    </row>
    <row r="6367" customFormat="false" ht="76.5" hidden="false" customHeight="false" outlineLevel="0" collapsed="false">
      <c r="A6367" s="37" t="s">
        <v>12387</v>
      </c>
      <c r="B6367" s="34" t="s">
        <v>12388</v>
      </c>
      <c r="C6367" s="34" t="s">
        <v>108</v>
      </c>
    </row>
    <row r="6368" customFormat="false" ht="89.25" hidden="false" customHeight="false" outlineLevel="0" collapsed="false">
      <c r="A6368" s="37" t="s">
        <v>12389</v>
      </c>
      <c r="B6368" s="34" t="s">
        <v>12390</v>
      </c>
      <c r="C6368" s="34" t="s">
        <v>871</v>
      </c>
    </row>
    <row r="6369" customFormat="false" ht="102" hidden="false" customHeight="false" outlineLevel="0" collapsed="false">
      <c r="A6369" s="37" t="s">
        <v>12391</v>
      </c>
      <c r="B6369" s="34" t="s">
        <v>12392</v>
      </c>
      <c r="C6369" s="34" t="s">
        <v>783</v>
      </c>
    </row>
    <row r="6370" customFormat="false" ht="89.25" hidden="false" customHeight="false" outlineLevel="0" collapsed="false">
      <c r="A6370" s="37" t="s">
        <v>12393</v>
      </c>
      <c r="B6370" s="34" t="s">
        <v>12394</v>
      </c>
      <c r="C6370" s="34" t="s">
        <v>858</v>
      </c>
    </row>
    <row r="6371" customFormat="false" ht="89.25" hidden="false" customHeight="false" outlineLevel="0" collapsed="false">
      <c r="A6371" s="37" t="s">
        <v>12395</v>
      </c>
      <c r="B6371" s="34" t="s">
        <v>12396</v>
      </c>
      <c r="C6371" s="34" t="s">
        <v>902</v>
      </c>
    </row>
    <row r="6372" customFormat="false" ht="89.25" hidden="false" customHeight="false" outlineLevel="0" collapsed="false">
      <c r="A6372" s="37" t="s">
        <v>12397</v>
      </c>
      <c r="B6372" s="34" t="s">
        <v>12398</v>
      </c>
      <c r="C6372" s="34" t="s">
        <v>902</v>
      </c>
    </row>
    <row r="6373" customFormat="false" ht="89.25" hidden="false" customHeight="false" outlineLevel="0" collapsed="false">
      <c r="A6373" s="37" t="s">
        <v>12399</v>
      </c>
      <c r="B6373" s="34" t="s">
        <v>12400</v>
      </c>
      <c r="C6373" s="34" t="s">
        <v>122</v>
      </c>
    </row>
    <row r="6374" customFormat="false" ht="89.25" hidden="false" customHeight="false" outlineLevel="0" collapsed="false">
      <c r="A6374" s="37" t="s">
        <v>12401</v>
      </c>
      <c r="B6374" s="34" t="s">
        <v>12402</v>
      </c>
      <c r="C6374" s="34" t="s">
        <v>874</v>
      </c>
    </row>
    <row r="6375" customFormat="false" ht="89.25" hidden="false" customHeight="false" outlineLevel="0" collapsed="false">
      <c r="A6375" s="37" t="s">
        <v>12403</v>
      </c>
      <c r="B6375" s="34" t="s">
        <v>12404</v>
      </c>
      <c r="C6375" s="34" t="s">
        <v>874</v>
      </c>
    </row>
    <row r="6376" customFormat="false" ht="89.25" hidden="false" customHeight="false" outlineLevel="0" collapsed="false">
      <c r="A6376" s="37" t="s">
        <v>12405</v>
      </c>
      <c r="B6376" s="34" t="s">
        <v>12406</v>
      </c>
      <c r="C6376" s="34" t="s">
        <v>874</v>
      </c>
    </row>
    <row r="6377" customFormat="false" ht="89.25" hidden="false" customHeight="false" outlineLevel="0" collapsed="false">
      <c r="A6377" s="37" t="s">
        <v>12407</v>
      </c>
      <c r="B6377" s="34" t="s">
        <v>12408</v>
      </c>
      <c r="C6377" s="34" t="s">
        <v>874</v>
      </c>
    </row>
    <row r="6378" customFormat="false" ht="102" hidden="false" customHeight="false" outlineLevel="0" collapsed="false">
      <c r="A6378" s="37" t="s">
        <v>12409</v>
      </c>
      <c r="B6378" s="34" t="s">
        <v>12410</v>
      </c>
      <c r="C6378" s="34" t="s">
        <v>883</v>
      </c>
    </row>
    <row r="6379" customFormat="false" ht="63.75" hidden="false" customHeight="false" outlineLevel="0" collapsed="false">
      <c r="A6379" s="37" t="s">
        <v>12411</v>
      </c>
      <c r="B6379" s="34" t="s">
        <v>12412</v>
      </c>
      <c r="C6379" s="34" t="s">
        <v>1033</v>
      </c>
    </row>
    <row r="6380" customFormat="false" ht="51" hidden="false" customHeight="false" outlineLevel="0" collapsed="false">
      <c r="A6380" s="37" t="s">
        <v>12413</v>
      </c>
      <c r="B6380" s="34" t="s">
        <v>12414</v>
      </c>
      <c r="C6380" s="34" t="s">
        <v>687</v>
      </c>
    </row>
    <row r="6381" customFormat="false" ht="63.75" hidden="false" customHeight="false" outlineLevel="0" collapsed="false">
      <c r="A6381" s="37" t="s">
        <v>12415</v>
      </c>
      <c r="B6381" s="34" t="s">
        <v>12416</v>
      </c>
      <c r="C6381" s="34" t="s">
        <v>1038</v>
      </c>
    </row>
    <row r="6382" customFormat="false" ht="51" hidden="false" customHeight="false" outlineLevel="0" collapsed="false">
      <c r="A6382" s="37" t="s">
        <v>12417</v>
      </c>
      <c r="B6382" s="34" t="s">
        <v>12418</v>
      </c>
      <c r="C6382" s="34" t="s">
        <v>1041</v>
      </c>
    </row>
    <row r="6383" customFormat="false" ht="51" hidden="false" customHeight="false" outlineLevel="0" collapsed="false">
      <c r="A6383" s="37" t="s">
        <v>12419</v>
      </c>
      <c r="B6383" s="34" t="s">
        <v>12420</v>
      </c>
      <c r="C6383" s="34" t="s">
        <v>696</v>
      </c>
    </row>
    <row r="6384" customFormat="false" ht="51" hidden="false" customHeight="false" outlineLevel="0" collapsed="false">
      <c r="A6384" s="37" t="s">
        <v>12421</v>
      </c>
      <c r="B6384" s="34" t="s">
        <v>12422</v>
      </c>
      <c r="C6384" s="34" t="s">
        <v>1050</v>
      </c>
    </row>
    <row r="6385" customFormat="false" ht="89.25" hidden="false" customHeight="false" outlineLevel="0" collapsed="false">
      <c r="A6385" s="37" t="s">
        <v>12423</v>
      </c>
      <c r="B6385" s="34" t="s">
        <v>12424</v>
      </c>
      <c r="C6385" s="34" t="s">
        <v>702</v>
      </c>
    </row>
    <row r="6386" customFormat="false" ht="89.25" hidden="false" customHeight="false" outlineLevel="0" collapsed="false">
      <c r="A6386" s="37" t="s">
        <v>12425</v>
      </c>
      <c r="B6386" s="34" t="s">
        <v>12426</v>
      </c>
      <c r="C6386" s="34" t="s">
        <v>702</v>
      </c>
    </row>
    <row r="6387" customFormat="false" ht="51" hidden="false" customHeight="false" outlineLevel="0" collapsed="false">
      <c r="A6387" s="37" t="s">
        <v>12427</v>
      </c>
      <c r="B6387" s="34" t="s">
        <v>12428</v>
      </c>
      <c r="C6387" s="34" t="s">
        <v>707</v>
      </c>
    </row>
    <row r="6388" customFormat="false" ht="89.25" hidden="false" customHeight="false" outlineLevel="0" collapsed="false">
      <c r="A6388" s="37" t="s">
        <v>12429</v>
      </c>
      <c r="B6388" s="34" t="s">
        <v>12430</v>
      </c>
      <c r="C6388" s="34" t="s">
        <v>1450</v>
      </c>
    </row>
    <row r="6389" customFormat="false" ht="102" hidden="false" customHeight="false" outlineLevel="0" collapsed="false">
      <c r="A6389" s="37" t="s">
        <v>12431</v>
      </c>
      <c r="B6389" s="34" t="s">
        <v>12432</v>
      </c>
      <c r="C6389" s="34" t="s">
        <v>1453</v>
      </c>
    </row>
    <row r="6390" customFormat="false" ht="76.5" hidden="false" customHeight="false" outlineLevel="0" collapsed="false">
      <c r="A6390" s="37" t="s">
        <v>12433</v>
      </c>
      <c r="B6390" s="34" t="s">
        <v>12434</v>
      </c>
      <c r="C6390" s="34" t="s">
        <v>719</v>
      </c>
    </row>
    <row r="6391" customFormat="false" ht="63.75" hidden="false" customHeight="false" outlineLevel="0" collapsed="false">
      <c r="A6391" s="37" t="s">
        <v>12435</v>
      </c>
      <c r="B6391" s="34" t="s">
        <v>12436</v>
      </c>
      <c r="C6391" s="34" t="s">
        <v>1458</v>
      </c>
    </row>
    <row r="6392" customFormat="false" ht="76.5" hidden="false" customHeight="false" outlineLevel="0" collapsed="false">
      <c r="A6392" s="37" t="s">
        <v>12437</v>
      </c>
      <c r="B6392" s="34" t="s">
        <v>12438</v>
      </c>
      <c r="C6392" s="34" t="s">
        <v>2297</v>
      </c>
    </row>
    <row r="6393" customFormat="false" ht="76.5" hidden="false" customHeight="false" outlineLevel="0" collapsed="false">
      <c r="A6393" s="37" t="s">
        <v>12439</v>
      </c>
      <c r="B6393" s="34" t="s">
        <v>12440</v>
      </c>
      <c r="C6393" s="34" t="s">
        <v>2297</v>
      </c>
    </row>
    <row r="6394" customFormat="false" ht="76.5" hidden="false" customHeight="false" outlineLevel="0" collapsed="false">
      <c r="A6394" s="37" t="s">
        <v>12441</v>
      </c>
      <c r="B6394" s="34" t="s">
        <v>12442</v>
      </c>
      <c r="C6394" s="34" t="s">
        <v>2297</v>
      </c>
    </row>
    <row r="6395" customFormat="false" ht="76.5" hidden="false" customHeight="false" outlineLevel="0" collapsed="false">
      <c r="A6395" s="37" t="s">
        <v>12443</v>
      </c>
      <c r="B6395" s="34" t="s">
        <v>12444</v>
      </c>
      <c r="C6395" s="34" t="s">
        <v>2297</v>
      </c>
    </row>
    <row r="6396" customFormat="false" ht="63.75" hidden="false" customHeight="false" outlineLevel="0" collapsed="false">
      <c r="A6396" s="37" t="s">
        <v>12445</v>
      </c>
      <c r="B6396" s="34" t="s">
        <v>12446</v>
      </c>
      <c r="C6396" s="34" t="s">
        <v>139</v>
      </c>
    </row>
    <row r="6397" customFormat="false" ht="63.75" hidden="false" customHeight="false" outlineLevel="0" collapsed="false">
      <c r="A6397" s="37" t="s">
        <v>12447</v>
      </c>
      <c r="B6397" s="34" t="s">
        <v>12448</v>
      </c>
      <c r="C6397" s="34" t="s">
        <v>139</v>
      </c>
    </row>
    <row r="6398" customFormat="false" ht="63.75" hidden="false" customHeight="false" outlineLevel="0" collapsed="false">
      <c r="A6398" s="37" t="s">
        <v>12449</v>
      </c>
      <c r="B6398" s="34" t="s">
        <v>12450</v>
      </c>
      <c r="C6398" s="34" t="s">
        <v>139</v>
      </c>
    </row>
    <row r="6399" customFormat="false" ht="63.75" hidden="false" customHeight="false" outlineLevel="0" collapsed="false">
      <c r="A6399" s="37" t="s">
        <v>12451</v>
      </c>
      <c r="B6399" s="34" t="s">
        <v>12452</v>
      </c>
      <c r="C6399" s="34" t="s">
        <v>139</v>
      </c>
    </row>
    <row r="6400" customFormat="false" ht="51" hidden="false" customHeight="false" outlineLevel="0" collapsed="false">
      <c r="A6400" s="37" t="s">
        <v>12453</v>
      </c>
      <c r="B6400" s="34" t="s">
        <v>12454</v>
      </c>
      <c r="C6400" s="34" t="s">
        <v>965</v>
      </c>
    </row>
    <row r="6401" customFormat="false" ht="89.25" hidden="false" customHeight="false" outlineLevel="0" collapsed="false">
      <c r="A6401" s="37" t="s">
        <v>12455</v>
      </c>
      <c r="B6401" s="34" t="s">
        <v>12456</v>
      </c>
      <c r="C6401" s="34" t="s">
        <v>12457</v>
      </c>
    </row>
    <row r="6402" customFormat="false" ht="51" hidden="false" customHeight="false" outlineLevel="0" collapsed="false">
      <c r="A6402" s="37" t="s">
        <v>12458</v>
      </c>
      <c r="B6402" s="34" t="s">
        <v>12459</v>
      </c>
      <c r="C6402" s="34" t="s">
        <v>965</v>
      </c>
    </row>
    <row r="6403" customFormat="false" ht="76.5" hidden="false" customHeight="false" outlineLevel="0" collapsed="false">
      <c r="A6403" s="37" t="s">
        <v>12460</v>
      </c>
      <c r="B6403" s="34" t="s">
        <v>12461</v>
      </c>
      <c r="C6403" s="34" t="s">
        <v>965</v>
      </c>
    </row>
    <row r="6404" customFormat="false" ht="63.75" hidden="false" customHeight="false" outlineLevel="0" collapsed="false">
      <c r="A6404" s="37" t="s">
        <v>12462</v>
      </c>
      <c r="B6404" s="34" t="s">
        <v>12463</v>
      </c>
      <c r="C6404" s="34" t="s">
        <v>139</v>
      </c>
    </row>
    <row r="6405" customFormat="false" ht="63.75" hidden="false" customHeight="false" outlineLevel="0" collapsed="false">
      <c r="A6405" s="37" t="s">
        <v>12464</v>
      </c>
      <c r="B6405" s="34" t="s">
        <v>12465</v>
      </c>
      <c r="C6405" s="34" t="s">
        <v>139</v>
      </c>
    </row>
    <row r="6406" customFormat="false" ht="63.75" hidden="false" customHeight="false" outlineLevel="0" collapsed="false">
      <c r="A6406" s="37" t="s">
        <v>12466</v>
      </c>
      <c r="B6406" s="34" t="s">
        <v>12467</v>
      </c>
      <c r="C6406" s="34" t="s">
        <v>139</v>
      </c>
    </row>
    <row r="6407" customFormat="false" ht="63.75" hidden="false" customHeight="false" outlineLevel="0" collapsed="false">
      <c r="A6407" s="37" t="s">
        <v>12468</v>
      </c>
      <c r="B6407" s="34" t="s">
        <v>12469</v>
      </c>
      <c r="C6407" s="34" t="s">
        <v>139</v>
      </c>
    </row>
    <row r="6408" customFormat="false" ht="63.75" hidden="false" customHeight="false" outlineLevel="0" collapsed="false">
      <c r="A6408" s="37" t="s">
        <v>12470</v>
      </c>
      <c r="B6408" s="34" t="s">
        <v>12471</v>
      </c>
      <c r="C6408" s="34" t="s">
        <v>139</v>
      </c>
    </row>
    <row r="6409" customFormat="false" ht="63.75" hidden="false" customHeight="false" outlineLevel="0" collapsed="false">
      <c r="A6409" s="37" t="s">
        <v>12472</v>
      </c>
      <c r="B6409" s="34" t="s">
        <v>12473</v>
      </c>
      <c r="C6409" s="34" t="s">
        <v>139</v>
      </c>
    </row>
    <row r="6410" customFormat="false" ht="63.75" hidden="false" customHeight="false" outlineLevel="0" collapsed="false">
      <c r="A6410" s="37" t="s">
        <v>12474</v>
      </c>
      <c r="B6410" s="34" t="s">
        <v>12475</v>
      </c>
      <c r="C6410" s="34" t="s">
        <v>139</v>
      </c>
    </row>
    <row r="6411" customFormat="false" ht="63.75" hidden="false" customHeight="false" outlineLevel="0" collapsed="false">
      <c r="A6411" s="37" t="s">
        <v>12476</v>
      </c>
      <c r="B6411" s="34" t="s">
        <v>12356</v>
      </c>
      <c r="C6411" s="34" t="s">
        <v>139</v>
      </c>
    </row>
    <row r="6412" customFormat="false" ht="63.75" hidden="false" customHeight="false" outlineLevel="0" collapsed="false">
      <c r="A6412" s="37" t="s">
        <v>12477</v>
      </c>
      <c r="B6412" s="34" t="s">
        <v>12478</v>
      </c>
      <c r="C6412" s="34" t="s">
        <v>139</v>
      </c>
    </row>
    <row r="6413" customFormat="false" ht="51" hidden="false" customHeight="false" outlineLevel="0" collapsed="false">
      <c r="A6413" s="37" t="s">
        <v>12479</v>
      </c>
      <c r="B6413" s="34" t="s">
        <v>12480</v>
      </c>
      <c r="C6413" s="34" t="s">
        <v>965</v>
      </c>
    </row>
    <row r="6414" customFormat="false" ht="51" hidden="false" customHeight="false" outlineLevel="0" collapsed="false">
      <c r="A6414" s="37" t="s">
        <v>12481</v>
      </c>
      <c r="B6414" s="34" t="s">
        <v>12482</v>
      </c>
      <c r="C6414" s="34" t="s">
        <v>965</v>
      </c>
    </row>
    <row r="6415" customFormat="false" ht="38.25" hidden="false" customHeight="false" outlineLevel="0" collapsed="false">
      <c r="A6415" s="37" t="s">
        <v>12483</v>
      </c>
      <c r="B6415" s="34" t="s">
        <v>12484</v>
      </c>
      <c r="C6415" s="34" t="s">
        <v>965</v>
      </c>
    </row>
    <row r="6416" customFormat="false" ht="51" hidden="false" customHeight="false" outlineLevel="0" collapsed="false">
      <c r="A6416" s="37" t="s">
        <v>12485</v>
      </c>
      <c r="B6416" s="34" t="s">
        <v>12486</v>
      </c>
      <c r="C6416" s="34" t="s">
        <v>965</v>
      </c>
    </row>
    <row r="6417" customFormat="false" ht="63.75" hidden="false" customHeight="false" outlineLevel="0" collapsed="false">
      <c r="A6417" s="37" t="s">
        <v>12487</v>
      </c>
      <c r="B6417" s="34" t="s">
        <v>12488</v>
      </c>
      <c r="C6417" s="34" t="s">
        <v>965</v>
      </c>
    </row>
    <row r="6418" customFormat="false" ht="38.25" hidden="false" customHeight="false" outlineLevel="0" collapsed="false">
      <c r="A6418" s="37" t="s">
        <v>12489</v>
      </c>
      <c r="B6418" s="34" t="s">
        <v>12490</v>
      </c>
      <c r="C6418" s="34" t="s">
        <v>965</v>
      </c>
    </row>
    <row r="6419" customFormat="false" ht="38.25" hidden="false" customHeight="false" outlineLevel="0" collapsed="false">
      <c r="A6419" s="37" t="s">
        <v>12491</v>
      </c>
      <c r="B6419" s="34" t="s">
        <v>12492</v>
      </c>
      <c r="C6419" s="34" t="s">
        <v>965</v>
      </c>
    </row>
    <row r="6420" customFormat="false" ht="76.5" hidden="false" customHeight="false" outlineLevel="0" collapsed="false">
      <c r="A6420" s="37" t="s">
        <v>12493</v>
      </c>
      <c r="B6420" s="34" t="s">
        <v>12494</v>
      </c>
      <c r="C6420" s="34" t="s">
        <v>965</v>
      </c>
    </row>
    <row r="6421" customFormat="false" ht="38.25" hidden="false" customHeight="false" outlineLevel="0" collapsed="false">
      <c r="A6421" s="37" t="s">
        <v>12495</v>
      </c>
      <c r="B6421" s="34" t="s">
        <v>12496</v>
      </c>
      <c r="C6421" s="34" t="s">
        <v>965</v>
      </c>
    </row>
    <row r="6422" customFormat="false" ht="38.25" hidden="false" customHeight="false" outlineLevel="0" collapsed="false">
      <c r="A6422" s="37" t="s">
        <v>12497</v>
      </c>
      <c r="B6422" s="34" t="s">
        <v>12498</v>
      </c>
      <c r="C6422" s="34" t="s">
        <v>965</v>
      </c>
    </row>
    <row r="6423" customFormat="false" ht="38.25" hidden="false" customHeight="false" outlineLevel="0" collapsed="false">
      <c r="A6423" s="37" t="s">
        <v>12499</v>
      </c>
      <c r="B6423" s="34" t="s">
        <v>12500</v>
      </c>
      <c r="C6423" s="34" t="s">
        <v>965</v>
      </c>
    </row>
    <row r="6424" customFormat="false" ht="38.25" hidden="false" customHeight="false" outlineLevel="0" collapsed="false">
      <c r="A6424" s="37" t="s">
        <v>12501</v>
      </c>
      <c r="B6424" s="34" t="s">
        <v>12502</v>
      </c>
      <c r="C6424" s="34" t="s">
        <v>965</v>
      </c>
    </row>
    <row r="6425" customFormat="false" ht="38.25" hidden="false" customHeight="false" outlineLevel="0" collapsed="false">
      <c r="A6425" s="37" t="s">
        <v>12503</v>
      </c>
      <c r="B6425" s="34" t="s">
        <v>12504</v>
      </c>
      <c r="C6425" s="34" t="s">
        <v>965</v>
      </c>
    </row>
    <row r="6426" customFormat="false" ht="76.5" hidden="false" customHeight="false" outlineLevel="0" collapsed="false">
      <c r="A6426" s="37" t="s">
        <v>12505</v>
      </c>
      <c r="B6426" s="34" t="s">
        <v>12506</v>
      </c>
      <c r="C6426" s="34" t="s">
        <v>965</v>
      </c>
    </row>
    <row r="6427" customFormat="false" ht="63.75" hidden="false" customHeight="false" outlineLevel="0" collapsed="false">
      <c r="A6427" s="37" t="s">
        <v>12507</v>
      </c>
      <c r="B6427" s="34" t="s">
        <v>12508</v>
      </c>
      <c r="C6427" s="34" t="s">
        <v>965</v>
      </c>
    </row>
    <row r="6428" customFormat="false" ht="63.75" hidden="false" customHeight="false" outlineLevel="0" collapsed="false">
      <c r="A6428" s="37" t="s">
        <v>12509</v>
      </c>
      <c r="B6428" s="34" t="s">
        <v>12510</v>
      </c>
      <c r="C6428" s="34" t="s">
        <v>2365</v>
      </c>
    </row>
    <row r="6429" customFormat="false" ht="63.75" hidden="false" customHeight="false" outlineLevel="0" collapsed="false">
      <c r="A6429" s="37" t="s">
        <v>12511</v>
      </c>
      <c r="B6429" s="34" t="s">
        <v>12512</v>
      </c>
      <c r="C6429" s="34" t="s">
        <v>2365</v>
      </c>
    </row>
    <row r="6430" customFormat="false" ht="63.75" hidden="false" customHeight="false" outlineLevel="0" collapsed="false">
      <c r="A6430" s="37" t="s">
        <v>12513</v>
      </c>
      <c r="B6430" s="34" t="s">
        <v>12514</v>
      </c>
      <c r="C6430" s="34" t="s">
        <v>2365</v>
      </c>
    </row>
    <row r="6431" customFormat="false" ht="63.75" hidden="false" customHeight="false" outlineLevel="0" collapsed="false">
      <c r="A6431" s="37" t="s">
        <v>12515</v>
      </c>
      <c r="B6431" s="34" t="s">
        <v>12516</v>
      </c>
      <c r="C6431" s="34" t="s">
        <v>2365</v>
      </c>
    </row>
    <row r="6432" customFormat="false" ht="63.75" hidden="false" customHeight="false" outlineLevel="0" collapsed="false">
      <c r="A6432" s="37" t="s">
        <v>12517</v>
      </c>
      <c r="B6432" s="34" t="s">
        <v>12518</v>
      </c>
      <c r="C6432" s="34" t="s">
        <v>2365</v>
      </c>
    </row>
    <row r="6433" customFormat="false" ht="63.75" hidden="false" customHeight="false" outlineLevel="0" collapsed="false">
      <c r="A6433" s="37" t="s">
        <v>12519</v>
      </c>
      <c r="B6433" s="34" t="s">
        <v>12520</v>
      </c>
      <c r="C6433" s="34" t="s">
        <v>2365</v>
      </c>
    </row>
    <row r="6434" customFormat="false" ht="63.75" hidden="false" customHeight="false" outlineLevel="0" collapsed="false">
      <c r="A6434" s="37" t="s">
        <v>12521</v>
      </c>
      <c r="B6434" s="34" t="s">
        <v>12522</v>
      </c>
      <c r="C6434" s="34" t="s">
        <v>2365</v>
      </c>
    </row>
    <row r="6435" customFormat="false" ht="63.75" hidden="false" customHeight="false" outlineLevel="0" collapsed="false">
      <c r="A6435" s="37" t="s">
        <v>12523</v>
      </c>
      <c r="B6435" s="34" t="s">
        <v>12524</v>
      </c>
      <c r="C6435" s="34" t="s">
        <v>2365</v>
      </c>
    </row>
    <row r="6436" customFormat="false" ht="63.75" hidden="false" customHeight="false" outlineLevel="0" collapsed="false">
      <c r="A6436" s="37" t="s">
        <v>12525</v>
      </c>
      <c r="B6436" s="34" t="s">
        <v>12526</v>
      </c>
      <c r="C6436" s="34" t="s">
        <v>2365</v>
      </c>
    </row>
    <row r="6437" customFormat="false" ht="63.75" hidden="false" customHeight="false" outlineLevel="0" collapsed="false">
      <c r="A6437" s="37" t="s">
        <v>12527</v>
      </c>
      <c r="B6437" s="34" t="s">
        <v>12528</v>
      </c>
      <c r="C6437" s="34" t="s">
        <v>2365</v>
      </c>
    </row>
    <row r="6438" customFormat="false" ht="51" hidden="false" customHeight="false" outlineLevel="0" collapsed="false">
      <c r="A6438" s="37" t="s">
        <v>12529</v>
      </c>
      <c r="B6438" s="34" t="s">
        <v>12530</v>
      </c>
      <c r="C6438" s="34" t="s">
        <v>2386</v>
      </c>
    </row>
    <row r="6439" customFormat="false" ht="51" hidden="false" customHeight="false" outlineLevel="0" collapsed="false">
      <c r="A6439" s="37" t="s">
        <v>12531</v>
      </c>
      <c r="B6439" s="34" t="s">
        <v>12532</v>
      </c>
      <c r="C6439" s="34" t="s">
        <v>2386</v>
      </c>
    </row>
    <row r="6440" customFormat="false" ht="51" hidden="false" customHeight="false" outlineLevel="0" collapsed="false">
      <c r="A6440" s="37" t="s">
        <v>12533</v>
      </c>
      <c r="B6440" s="34" t="s">
        <v>12534</v>
      </c>
      <c r="C6440" s="34" t="s">
        <v>2386</v>
      </c>
    </row>
    <row r="6441" customFormat="false" ht="51" hidden="false" customHeight="false" outlineLevel="0" collapsed="false">
      <c r="A6441" s="37" t="s">
        <v>12535</v>
      </c>
      <c r="B6441" s="34" t="s">
        <v>12536</v>
      </c>
      <c r="C6441" s="34" t="s">
        <v>2386</v>
      </c>
    </row>
    <row r="6442" customFormat="false" ht="51" hidden="false" customHeight="false" outlineLevel="0" collapsed="false">
      <c r="A6442" s="37" t="s">
        <v>12537</v>
      </c>
      <c r="B6442" s="34" t="s">
        <v>12538</v>
      </c>
      <c r="C6442" s="34" t="s">
        <v>2386</v>
      </c>
    </row>
    <row r="6443" customFormat="false" ht="63.75" hidden="false" customHeight="false" outlineLevel="0" collapsed="false">
      <c r="A6443" s="37" t="s">
        <v>12539</v>
      </c>
      <c r="B6443" s="34" t="s">
        <v>12540</v>
      </c>
      <c r="C6443" s="34" t="s">
        <v>2397</v>
      </c>
    </row>
    <row r="6444" customFormat="false" ht="63.75" hidden="false" customHeight="false" outlineLevel="0" collapsed="false">
      <c r="A6444" s="37" t="s">
        <v>12541</v>
      </c>
      <c r="B6444" s="34" t="s">
        <v>12542</v>
      </c>
      <c r="C6444" s="34" t="s">
        <v>139</v>
      </c>
    </row>
    <row r="6445" customFormat="false" ht="63.75" hidden="false" customHeight="false" outlineLevel="0" collapsed="false">
      <c r="A6445" s="37" t="s">
        <v>12543</v>
      </c>
      <c r="B6445" s="34" t="s">
        <v>12544</v>
      </c>
      <c r="C6445" s="34" t="s">
        <v>139</v>
      </c>
    </row>
    <row r="6446" customFormat="false" ht="63.75" hidden="false" customHeight="false" outlineLevel="0" collapsed="false">
      <c r="A6446" s="37" t="s">
        <v>12545</v>
      </c>
      <c r="B6446" s="34" t="s">
        <v>12546</v>
      </c>
      <c r="C6446" s="34" t="s">
        <v>139</v>
      </c>
    </row>
    <row r="6447" customFormat="false" ht="51" hidden="false" customHeight="false" outlineLevel="0" collapsed="false">
      <c r="A6447" s="37" t="s">
        <v>12547</v>
      </c>
      <c r="B6447" s="34" t="s">
        <v>12548</v>
      </c>
      <c r="C6447" s="34" t="s">
        <v>73</v>
      </c>
    </row>
    <row r="6448" customFormat="false" ht="38.25" hidden="false" customHeight="false" outlineLevel="0" collapsed="false">
      <c r="A6448" s="37" t="s">
        <v>12549</v>
      </c>
      <c r="B6448" s="34" t="s">
        <v>12550</v>
      </c>
      <c r="C6448" s="34" t="s">
        <v>2412</v>
      </c>
    </row>
    <row r="6449" customFormat="false" ht="102" hidden="false" customHeight="false" outlineLevel="0" collapsed="false">
      <c r="A6449" s="37" t="s">
        <v>12551</v>
      </c>
      <c r="B6449" s="34" t="s">
        <v>12552</v>
      </c>
      <c r="C6449" s="34" t="s">
        <v>95</v>
      </c>
    </row>
    <row r="6450" customFormat="false" ht="102" hidden="false" customHeight="false" outlineLevel="0" collapsed="false">
      <c r="A6450" s="37" t="s">
        <v>12553</v>
      </c>
      <c r="B6450" s="34" t="s">
        <v>12554</v>
      </c>
      <c r="C6450" s="34" t="s">
        <v>1506</v>
      </c>
    </row>
    <row r="6451" customFormat="false" ht="89.25" hidden="false" customHeight="false" outlineLevel="0" collapsed="false">
      <c r="A6451" s="37" t="s">
        <v>12555</v>
      </c>
      <c r="B6451" s="34" t="s">
        <v>12556</v>
      </c>
      <c r="C6451" s="34" t="s">
        <v>1508</v>
      </c>
    </row>
    <row r="6452" customFormat="false" ht="102" hidden="false" customHeight="false" outlineLevel="0" collapsed="false">
      <c r="A6452" s="37" t="s">
        <v>12557</v>
      </c>
      <c r="B6452" s="34" t="s">
        <v>12558</v>
      </c>
      <c r="C6452" s="34" t="s">
        <v>1510</v>
      </c>
    </row>
    <row r="6453" customFormat="false" ht="76.5" hidden="false" customHeight="false" outlineLevel="0" collapsed="false">
      <c r="A6453" s="37" t="s">
        <v>12559</v>
      </c>
      <c r="B6453" s="34" t="s">
        <v>12560</v>
      </c>
      <c r="C6453" s="34" t="s">
        <v>1512</v>
      </c>
    </row>
    <row r="6454" customFormat="false" ht="102" hidden="false" customHeight="false" outlineLevel="0" collapsed="false">
      <c r="A6454" s="37" t="s">
        <v>12561</v>
      </c>
      <c r="B6454" s="34" t="s">
        <v>12562</v>
      </c>
      <c r="C6454" s="34" t="s">
        <v>1514</v>
      </c>
    </row>
    <row r="6455" customFormat="false" ht="89.25" hidden="false" customHeight="false" outlineLevel="0" collapsed="false">
      <c r="A6455" s="37" t="s">
        <v>12563</v>
      </c>
      <c r="B6455" s="34" t="s">
        <v>12564</v>
      </c>
      <c r="C6455" s="34" t="s">
        <v>1517</v>
      </c>
    </row>
    <row r="6456" customFormat="false" ht="51" hidden="false" customHeight="false" outlineLevel="0" collapsed="false">
      <c r="A6456" s="37" t="s">
        <v>12565</v>
      </c>
      <c r="B6456" s="34" t="s">
        <v>12566</v>
      </c>
      <c r="C6456" s="34" t="s">
        <v>1520</v>
      </c>
    </row>
    <row r="6457" customFormat="false" ht="51" hidden="false" customHeight="false" outlineLevel="0" collapsed="false">
      <c r="A6457" s="37" t="s">
        <v>12567</v>
      </c>
      <c r="B6457" s="34" t="s">
        <v>12568</v>
      </c>
      <c r="C6457" s="34" t="s">
        <v>1520</v>
      </c>
    </row>
    <row r="6458" customFormat="false" ht="51" hidden="false" customHeight="false" outlineLevel="0" collapsed="false">
      <c r="A6458" s="37" t="s">
        <v>12569</v>
      </c>
      <c r="B6458" s="34" t="s">
        <v>12570</v>
      </c>
      <c r="C6458" s="34" t="s">
        <v>1520</v>
      </c>
    </row>
    <row r="6459" customFormat="false" ht="51" hidden="false" customHeight="false" outlineLevel="0" collapsed="false">
      <c r="A6459" s="37" t="s">
        <v>12571</v>
      </c>
      <c r="B6459" s="34" t="s">
        <v>12572</v>
      </c>
      <c r="C6459" s="34" t="s">
        <v>1520</v>
      </c>
    </row>
    <row r="6460" customFormat="false" ht="51" hidden="false" customHeight="false" outlineLevel="0" collapsed="false">
      <c r="A6460" s="37" t="s">
        <v>12573</v>
      </c>
      <c r="B6460" s="34" t="s">
        <v>12574</v>
      </c>
      <c r="C6460" s="34" t="s">
        <v>1520</v>
      </c>
    </row>
    <row r="6461" customFormat="false" ht="102" hidden="false" customHeight="false" outlineLevel="0" collapsed="false">
      <c r="A6461" s="37" t="s">
        <v>12575</v>
      </c>
      <c r="B6461" s="34" t="s">
        <v>12576</v>
      </c>
      <c r="C6461" s="34" t="s">
        <v>1530</v>
      </c>
    </row>
    <row r="6462" customFormat="false" ht="102" hidden="false" customHeight="false" outlineLevel="0" collapsed="false">
      <c r="A6462" s="37" t="s">
        <v>12577</v>
      </c>
      <c r="B6462" s="34" t="s">
        <v>12578</v>
      </c>
      <c r="C6462" s="34" t="s">
        <v>97</v>
      </c>
    </row>
    <row r="6463" customFormat="false" ht="102" hidden="false" customHeight="false" outlineLevel="0" collapsed="false">
      <c r="A6463" s="37" t="s">
        <v>12579</v>
      </c>
      <c r="B6463" s="34" t="s">
        <v>12580</v>
      </c>
      <c r="C6463" s="34" t="s">
        <v>97</v>
      </c>
    </row>
    <row r="6464" customFormat="false" ht="102" hidden="false" customHeight="false" outlineLevel="0" collapsed="false">
      <c r="A6464" s="37" t="s">
        <v>12581</v>
      </c>
      <c r="B6464" s="34" t="s">
        <v>12582</v>
      </c>
      <c r="C6464" s="34" t="s">
        <v>786</v>
      </c>
    </row>
    <row r="6465" customFormat="false" ht="114.75" hidden="false" customHeight="false" outlineLevel="0" collapsed="false">
      <c r="A6465" s="37" t="s">
        <v>12583</v>
      </c>
      <c r="B6465" s="34" t="s">
        <v>12584</v>
      </c>
      <c r="C6465" s="34" t="s">
        <v>849</v>
      </c>
    </row>
    <row r="6466" customFormat="false" ht="89.25" hidden="false" customHeight="false" outlineLevel="0" collapsed="false">
      <c r="A6466" s="37" t="s">
        <v>12585</v>
      </c>
      <c r="B6466" s="34" t="s">
        <v>12586</v>
      </c>
      <c r="C6466" s="34" t="s">
        <v>891</v>
      </c>
    </row>
    <row r="6467" customFormat="false" ht="114.75" hidden="false" customHeight="false" outlineLevel="0" collapsed="false">
      <c r="A6467" s="37" t="s">
        <v>12587</v>
      </c>
      <c r="B6467" s="34" t="s">
        <v>12588</v>
      </c>
      <c r="C6467" s="34" t="s">
        <v>853</v>
      </c>
    </row>
    <row r="6468" customFormat="false" ht="76.5" hidden="false" customHeight="false" outlineLevel="0" collapsed="false">
      <c r="A6468" s="37" t="s">
        <v>12589</v>
      </c>
      <c r="B6468" s="34" t="s">
        <v>12590</v>
      </c>
      <c r="C6468" s="34" t="s">
        <v>108</v>
      </c>
    </row>
    <row r="6469" customFormat="false" ht="89.25" hidden="false" customHeight="false" outlineLevel="0" collapsed="false">
      <c r="A6469" s="37" t="s">
        <v>12591</v>
      </c>
      <c r="B6469" s="34" t="s">
        <v>12592</v>
      </c>
      <c r="C6469" s="34" t="s">
        <v>871</v>
      </c>
    </row>
    <row r="6470" customFormat="false" ht="89.25" hidden="false" customHeight="false" outlineLevel="0" collapsed="false">
      <c r="A6470" s="37" t="s">
        <v>12593</v>
      </c>
      <c r="B6470" s="34" t="s">
        <v>12594</v>
      </c>
      <c r="C6470" s="34" t="s">
        <v>1543</v>
      </c>
    </row>
    <row r="6471" customFormat="false" ht="89.25" hidden="false" customHeight="false" outlineLevel="0" collapsed="false">
      <c r="A6471" s="37" t="s">
        <v>12595</v>
      </c>
      <c r="B6471" s="34" t="s">
        <v>12596</v>
      </c>
      <c r="C6471" s="34" t="s">
        <v>1546</v>
      </c>
    </row>
    <row r="6472" customFormat="false" ht="89.25" hidden="false" customHeight="false" outlineLevel="0" collapsed="false">
      <c r="A6472" s="37" t="s">
        <v>12597</v>
      </c>
      <c r="B6472" s="34" t="s">
        <v>12598</v>
      </c>
      <c r="C6472" s="34" t="s">
        <v>1546</v>
      </c>
    </row>
    <row r="6473" customFormat="false" ht="89.25" hidden="false" customHeight="false" outlineLevel="0" collapsed="false">
      <c r="A6473" s="37" t="s">
        <v>12599</v>
      </c>
      <c r="B6473" s="34" t="s">
        <v>12600</v>
      </c>
      <c r="C6473" s="34" t="s">
        <v>122</v>
      </c>
    </row>
    <row r="6474" customFormat="false" ht="89.25" hidden="false" customHeight="false" outlineLevel="0" collapsed="false">
      <c r="A6474" s="37" t="s">
        <v>12601</v>
      </c>
      <c r="B6474" s="34" t="s">
        <v>12602</v>
      </c>
      <c r="C6474" s="34" t="s">
        <v>874</v>
      </c>
    </row>
    <row r="6475" customFormat="false" ht="89.25" hidden="false" customHeight="false" outlineLevel="0" collapsed="false">
      <c r="A6475" s="37" t="s">
        <v>12603</v>
      </c>
      <c r="B6475" s="34" t="s">
        <v>12604</v>
      </c>
      <c r="C6475" s="34" t="s">
        <v>874</v>
      </c>
    </row>
    <row r="6476" customFormat="false" ht="89.25" hidden="false" customHeight="false" outlineLevel="0" collapsed="false">
      <c r="A6476" s="37" t="s">
        <v>12605</v>
      </c>
      <c r="B6476" s="34" t="s">
        <v>12606</v>
      </c>
      <c r="C6476" s="34" t="s">
        <v>874</v>
      </c>
    </row>
    <row r="6477" customFormat="false" ht="89.25" hidden="false" customHeight="false" outlineLevel="0" collapsed="false">
      <c r="A6477" s="37" t="s">
        <v>12607</v>
      </c>
      <c r="B6477" s="34" t="s">
        <v>12608</v>
      </c>
      <c r="C6477" s="34" t="s">
        <v>874</v>
      </c>
    </row>
    <row r="6478" customFormat="false" ht="102" hidden="false" customHeight="false" outlineLevel="0" collapsed="false">
      <c r="A6478" s="37" t="s">
        <v>12609</v>
      </c>
      <c r="B6478" s="34" t="s">
        <v>12610</v>
      </c>
      <c r="C6478" s="34" t="s">
        <v>883</v>
      </c>
    </row>
    <row r="6479" customFormat="false" ht="102" hidden="false" customHeight="false" outlineLevel="0" collapsed="false">
      <c r="A6479" s="37" t="s">
        <v>12611</v>
      </c>
      <c r="B6479" s="34" t="s">
        <v>12612</v>
      </c>
      <c r="C6479" s="34" t="s">
        <v>97</v>
      </c>
    </row>
    <row r="6480" customFormat="false" ht="102" hidden="false" customHeight="false" outlineLevel="0" collapsed="false">
      <c r="A6480" s="37" t="s">
        <v>12613</v>
      </c>
      <c r="B6480" s="34" t="s">
        <v>12614</v>
      </c>
      <c r="C6480" s="34" t="s">
        <v>97</v>
      </c>
    </row>
    <row r="6481" customFormat="false" ht="102" hidden="false" customHeight="false" outlineLevel="0" collapsed="false">
      <c r="A6481" s="37" t="s">
        <v>12615</v>
      </c>
      <c r="B6481" s="34" t="s">
        <v>12616</v>
      </c>
      <c r="C6481" s="34" t="s">
        <v>887</v>
      </c>
    </row>
    <row r="6482" customFormat="false" ht="114.75" hidden="false" customHeight="false" outlineLevel="0" collapsed="false">
      <c r="A6482" s="37" t="s">
        <v>12617</v>
      </c>
      <c r="B6482" s="34" t="s">
        <v>12618</v>
      </c>
      <c r="C6482" s="34" t="s">
        <v>849</v>
      </c>
    </row>
    <row r="6483" customFormat="false" ht="89.25" hidden="false" customHeight="false" outlineLevel="0" collapsed="false">
      <c r="A6483" s="37" t="s">
        <v>12619</v>
      </c>
      <c r="B6483" s="34" t="s">
        <v>12620</v>
      </c>
      <c r="C6483" s="34" t="s">
        <v>891</v>
      </c>
    </row>
    <row r="6484" customFormat="false" ht="114.75" hidden="false" customHeight="false" outlineLevel="0" collapsed="false">
      <c r="A6484" s="37" t="s">
        <v>12621</v>
      </c>
      <c r="B6484" s="34" t="s">
        <v>12622</v>
      </c>
      <c r="C6484" s="34" t="s">
        <v>853</v>
      </c>
    </row>
    <row r="6485" customFormat="false" ht="76.5" hidden="false" customHeight="false" outlineLevel="0" collapsed="false">
      <c r="A6485" s="37" t="s">
        <v>12623</v>
      </c>
      <c r="B6485" s="34" t="s">
        <v>12624</v>
      </c>
      <c r="C6485" s="34" t="s">
        <v>108</v>
      </c>
    </row>
    <row r="6486" customFormat="false" ht="89.25" hidden="false" customHeight="false" outlineLevel="0" collapsed="false">
      <c r="A6486" s="37" t="s">
        <v>12625</v>
      </c>
      <c r="B6486" s="34" t="s">
        <v>12626</v>
      </c>
      <c r="C6486" s="34" t="s">
        <v>871</v>
      </c>
    </row>
    <row r="6487" customFormat="false" ht="89.25" hidden="false" customHeight="false" outlineLevel="0" collapsed="false">
      <c r="A6487" s="37" t="s">
        <v>12627</v>
      </c>
      <c r="B6487" s="34" t="s">
        <v>12628</v>
      </c>
      <c r="C6487" s="34" t="s">
        <v>858</v>
      </c>
    </row>
    <row r="6488" customFormat="false" ht="89.25" hidden="false" customHeight="false" outlineLevel="0" collapsed="false">
      <c r="A6488" s="37" t="s">
        <v>12629</v>
      </c>
      <c r="B6488" s="34" t="s">
        <v>12630</v>
      </c>
      <c r="C6488" s="34" t="s">
        <v>902</v>
      </c>
    </row>
    <row r="6489" customFormat="false" ht="89.25" hidden="false" customHeight="false" outlineLevel="0" collapsed="false">
      <c r="A6489" s="37" t="s">
        <v>12631</v>
      </c>
      <c r="B6489" s="34" t="s">
        <v>12632</v>
      </c>
      <c r="C6489" s="34" t="s">
        <v>902</v>
      </c>
    </row>
    <row r="6490" customFormat="false" ht="89.25" hidden="false" customHeight="false" outlineLevel="0" collapsed="false">
      <c r="A6490" s="37" t="s">
        <v>12633</v>
      </c>
      <c r="B6490" s="34" t="s">
        <v>12634</v>
      </c>
      <c r="C6490" s="34" t="s">
        <v>122</v>
      </c>
    </row>
    <row r="6491" customFormat="false" ht="89.25" hidden="false" customHeight="false" outlineLevel="0" collapsed="false">
      <c r="A6491" s="37" t="s">
        <v>12635</v>
      </c>
      <c r="B6491" s="34" t="s">
        <v>12636</v>
      </c>
      <c r="C6491" s="34" t="s">
        <v>874</v>
      </c>
    </row>
    <row r="6492" customFormat="false" ht="89.25" hidden="false" customHeight="false" outlineLevel="0" collapsed="false">
      <c r="A6492" s="37" t="s">
        <v>12637</v>
      </c>
      <c r="B6492" s="34" t="s">
        <v>12638</v>
      </c>
      <c r="C6492" s="34" t="s">
        <v>874</v>
      </c>
    </row>
    <row r="6493" customFormat="false" ht="89.25" hidden="false" customHeight="false" outlineLevel="0" collapsed="false">
      <c r="A6493" s="37" t="s">
        <v>12639</v>
      </c>
      <c r="B6493" s="34" t="s">
        <v>12640</v>
      </c>
      <c r="C6493" s="34" t="s">
        <v>874</v>
      </c>
    </row>
    <row r="6494" customFormat="false" ht="89.25" hidden="false" customHeight="false" outlineLevel="0" collapsed="false">
      <c r="A6494" s="37" t="s">
        <v>12641</v>
      </c>
      <c r="B6494" s="34" t="s">
        <v>12642</v>
      </c>
      <c r="C6494" s="34" t="s">
        <v>874</v>
      </c>
    </row>
    <row r="6495" customFormat="false" ht="102" hidden="false" customHeight="false" outlineLevel="0" collapsed="false">
      <c r="A6495" s="37" t="s">
        <v>12643</v>
      </c>
      <c r="B6495" s="34" t="s">
        <v>12644</v>
      </c>
      <c r="C6495" s="34" t="s">
        <v>883</v>
      </c>
    </row>
    <row r="6496" customFormat="false" ht="102" hidden="false" customHeight="false" outlineLevel="0" collapsed="false">
      <c r="A6496" s="37" t="s">
        <v>12645</v>
      </c>
      <c r="B6496" s="34" t="s">
        <v>12646</v>
      </c>
      <c r="C6496" s="34" t="s">
        <v>883</v>
      </c>
    </row>
    <row r="6497" customFormat="false" ht="102" hidden="false" customHeight="false" outlineLevel="0" collapsed="false">
      <c r="A6497" s="37" t="s">
        <v>12647</v>
      </c>
      <c r="B6497" s="34" t="s">
        <v>12648</v>
      </c>
      <c r="C6497" s="34" t="s">
        <v>97</v>
      </c>
    </row>
    <row r="6498" customFormat="false" ht="102" hidden="false" customHeight="false" outlineLevel="0" collapsed="false">
      <c r="A6498" s="37" t="s">
        <v>12649</v>
      </c>
      <c r="B6498" s="34" t="s">
        <v>12650</v>
      </c>
      <c r="C6498" s="34" t="s">
        <v>887</v>
      </c>
    </row>
    <row r="6499" customFormat="false" ht="114.75" hidden="false" customHeight="false" outlineLevel="0" collapsed="false">
      <c r="A6499" s="37" t="s">
        <v>12651</v>
      </c>
      <c r="B6499" s="34" t="s">
        <v>12652</v>
      </c>
      <c r="C6499" s="34" t="s">
        <v>1593</v>
      </c>
    </row>
    <row r="6500" customFormat="false" ht="89.25" hidden="false" customHeight="false" outlineLevel="0" collapsed="false">
      <c r="A6500" s="37" t="s">
        <v>12653</v>
      </c>
      <c r="B6500" s="34" t="s">
        <v>12654</v>
      </c>
      <c r="C6500" s="34" t="s">
        <v>891</v>
      </c>
    </row>
    <row r="6501" customFormat="false" ht="114.75" hidden="false" customHeight="false" outlineLevel="0" collapsed="false">
      <c r="A6501" s="37" t="s">
        <v>12655</v>
      </c>
      <c r="B6501" s="34" t="s">
        <v>12656</v>
      </c>
      <c r="C6501" s="34" t="s">
        <v>1596</v>
      </c>
    </row>
    <row r="6502" customFormat="false" ht="76.5" hidden="false" customHeight="false" outlineLevel="0" collapsed="false">
      <c r="A6502" s="37" t="s">
        <v>12657</v>
      </c>
      <c r="B6502" s="34" t="s">
        <v>12658</v>
      </c>
      <c r="C6502" s="34" t="s">
        <v>108</v>
      </c>
    </row>
    <row r="6503" customFormat="false" ht="89.25" hidden="false" customHeight="false" outlineLevel="0" collapsed="false">
      <c r="A6503" s="37" t="s">
        <v>12659</v>
      </c>
      <c r="B6503" s="34" t="s">
        <v>12660</v>
      </c>
      <c r="C6503" s="34" t="s">
        <v>871</v>
      </c>
    </row>
    <row r="6504" customFormat="false" ht="89.25" hidden="false" customHeight="false" outlineLevel="0" collapsed="false">
      <c r="A6504" s="37" t="s">
        <v>12661</v>
      </c>
      <c r="B6504" s="34" t="s">
        <v>12662</v>
      </c>
      <c r="C6504" s="34" t="s">
        <v>874</v>
      </c>
    </row>
    <row r="6505" customFormat="false" ht="89.25" hidden="false" customHeight="false" outlineLevel="0" collapsed="false">
      <c r="A6505" s="37" t="s">
        <v>12663</v>
      </c>
      <c r="B6505" s="34" t="s">
        <v>12664</v>
      </c>
      <c r="C6505" s="34" t="s">
        <v>874</v>
      </c>
    </row>
    <row r="6506" customFormat="false" ht="89.25" hidden="false" customHeight="false" outlineLevel="0" collapsed="false">
      <c r="A6506" s="37" t="s">
        <v>12665</v>
      </c>
      <c r="B6506" s="34" t="s">
        <v>12666</v>
      </c>
      <c r="C6506" s="34" t="s">
        <v>874</v>
      </c>
    </row>
    <row r="6507" customFormat="false" ht="89.25" hidden="false" customHeight="false" outlineLevel="0" collapsed="false">
      <c r="A6507" s="37" t="s">
        <v>12667</v>
      </c>
      <c r="B6507" s="34" t="s">
        <v>12668</v>
      </c>
      <c r="C6507" s="34" t="s">
        <v>874</v>
      </c>
    </row>
    <row r="6508" customFormat="false" ht="102" hidden="false" customHeight="false" outlineLevel="0" collapsed="false">
      <c r="A6508" s="37" t="s">
        <v>12669</v>
      </c>
      <c r="B6508" s="34" t="s">
        <v>12670</v>
      </c>
      <c r="C6508" s="34" t="s">
        <v>883</v>
      </c>
    </row>
    <row r="6509" customFormat="false" ht="102" hidden="false" customHeight="false" outlineLevel="0" collapsed="false">
      <c r="A6509" s="37" t="s">
        <v>12671</v>
      </c>
      <c r="B6509" s="34" t="s">
        <v>12650</v>
      </c>
      <c r="C6509" s="34" t="s">
        <v>887</v>
      </c>
    </row>
    <row r="6510" customFormat="false" ht="89.25" hidden="false" customHeight="false" outlineLevel="0" collapsed="false">
      <c r="A6510" s="37" t="s">
        <v>12672</v>
      </c>
      <c r="B6510" s="34" t="s">
        <v>12673</v>
      </c>
      <c r="C6510" s="34" t="s">
        <v>858</v>
      </c>
    </row>
    <row r="6511" customFormat="false" ht="89.25" hidden="false" customHeight="false" outlineLevel="0" collapsed="false">
      <c r="A6511" s="37" t="s">
        <v>12674</v>
      </c>
      <c r="B6511" s="34" t="s">
        <v>12675</v>
      </c>
      <c r="C6511" s="34" t="s">
        <v>902</v>
      </c>
    </row>
    <row r="6512" customFormat="false" ht="89.25" hidden="false" customHeight="false" outlineLevel="0" collapsed="false">
      <c r="A6512" s="37" t="s">
        <v>12676</v>
      </c>
      <c r="B6512" s="34" t="s">
        <v>12677</v>
      </c>
      <c r="C6512" s="34" t="s">
        <v>902</v>
      </c>
    </row>
    <row r="6513" customFormat="false" ht="102" hidden="false" customHeight="false" outlineLevel="0" collapsed="false">
      <c r="A6513" s="37" t="s">
        <v>12678</v>
      </c>
      <c r="B6513" s="34" t="s">
        <v>12679</v>
      </c>
      <c r="C6513" s="34" t="s">
        <v>97</v>
      </c>
    </row>
    <row r="6514" customFormat="false" ht="89.25" hidden="false" customHeight="false" outlineLevel="0" collapsed="false">
      <c r="A6514" s="37" t="s">
        <v>12680</v>
      </c>
      <c r="B6514" s="34" t="s">
        <v>12681</v>
      </c>
      <c r="C6514" s="34" t="s">
        <v>2531</v>
      </c>
    </row>
    <row r="6515" customFormat="false" ht="102" hidden="false" customHeight="false" outlineLevel="0" collapsed="false">
      <c r="A6515" s="37" t="s">
        <v>12682</v>
      </c>
      <c r="B6515" s="34" t="s">
        <v>12683</v>
      </c>
      <c r="C6515" s="34" t="s">
        <v>887</v>
      </c>
    </row>
    <row r="6516" customFormat="false" ht="114.75" hidden="false" customHeight="false" outlineLevel="0" collapsed="false">
      <c r="A6516" s="37" t="s">
        <v>12684</v>
      </c>
      <c r="B6516" s="34" t="s">
        <v>12685</v>
      </c>
      <c r="C6516" s="34" t="s">
        <v>849</v>
      </c>
    </row>
    <row r="6517" customFormat="false" ht="89.25" hidden="false" customHeight="false" outlineLevel="0" collapsed="false">
      <c r="A6517" s="37" t="s">
        <v>12686</v>
      </c>
      <c r="B6517" s="34" t="s">
        <v>12687</v>
      </c>
      <c r="C6517" s="34" t="s">
        <v>891</v>
      </c>
    </row>
    <row r="6518" customFormat="false" ht="114.75" hidden="false" customHeight="false" outlineLevel="0" collapsed="false">
      <c r="A6518" s="37" t="s">
        <v>12688</v>
      </c>
      <c r="B6518" s="34" t="s">
        <v>12689</v>
      </c>
      <c r="C6518" s="34" t="s">
        <v>853</v>
      </c>
    </row>
    <row r="6519" customFormat="false" ht="76.5" hidden="false" customHeight="false" outlineLevel="0" collapsed="false">
      <c r="A6519" s="37" t="s">
        <v>12690</v>
      </c>
      <c r="B6519" s="34" t="s">
        <v>12691</v>
      </c>
      <c r="C6519" s="34" t="s">
        <v>108</v>
      </c>
    </row>
    <row r="6520" customFormat="false" ht="89.25" hidden="false" customHeight="false" outlineLevel="0" collapsed="false">
      <c r="A6520" s="37" t="s">
        <v>12692</v>
      </c>
      <c r="B6520" s="34" t="s">
        <v>12693</v>
      </c>
      <c r="C6520" s="34" t="s">
        <v>871</v>
      </c>
    </row>
    <row r="6521" customFormat="false" ht="89.25" hidden="false" customHeight="false" outlineLevel="0" collapsed="false">
      <c r="A6521" s="37" t="s">
        <v>12694</v>
      </c>
      <c r="B6521" s="34" t="s">
        <v>12695</v>
      </c>
      <c r="C6521" s="34" t="s">
        <v>858</v>
      </c>
    </row>
    <row r="6522" customFormat="false" ht="89.25" hidden="false" customHeight="false" outlineLevel="0" collapsed="false">
      <c r="A6522" s="37" t="s">
        <v>12696</v>
      </c>
      <c r="B6522" s="34" t="s">
        <v>12697</v>
      </c>
      <c r="C6522" s="34" t="s">
        <v>902</v>
      </c>
    </row>
    <row r="6523" customFormat="false" ht="89.25" hidden="false" customHeight="false" outlineLevel="0" collapsed="false">
      <c r="A6523" s="37" t="s">
        <v>12698</v>
      </c>
      <c r="B6523" s="34" t="s">
        <v>12699</v>
      </c>
      <c r="C6523" s="34" t="s">
        <v>902</v>
      </c>
    </row>
    <row r="6524" customFormat="false" ht="89.25" hidden="false" customHeight="false" outlineLevel="0" collapsed="false">
      <c r="A6524" s="37" t="s">
        <v>12700</v>
      </c>
      <c r="B6524" s="34" t="s">
        <v>12701</v>
      </c>
      <c r="C6524" s="34" t="s">
        <v>122</v>
      </c>
    </row>
    <row r="6525" customFormat="false" ht="89.25" hidden="false" customHeight="false" outlineLevel="0" collapsed="false">
      <c r="A6525" s="37" t="s">
        <v>12702</v>
      </c>
      <c r="B6525" s="34" t="s">
        <v>12703</v>
      </c>
      <c r="C6525" s="34" t="s">
        <v>874</v>
      </c>
    </row>
    <row r="6526" customFormat="false" ht="89.25" hidden="false" customHeight="false" outlineLevel="0" collapsed="false">
      <c r="A6526" s="37" t="s">
        <v>12704</v>
      </c>
      <c r="B6526" s="34" t="s">
        <v>12705</v>
      </c>
      <c r="C6526" s="34" t="s">
        <v>874</v>
      </c>
    </row>
    <row r="6527" customFormat="false" ht="89.25" hidden="false" customHeight="false" outlineLevel="0" collapsed="false">
      <c r="A6527" s="37" t="s">
        <v>12706</v>
      </c>
      <c r="B6527" s="34" t="s">
        <v>12707</v>
      </c>
      <c r="C6527" s="34" t="s">
        <v>874</v>
      </c>
    </row>
    <row r="6528" customFormat="false" ht="89.25" hidden="false" customHeight="false" outlineLevel="0" collapsed="false">
      <c r="A6528" s="37" t="s">
        <v>12708</v>
      </c>
      <c r="B6528" s="34" t="s">
        <v>12709</v>
      </c>
      <c r="C6528" s="34" t="s">
        <v>874</v>
      </c>
    </row>
    <row r="6529" customFormat="false" ht="102" hidden="false" customHeight="false" outlineLevel="0" collapsed="false">
      <c r="A6529" s="37" t="s">
        <v>12710</v>
      </c>
      <c r="B6529" s="34" t="s">
        <v>12711</v>
      </c>
      <c r="C6529" s="34" t="s">
        <v>883</v>
      </c>
    </row>
    <row r="6530" customFormat="false" ht="38.25" hidden="false" customHeight="false" outlineLevel="0" collapsed="false">
      <c r="A6530" s="37" t="s">
        <v>12712</v>
      </c>
      <c r="B6530" s="34" t="s">
        <v>12713</v>
      </c>
      <c r="C6530" s="34" t="s">
        <v>965</v>
      </c>
    </row>
    <row r="6531" customFormat="false" ht="38.25" hidden="false" customHeight="false" outlineLevel="0" collapsed="false">
      <c r="A6531" s="37" t="s">
        <v>12714</v>
      </c>
      <c r="B6531" s="34" t="s">
        <v>12713</v>
      </c>
      <c r="C6531" s="34" t="s">
        <v>965</v>
      </c>
    </row>
    <row r="6532" customFormat="false" ht="38.25" hidden="false" customHeight="false" outlineLevel="0" collapsed="false">
      <c r="A6532" s="37" t="s">
        <v>12715</v>
      </c>
      <c r="B6532" s="34" t="s">
        <v>12713</v>
      </c>
      <c r="C6532" s="34" t="s">
        <v>965</v>
      </c>
    </row>
    <row r="6533" customFormat="false" ht="38.25" hidden="false" customHeight="false" outlineLevel="0" collapsed="false">
      <c r="A6533" s="37" t="s">
        <v>12716</v>
      </c>
      <c r="B6533" s="34" t="s">
        <v>12713</v>
      </c>
      <c r="C6533" s="34" t="s">
        <v>965</v>
      </c>
    </row>
    <row r="6534" customFormat="false" ht="38.25" hidden="false" customHeight="false" outlineLevel="0" collapsed="false">
      <c r="A6534" s="37" t="s">
        <v>12717</v>
      </c>
      <c r="B6534" s="34" t="s">
        <v>12713</v>
      </c>
      <c r="C6534" s="34" t="s">
        <v>965</v>
      </c>
    </row>
    <row r="6535" customFormat="false" ht="38.25" hidden="false" customHeight="false" outlineLevel="0" collapsed="false">
      <c r="A6535" s="37" t="s">
        <v>12718</v>
      </c>
      <c r="B6535" s="34" t="s">
        <v>12713</v>
      </c>
      <c r="C6535" s="34" t="s">
        <v>965</v>
      </c>
    </row>
    <row r="6536" customFormat="false" ht="38.25" hidden="false" customHeight="false" outlineLevel="0" collapsed="false">
      <c r="A6536" s="37" t="s">
        <v>12719</v>
      </c>
      <c r="B6536" s="34" t="s">
        <v>12713</v>
      </c>
      <c r="C6536" s="34" t="s">
        <v>965</v>
      </c>
    </row>
    <row r="6537" customFormat="false" ht="38.25" hidden="false" customHeight="false" outlineLevel="0" collapsed="false">
      <c r="A6537" s="37" t="s">
        <v>12720</v>
      </c>
      <c r="B6537" s="34" t="s">
        <v>12713</v>
      </c>
      <c r="C6537" s="34" t="s">
        <v>965</v>
      </c>
    </row>
    <row r="6538" customFormat="false" ht="89.25" hidden="false" customHeight="false" outlineLevel="0" collapsed="false">
      <c r="A6538" s="37" t="s">
        <v>12721</v>
      </c>
      <c r="B6538" s="34" t="s">
        <v>12722</v>
      </c>
      <c r="C6538" s="34" t="s">
        <v>985</v>
      </c>
    </row>
    <row r="6539" customFormat="false" ht="89.25" hidden="false" customHeight="false" outlineLevel="0" collapsed="false">
      <c r="A6539" s="37" t="s">
        <v>12723</v>
      </c>
      <c r="B6539" s="34" t="s">
        <v>12724</v>
      </c>
      <c r="C6539" s="34" t="s">
        <v>988</v>
      </c>
    </row>
    <row r="6540" customFormat="false" ht="76.5" hidden="false" customHeight="false" outlineLevel="0" collapsed="false">
      <c r="A6540" s="37" t="s">
        <v>12725</v>
      </c>
      <c r="B6540" s="34" t="s">
        <v>12726</v>
      </c>
      <c r="C6540" s="34" t="s">
        <v>1661</v>
      </c>
    </row>
    <row r="6541" customFormat="false" ht="63.75" hidden="false" customHeight="false" outlineLevel="0" collapsed="false">
      <c r="A6541" s="37" t="s">
        <v>12727</v>
      </c>
      <c r="B6541" s="34" t="s">
        <v>12728</v>
      </c>
      <c r="C6541" s="34" t="s">
        <v>965</v>
      </c>
    </row>
    <row r="6542" customFormat="false" ht="63.75" hidden="false" customHeight="false" outlineLevel="0" collapsed="false">
      <c r="A6542" s="37" t="s">
        <v>12729</v>
      </c>
      <c r="B6542" s="34" t="s">
        <v>12730</v>
      </c>
      <c r="C6542" s="34" t="s">
        <v>965</v>
      </c>
    </row>
    <row r="6543" customFormat="false" ht="63.75" hidden="false" customHeight="false" outlineLevel="0" collapsed="false">
      <c r="A6543" s="37" t="s">
        <v>12731</v>
      </c>
      <c r="B6543" s="34" t="s">
        <v>12732</v>
      </c>
      <c r="C6543" s="34" t="s">
        <v>965</v>
      </c>
    </row>
    <row r="6544" customFormat="false" ht="89.25" hidden="false" customHeight="false" outlineLevel="0" collapsed="false">
      <c r="A6544" s="37" t="s">
        <v>12733</v>
      </c>
      <c r="B6544" s="34" t="s">
        <v>12734</v>
      </c>
      <c r="C6544" s="34" t="s">
        <v>997</v>
      </c>
    </row>
    <row r="6545" customFormat="false" ht="89.25" hidden="false" customHeight="false" outlineLevel="0" collapsed="false">
      <c r="A6545" s="37" t="s">
        <v>12735</v>
      </c>
      <c r="B6545" s="34" t="s">
        <v>12736</v>
      </c>
      <c r="C6545" s="34" t="s">
        <v>997</v>
      </c>
    </row>
    <row r="6546" customFormat="false" ht="89.25" hidden="false" customHeight="false" outlineLevel="0" collapsed="false">
      <c r="A6546" s="37" t="s">
        <v>12737</v>
      </c>
      <c r="B6546" s="34" t="s">
        <v>12738</v>
      </c>
      <c r="C6546" s="34" t="s">
        <v>997</v>
      </c>
    </row>
    <row r="6547" customFormat="false" ht="38.25" hidden="false" customHeight="false" outlineLevel="0" collapsed="false">
      <c r="A6547" s="37" t="s">
        <v>12739</v>
      </c>
      <c r="B6547" s="34" t="s">
        <v>12740</v>
      </c>
      <c r="C6547" s="34" t="s">
        <v>1002</v>
      </c>
    </row>
    <row r="6548" customFormat="false" ht="102" hidden="false" customHeight="false" outlineLevel="0" collapsed="false">
      <c r="A6548" s="37" t="s">
        <v>12741</v>
      </c>
      <c r="B6548" s="34" t="s">
        <v>12742</v>
      </c>
      <c r="C6548" s="34" t="s">
        <v>1453</v>
      </c>
    </row>
    <row r="6549" customFormat="false" ht="63.75" hidden="false" customHeight="false" outlineLevel="0" collapsed="false">
      <c r="A6549" s="37" t="s">
        <v>12743</v>
      </c>
      <c r="B6549" s="34" t="s">
        <v>12744</v>
      </c>
      <c r="C6549" s="34" t="s">
        <v>965</v>
      </c>
    </row>
    <row r="6550" customFormat="false" ht="63.75" hidden="false" customHeight="false" outlineLevel="0" collapsed="false">
      <c r="A6550" s="37" t="s">
        <v>12745</v>
      </c>
      <c r="B6550" s="34" t="s">
        <v>12746</v>
      </c>
      <c r="C6550" s="34" t="s">
        <v>965</v>
      </c>
    </row>
    <row r="6551" customFormat="false" ht="63.75" hidden="false" customHeight="false" outlineLevel="0" collapsed="false">
      <c r="A6551" s="37" t="s">
        <v>12747</v>
      </c>
      <c r="B6551" s="34" t="s">
        <v>12748</v>
      </c>
      <c r="C6551" s="34" t="s">
        <v>139</v>
      </c>
    </row>
    <row r="6552" customFormat="false" ht="63.75" hidden="false" customHeight="false" outlineLevel="0" collapsed="false">
      <c r="A6552" s="37" t="s">
        <v>12749</v>
      </c>
      <c r="B6552" s="34" t="s">
        <v>12750</v>
      </c>
      <c r="C6552" s="34" t="s">
        <v>142</v>
      </c>
    </row>
    <row r="6553" customFormat="false" ht="63.75" hidden="false" customHeight="false" outlineLevel="0" collapsed="false">
      <c r="A6553" s="37" t="s">
        <v>12751</v>
      </c>
      <c r="B6553" s="34" t="s">
        <v>12752</v>
      </c>
      <c r="C6553" s="34" t="s">
        <v>11706</v>
      </c>
    </row>
    <row r="6554" customFormat="false" ht="63.75" hidden="false" customHeight="false" outlineLevel="0" collapsed="false">
      <c r="A6554" s="37" t="s">
        <v>12753</v>
      </c>
      <c r="B6554" s="34" t="s">
        <v>12754</v>
      </c>
      <c r="C6554" s="34" t="s">
        <v>1033</v>
      </c>
    </row>
    <row r="6555" customFormat="false" ht="51" hidden="false" customHeight="false" outlineLevel="0" collapsed="false">
      <c r="A6555" s="37" t="s">
        <v>12755</v>
      </c>
      <c r="B6555" s="34" t="s">
        <v>12756</v>
      </c>
      <c r="C6555" s="34" t="s">
        <v>687</v>
      </c>
    </row>
    <row r="6556" customFormat="false" ht="51" hidden="false" customHeight="false" outlineLevel="0" collapsed="false">
      <c r="A6556" s="37" t="s">
        <v>12757</v>
      </c>
      <c r="B6556" s="34" t="s">
        <v>12758</v>
      </c>
      <c r="C6556" s="34" t="s">
        <v>1038</v>
      </c>
    </row>
    <row r="6557" customFormat="false" ht="38.25" hidden="false" customHeight="false" outlineLevel="0" collapsed="false">
      <c r="A6557" s="37" t="s">
        <v>12759</v>
      </c>
      <c r="B6557" s="34" t="s">
        <v>12760</v>
      </c>
      <c r="C6557" s="34" t="s">
        <v>1041</v>
      </c>
    </row>
    <row r="6558" customFormat="false" ht="38.25" hidden="false" customHeight="false" outlineLevel="0" collapsed="false">
      <c r="A6558" s="37" t="s">
        <v>12761</v>
      </c>
      <c r="B6558" s="34" t="s">
        <v>12762</v>
      </c>
      <c r="C6558" s="34" t="s">
        <v>1044</v>
      </c>
    </row>
    <row r="6559" customFormat="false" ht="51" hidden="false" customHeight="false" outlineLevel="0" collapsed="false">
      <c r="A6559" s="37" t="s">
        <v>12763</v>
      </c>
      <c r="B6559" s="34" t="s">
        <v>12764</v>
      </c>
      <c r="C6559" s="34" t="s">
        <v>1047</v>
      </c>
    </row>
    <row r="6560" customFormat="false" ht="51" hidden="false" customHeight="false" outlineLevel="0" collapsed="false">
      <c r="A6560" s="37" t="s">
        <v>12765</v>
      </c>
      <c r="B6560" s="34" t="s">
        <v>12766</v>
      </c>
      <c r="C6560" s="34" t="s">
        <v>1050</v>
      </c>
    </row>
    <row r="6561" customFormat="false" ht="51" hidden="false" customHeight="false" outlineLevel="0" collapsed="false">
      <c r="A6561" s="37" t="s">
        <v>12767</v>
      </c>
      <c r="B6561" s="34" t="s">
        <v>12768</v>
      </c>
      <c r="C6561" s="34" t="s">
        <v>1053</v>
      </c>
    </row>
    <row r="6562" customFormat="false" ht="38.25" hidden="false" customHeight="false" outlineLevel="0" collapsed="false">
      <c r="A6562" s="37" t="s">
        <v>12769</v>
      </c>
      <c r="B6562" s="34" t="s">
        <v>12770</v>
      </c>
      <c r="C6562" s="34" t="s">
        <v>1056</v>
      </c>
    </row>
    <row r="6563" customFormat="false" ht="63.75" hidden="false" customHeight="false" outlineLevel="0" collapsed="false">
      <c r="A6563" s="37" t="s">
        <v>12771</v>
      </c>
      <c r="B6563" s="34" t="s">
        <v>12772</v>
      </c>
      <c r="C6563" s="34" t="s">
        <v>1059</v>
      </c>
    </row>
    <row r="6564" customFormat="false" ht="63.75" hidden="false" customHeight="false" outlineLevel="0" collapsed="false">
      <c r="A6564" s="37" t="s">
        <v>12773</v>
      </c>
      <c r="B6564" s="34" t="s">
        <v>12774</v>
      </c>
      <c r="C6564" s="34" t="s">
        <v>139</v>
      </c>
    </row>
    <row r="6565" customFormat="false" ht="63.75" hidden="false" customHeight="false" outlineLevel="0" collapsed="false">
      <c r="A6565" s="37" t="s">
        <v>12775</v>
      </c>
      <c r="B6565" s="34" t="s">
        <v>12776</v>
      </c>
      <c r="C6565" s="34" t="s">
        <v>139</v>
      </c>
    </row>
    <row r="6566" customFormat="false" ht="63.75" hidden="false" customHeight="false" outlineLevel="0" collapsed="false">
      <c r="A6566" s="37" t="s">
        <v>12777</v>
      </c>
      <c r="B6566" s="34" t="s">
        <v>12778</v>
      </c>
      <c r="C6566" s="34" t="s">
        <v>139</v>
      </c>
    </row>
    <row r="6567" customFormat="false" ht="89.25" hidden="false" customHeight="false" outlineLevel="0" collapsed="false">
      <c r="A6567" s="37" t="s">
        <v>12779</v>
      </c>
      <c r="B6567" s="34" t="s">
        <v>12780</v>
      </c>
      <c r="C6567" s="34" t="s">
        <v>1717</v>
      </c>
    </row>
    <row r="6568" customFormat="false" ht="127.5" hidden="false" customHeight="false" outlineLevel="0" collapsed="false">
      <c r="A6568" s="37" t="s">
        <v>12781</v>
      </c>
      <c r="B6568" s="34" t="s">
        <v>12782</v>
      </c>
      <c r="C6568" s="34" t="s">
        <v>1069</v>
      </c>
    </row>
    <row r="6569" customFormat="false" ht="127.5" hidden="false" customHeight="false" outlineLevel="0" collapsed="false">
      <c r="A6569" s="37" t="s">
        <v>12783</v>
      </c>
      <c r="B6569" s="34" t="s">
        <v>12784</v>
      </c>
      <c r="C6569" s="34" t="s">
        <v>1069</v>
      </c>
    </row>
    <row r="6570" customFormat="false" ht="127.5" hidden="false" customHeight="false" outlineLevel="0" collapsed="false">
      <c r="A6570" s="37" t="s">
        <v>12785</v>
      </c>
      <c r="B6570" s="34" t="s">
        <v>12786</v>
      </c>
      <c r="C6570" s="34" t="s">
        <v>1069</v>
      </c>
    </row>
    <row r="6571" customFormat="false" ht="127.5" hidden="false" customHeight="false" outlineLevel="0" collapsed="false">
      <c r="A6571" s="37" t="s">
        <v>12787</v>
      </c>
      <c r="B6571" s="34" t="s">
        <v>12788</v>
      </c>
      <c r="C6571" s="34" t="s">
        <v>1069</v>
      </c>
    </row>
    <row r="6572" customFormat="false" ht="127.5" hidden="false" customHeight="false" outlineLevel="0" collapsed="false">
      <c r="A6572" s="37" t="s">
        <v>12789</v>
      </c>
      <c r="B6572" s="34" t="s">
        <v>12790</v>
      </c>
      <c r="C6572" s="34" t="s">
        <v>1069</v>
      </c>
    </row>
    <row r="6573" customFormat="false" ht="127.5" hidden="false" customHeight="false" outlineLevel="0" collapsed="false">
      <c r="A6573" s="37" t="s">
        <v>12791</v>
      </c>
      <c r="B6573" s="34" t="s">
        <v>12792</v>
      </c>
      <c r="C6573" s="34" t="s">
        <v>1069</v>
      </c>
    </row>
    <row r="6574" customFormat="false" ht="127.5" hidden="false" customHeight="false" outlineLevel="0" collapsed="false">
      <c r="A6574" s="37" t="s">
        <v>12793</v>
      </c>
      <c r="B6574" s="34" t="s">
        <v>12794</v>
      </c>
      <c r="C6574" s="34" t="s">
        <v>1069</v>
      </c>
    </row>
    <row r="6575" customFormat="false" ht="127.5" hidden="false" customHeight="false" outlineLevel="0" collapsed="false">
      <c r="A6575" s="37" t="s">
        <v>12795</v>
      </c>
      <c r="B6575" s="34" t="s">
        <v>12796</v>
      </c>
      <c r="C6575" s="34" t="s">
        <v>1069</v>
      </c>
    </row>
    <row r="6576" customFormat="false" ht="127.5" hidden="false" customHeight="false" outlineLevel="0" collapsed="false">
      <c r="A6576" s="37" t="s">
        <v>12797</v>
      </c>
      <c r="B6576" s="34" t="s">
        <v>12798</v>
      </c>
      <c r="C6576" s="34" t="s">
        <v>1069</v>
      </c>
    </row>
    <row r="6577" customFormat="false" ht="127.5" hidden="false" customHeight="false" outlineLevel="0" collapsed="false">
      <c r="A6577" s="37" t="s">
        <v>12799</v>
      </c>
      <c r="B6577" s="34" t="s">
        <v>12800</v>
      </c>
      <c r="C6577" s="34" t="s">
        <v>1069</v>
      </c>
    </row>
    <row r="6578" customFormat="false" ht="127.5" hidden="false" customHeight="false" outlineLevel="0" collapsed="false">
      <c r="A6578" s="37" t="s">
        <v>12801</v>
      </c>
      <c r="B6578" s="34" t="s">
        <v>12802</v>
      </c>
      <c r="C6578" s="34" t="s">
        <v>1732</v>
      </c>
    </row>
    <row r="6579" customFormat="false" ht="127.5" hidden="false" customHeight="false" outlineLevel="0" collapsed="false">
      <c r="A6579" s="37" t="s">
        <v>12803</v>
      </c>
      <c r="B6579" s="34" t="s">
        <v>12804</v>
      </c>
      <c r="C6579" s="34" t="s">
        <v>1732</v>
      </c>
    </row>
    <row r="6580" customFormat="false" ht="102" hidden="false" customHeight="false" outlineLevel="0" collapsed="false">
      <c r="A6580" s="37" t="s">
        <v>12805</v>
      </c>
      <c r="B6580" s="34" t="s">
        <v>12806</v>
      </c>
      <c r="C6580" s="34" t="s">
        <v>1737</v>
      </c>
    </row>
    <row r="6581" customFormat="false" ht="102" hidden="false" customHeight="false" outlineLevel="0" collapsed="false">
      <c r="A6581" s="37" t="s">
        <v>12807</v>
      </c>
      <c r="B6581" s="34" t="s">
        <v>12808</v>
      </c>
      <c r="C6581" s="34" t="s">
        <v>1737</v>
      </c>
    </row>
    <row r="6582" customFormat="false" ht="76.5" hidden="false" customHeight="false" outlineLevel="0" collapsed="false">
      <c r="A6582" s="37" t="s">
        <v>12809</v>
      </c>
      <c r="B6582" s="34" t="s">
        <v>12810</v>
      </c>
      <c r="C6582" s="34" t="s">
        <v>1741</v>
      </c>
    </row>
    <row r="6583" customFormat="false" ht="63.75" hidden="false" customHeight="false" outlineLevel="0" collapsed="false">
      <c r="A6583" s="37" t="s">
        <v>12811</v>
      </c>
      <c r="B6583" s="34" t="s">
        <v>12812</v>
      </c>
      <c r="C6583" s="34" t="s">
        <v>1744</v>
      </c>
    </row>
    <row r="6584" customFormat="false" ht="102" hidden="false" customHeight="false" outlineLevel="0" collapsed="false">
      <c r="A6584" s="37" t="s">
        <v>12813</v>
      </c>
      <c r="B6584" s="34" t="s">
        <v>12814</v>
      </c>
      <c r="C6584" s="34" t="s">
        <v>177</v>
      </c>
    </row>
    <row r="6585" customFormat="false" ht="102" hidden="false" customHeight="false" outlineLevel="0" collapsed="false">
      <c r="A6585" s="37" t="s">
        <v>12815</v>
      </c>
      <c r="B6585" s="34" t="s">
        <v>12816</v>
      </c>
      <c r="C6585" s="34" t="s">
        <v>177</v>
      </c>
    </row>
    <row r="6586" customFormat="false" ht="102" hidden="false" customHeight="false" outlineLevel="0" collapsed="false">
      <c r="A6586" s="37" t="s">
        <v>12817</v>
      </c>
      <c r="B6586" s="34" t="s">
        <v>12818</v>
      </c>
      <c r="C6586" s="34" t="s">
        <v>1751</v>
      </c>
    </row>
    <row r="6587" customFormat="false" ht="102" hidden="false" customHeight="false" outlineLevel="0" collapsed="false">
      <c r="A6587" s="37" t="s">
        <v>12819</v>
      </c>
      <c r="B6587" s="34" t="s">
        <v>12820</v>
      </c>
      <c r="C6587" s="34" t="s">
        <v>1751</v>
      </c>
    </row>
    <row r="6588" customFormat="false" ht="102" hidden="false" customHeight="false" outlineLevel="0" collapsed="false">
      <c r="A6588" s="37" t="s">
        <v>12821</v>
      </c>
      <c r="B6588" s="34" t="s">
        <v>12822</v>
      </c>
      <c r="C6588" s="34" t="s">
        <v>1737</v>
      </c>
    </row>
    <row r="6589" customFormat="false" ht="102" hidden="false" customHeight="false" outlineLevel="0" collapsed="false">
      <c r="A6589" s="37" t="s">
        <v>12823</v>
      </c>
      <c r="B6589" s="34" t="s">
        <v>12824</v>
      </c>
      <c r="C6589" s="34" t="s">
        <v>1737</v>
      </c>
    </row>
    <row r="6590" customFormat="false" ht="127.5" hidden="false" customHeight="false" outlineLevel="0" collapsed="false">
      <c r="A6590" s="37" t="s">
        <v>12825</v>
      </c>
      <c r="B6590" s="34" t="s">
        <v>12826</v>
      </c>
      <c r="C6590" s="34" t="s">
        <v>186</v>
      </c>
    </row>
    <row r="6591" customFormat="false" ht="89.25" hidden="false" customHeight="false" outlineLevel="0" collapsed="false">
      <c r="A6591" s="37" t="s">
        <v>12827</v>
      </c>
      <c r="B6591" s="34" t="s">
        <v>12828</v>
      </c>
      <c r="C6591" s="34" t="s">
        <v>1762</v>
      </c>
    </row>
    <row r="6592" customFormat="false" ht="63.75" hidden="false" customHeight="false" outlineLevel="0" collapsed="false">
      <c r="A6592" s="37" t="s">
        <v>12829</v>
      </c>
      <c r="B6592" s="34" t="s">
        <v>6692</v>
      </c>
      <c r="C6592" s="34" t="s">
        <v>139</v>
      </c>
    </row>
    <row r="6593" customFormat="false" ht="63.75" hidden="false" customHeight="false" outlineLevel="0" collapsed="false">
      <c r="A6593" s="37" t="s">
        <v>12830</v>
      </c>
      <c r="B6593" s="34" t="s">
        <v>6694</v>
      </c>
      <c r="C6593" s="34" t="s">
        <v>139</v>
      </c>
    </row>
    <row r="6594" customFormat="false" ht="63.75" hidden="false" customHeight="false" outlineLevel="0" collapsed="false">
      <c r="A6594" s="37" t="s">
        <v>12831</v>
      </c>
      <c r="B6594" s="34" t="s">
        <v>12832</v>
      </c>
      <c r="C6594" s="34" t="s">
        <v>139</v>
      </c>
    </row>
    <row r="6595" customFormat="false" ht="51" hidden="false" customHeight="false" outlineLevel="0" collapsed="false">
      <c r="A6595" s="37" t="s">
        <v>12833</v>
      </c>
      <c r="B6595" s="34" t="s">
        <v>12834</v>
      </c>
      <c r="C6595" s="34" t="s">
        <v>965</v>
      </c>
    </row>
    <row r="6596" customFormat="false" ht="38.25" hidden="false" customHeight="false" outlineLevel="0" collapsed="false">
      <c r="A6596" s="37" t="s">
        <v>12835</v>
      </c>
      <c r="B6596" s="34" t="s">
        <v>12836</v>
      </c>
      <c r="C6596" s="34" t="s">
        <v>965</v>
      </c>
    </row>
    <row r="6597" customFormat="false" ht="89.25" hidden="false" customHeight="false" outlineLevel="0" collapsed="false">
      <c r="A6597" s="37" t="s">
        <v>12837</v>
      </c>
      <c r="B6597" s="34" t="s">
        <v>12838</v>
      </c>
      <c r="C6597" s="34" t="s">
        <v>1774</v>
      </c>
    </row>
    <row r="6598" customFormat="false" ht="127.5" hidden="false" customHeight="false" outlineLevel="0" collapsed="false">
      <c r="A6598" s="37" t="s">
        <v>12839</v>
      </c>
      <c r="B6598" s="34" t="s">
        <v>12840</v>
      </c>
      <c r="C6598" s="34" t="s">
        <v>1079</v>
      </c>
    </row>
    <row r="6599" customFormat="false" ht="127.5" hidden="false" customHeight="false" outlineLevel="0" collapsed="false">
      <c r="A6599" s="37" t="s">
        <v>12841</v>
      </c>
      <c r="B6599" s="34" t="s">
        <v>12842</v>
      </c>
      <c r="C6599" s="34" t="s">
        <v>1079</v>
      </c>
    </row>
    <row r="6600" customFormat="false" ht="127.5" hidden="false" customHeight="false" outlineLevel="0" collapsed="false">
      <c r="A6600" s="37" t="s">
        <v>12843</v>
      </c>
      <c r="B6600" s="34" t="s">
        <v>12844</v>
      </c>
      <c r="C6600" s="34" t="s">
        <v>1079</v>
      </c>
    </row>
    <row r="6601" customFormat="false" ht="127.5" hidden="false" customHeight="false" outlineLevel="0" collapsed="false">
      <c r="A6601" s="37" t="s">
        <v>12845</v>
      </c>
      <c r="B6601" s="34" t="s">
        <v>12846</v>
      </c>
      <c r="C6601" s="34" t="s">
        <v>1079</v>
      </c>
    </row>
    <row r="6602" customFormat="false" ht="127.5" hidden="false" customHeight="false" outlineLevel="0" collapsed="false">
      <c r="A6602" s="37" t="s">
        <v>12847</v>
      </c>
      <c r="B6602" s="34" t="s">
        <v>12848</v>
      </c>
      <c r="C6602" s="34" t="s">
        <v>1079</v>
      </c>
    </row>
    <row r="6603" customFormat="false" ht="127.5" hidden="false" customHeight="false" outlineLevel="0" collapsed="false">
      <c r="A6603" s="37" t="s">
        <v>12849</v>
      </c>
      <c r="B6603" s="34" t="s">
        <v>12850</v>
      </c>
      <c r="C6603" s="34" t="s">
        <v>1079</v>
      </c>
    </row>
    <row r="6604" customFormat="false" ht="127.5" hidden="false" customHeight="false" outlineLevel="0" collapsed="false">
      <c r="A6604" s="37" t="s">
        <v>12851</v>
      </c>
      <c r="B6604" s="34" t="s">
        <v>12852</v>
      </c>
      <c r="C6604" s="34" t="s">
        <v>1079</v>
      </c>
    </row>
    <row r="6605" customFormat="false" ht="127.5" hidden="false" customHeight="false" outlineLevel="0" collapsed="false">
      <c r="A6605" s="37" t="s">
        <v>12853</v>
      </c>
      <c r="B6605" s="34" t="s">
        <v>12854</v>
      </c>
      <c r="C6605" s="34" t="s">
        <v>1079</v>
      </c>
    </row>
    <row r="6606" customFormat="false" ht="127.5" hidden="false" customHeight="false" outlineLevel="0" collapsed="false">
      <c r="A6606" s="37" t="s">
        <v>12855</v>
      </c>
      <c r="B6606" s="34" t="s">
        <v>12856</v>
      </c>
      <c r="C6606" s="34" t="s">
        <v>1079</v>
      </c>
    </row>
    <row r="6607" customFormat="false" ht="127.5" hidden="false" customHeight="false" outlineLevel="0" collapsed="false">
      <c r="A6607" s="37" t="s">
        <v>12857</v>
      </c>
      <c r="B6607" s="34" t="s">
        <v>12858</v>
      </c>
      <c r="C6607" s="34" t="s">
        <v>1079</v>
      </c>
    </row>
    <row r="6608" customFormat="false" ht="127.5" hidden="false" customHeight="false" outlineLevel="0" collapsed="false">
      <c r="A6608" s="37" t="s">
        <v>12859</v>
      </c>
      <c r="B6608" s="34" t="s">
        <v>6724</v>
      </c>
      <c r="C6608" s="34" t="s">
        <v>1788</v>
      </c>
    </row>
    <row r="6609" customFormat="false" ht="127.5" hidden="false" customHeight="false" outlineLevel="0" collapsed="false">
      <c r="A6609" s="37" t="s">
        <v>12860</v>
      </c>
      <c r="B6609" s="34" t="s">
        <v>12861</v>
      </c>
      <c r="C6609" s="34" t="s">
        <v>1788</v>
      </c>
    </row>
    <row r="6610" customFormat="false" ht="102" hidden="false" customHeight="false" outlineLevel="0" collapsed="false">
      <c r="A6610" s="37" t="s">
        <v>12862</v>
      </c>
      <c r="B6610" s="34" t="s">
        <v>12863</v>
      </c>
      <c r="C6610" s="34" t="s">
        <v>1793</v>
      </c>
    </row>
    <row r="6611" customFormat="false" ht="102" hidden="false" customHeight="false" outlineLevel="0" collapsed="false">
      <c r="A6611" s="37" t="s">
        <v>12864</v>
      </c>
      <c r="B6611" s="34" t="s">
        <v>12865</v>
      </c>
      <c r="C6611" s="34" t="s">
        <v>1793</v>
      </c>
    </row>
    <row r="6612" customFormat="false" ht="76.5" hidden="false" customHeight="false" outlineLevel="0" collapsed="false">
      <c r="A6612" s="37" t="s">
        <v>12866</v>
      </c>
      <c r="B6612" s="34" t="s">
        <v>12867</v>
      </c>
      <c r="C6612" s="34" t="s">
        <v>1798</v>
      </c>
    </row>
    <row r="6613" customFormat="false" ht="63.75" hidden="false" customHeight="false" outlineLevel="0" collapsed="false">
      <c r="A6613" s="37" t="s">
        <v>12868</v>
      </c>
      <c r="B6613" s="34" t="s">
        <v>12869</v>
      </c>
      <c r="C6613" s="34" t="s">
        <v>1801</v>
      </c>
    </row>
    <row r="6614" customFormat="false" ht="102" hidden="false" customHeight="false" outlineLevel="0" collapsed="false">
      <c r="A6614" s="37" t="s">
        <v>12870</v>
      </c>
      <c r="B6614" s="34" t="s">
        <v>12871</v>
      </c>
      <c r="C6614" s="34" t="s">
        <v>221</v>
      </c>
    </row>
    <row r="6615" customFormat="false" ht="102" hidden="false" customHeight="false" outlineLevel="0" collapsed="false">
      <c r="A6615" s="37" t="s">
        <v>12872</v>
      </c>
      <c r="B6615" s="34" t="s">
        <v>12873</v>
      </c>
      <c r="C6615" s="34" t="s">
        <v>221</v>
      </c>
    </row>
    <row r="6616" customFormat="false" ht="102" hidden="false" customHeight="false" outlineLevel="0" collapsed="false">
      <c r="A6616" s="37" t="s">
        <v>12874</v>
      </c>
      <c r="B6616" s="34" t="s">
        <v>12875</v>
      </c>
      <c r="C6616" s="34" t="s">
        <v>1808</v>
      </c>
    </row>
    <row r="6617" customFormat="false" ht="102" hidden="false" customHeight="false" outlineLevel="0" collapsed="false">
      <c r="A6617" s="37" t="s">
        <v>12876</v>
      </c>
      <c r="B6617" s="34" t="s">
        <v>12877</v>
      </c>
      <c r="C6617" s="34" t="s">
        <v>1808</v>
      </c>
    </row>
    <row r="6618" customFormat="false" ht="102" hidden="false" customHeight="false" outlineLevel="0" collapsed="false">
      <c r="A6618" s="37" t="s">
        <v>12878</v>
      </c>
      <c r="B6618" s="34" t="s">
        <v>12879</v>
      </c>
      <c r="C6618" s="34" t="s">
        <v>1793</v>
      </c>
    </row>
    <row r="6619" customFormat="false" ht="89.25" hidden="false" customHeight="false" outlineLevel="0" collapsed="false">
      <c r="A6619" s="37" t="s">
        <v>12880</v>
      </c>
      <c r="B6619" s="34" t="s">
        <v>12881</v>
      </c>
      <c r="C6619" s="34" t="s">
        <v>210</v>
      </c>
    </row>
    <row r="6620" customFormat="false" ht="127.5" hidden="false" customHeight="false" outlineLevel="0" collapsed="false">
      <c r="A6620" s="37" t="s">
        <v>12882</v>
      </c>
      <c r="B6620" s="34" t="s">
        <v>12883</v>
      </c>
      <c r="C6620" s="34" t="s">
        <v>230</v>
      </c>
    </row>
    <row r="6621" customFormat="false" ht="89.25" hidden="false" customHeight="false" outlineLevel="0" collapsed="false">
      <c r="A6621" s="37" t="s">
        <v>12884</v>
      </c>
      <c r="B6621" s="34" t="s">
        <v>12885</v>
      </c>
      <c r="C6621" s="34" t="s">
        <v>1819</v>
      </c>
    </row>
    <row r="6622" customFormat="false" ht="63.75" hidden="false" customHeight="false" outlineLevel="0" collapsed="false">
      <c r="A6622" s="37" t="s">
        <v>12886</v>
      </c>
      <c r="B6622" s="34" t="s">
        <v>12887</v>
      </c>
      <c r="C6622" s="34" t="s">
        <v>139</v>
      </c>
    </row>
    <row r="6623" customFormat="false" ht="63.75" hidden="false" customHeight="false" outlineLevel="0" collapsed="false">
      <c r="A6623" s="37" t="s">
        <v>12888</v>
      </c>
      <c r="B6623" s="34" t="s">
        <v>12889</v>
      </c>
      <c r="C6623" s="34" t="s">
        <v>139</v>
      </c>
    </row>
    <row r="6624" customFormat="false" ht="63.75" hidden="false" customHeight="false" outlineLevel="0" collapsed="false">
      <c r="A6624" s="37" t="s">
        <v>12890</v>
      </c>
      <c r="B6624" s="34" t="s">
        <v>12891</v>
      </c>
      <c r="C6624" s="34" t="s">
        <v>139</v>
      </c>
    </row>
    <row r="6625" customFormat="false" ht="51" hidden="false" customHeight="false" outlineLevel="0" collapsed="false">
      <c r="A6625" s="37" t="s">
        <v>12892</v>
      </c>
      <c r="B6625" s="34" t="s">
        <v>12893</v>
      </c>
      <c r="C6625" s="34" t="s">
        <v>965</v>
      </c>
    </row>
    <row r="6626" customFormat="false" ht="38.25" hidden="false" customHeight="false" outlineLevel="0" collapsed="false">
      <c r="A6626" s="37" t="s">
        <v>12894</v>
      </c>
      <c r="B6626" s="34" t="s">
        <v>12895</v>
      </c>
      <c r="C6626" s="34" t="s">
        <v>965</v>
      </c>
    </row>
    <row r="6627" customFormat="false" ht="89.25" hidden="false" customHeight="false" outlineLevel="0" collapsed="false">
      <c r="A6627" s="37" t="s">
        <v>12896</v>
      </c>
      <c r="B6627" s="34" t="s">
        <v>12897</v>
      </c>
      <c r="C6627" s="34" t="s">
        <v>1831</v>
      </c>
    </row>
    <row r="6628" customFormat="false" ht="127.5" hidden="false" customHeight="false" outlineLevel="0" collapsed="false">
      <c r="A6628" s="37" t="s">
        <v>12898</v>
      </c>
      <c r="B6628" s="34" t="s">
        <v>12899</v>
      </c>
      <c r="C6628" s="34" t="s">
        <v>1089</v>
      </c>
    </row>
    <row r="6629" customFormat="false" ht="127.5" hidden="false" customHeight="false" outlineLevel="0" collapsed="false">
      <c r="A6629" s="37" t="s">
        <v>12900</v>
      </c>
      <c r="B6629" s="34" t="s">
        <v>12901</v>
      </c>
      <c r="C6629" s="34" t="s">
        <v>1089</v>
      </c>
    </row>
    <row r="6630" customFormat="false" ht="127.5" hidden="false" customHeight="false" outlineLevel="0" collapsed="false">
      <c r="A6630" s="37" t="s">
        <v>12902</v>
      </c>
      <c r="B6630" s="34" t="s">
        <v>12903</v>
      </c>
      <c r="C6630" s="34" t="s">
        <v>1089</v>
      </c>
    </row>
    <row r="6631" customFormat="false" ht="127.5" hidden="false" customHeight="false" outlineLevel="0" collapsed="false">
      <c r="A6631" s="37" t="s">
        <v>12904</v>
      </c>
      <c r="B6631" s="34" t="s">
        <v>12905</v>
      </c>
      <c r="C6631" s="34" t="s">
        <v>1089</v>
      </c>
    </row>
    <row r="6632" customFormat="false" ht="127.5" hidden="false" customHeight="false" outlineLevel="0" collapsed="false">
      <c r="A6632" s="37" t="s">
        <v>12906</v>
      </c>
      <c r="B6632" s="34" t="s">
        <v>12907</v>
      </c>
      <c r="C6632" s="34" t="s">
        <v>1089</v>
      </c>
    </row>
    <row r="6633" customFormat="false" ht="127.5" hidden="false" customHeight="false" outlineLevel="0" collapsed="false">
      <c r="A6633" s="37" t="s">
        <v>12908</v>
      </c>
      <c r="B6633" s="34" t="s">
        <v>12909</v>
      </c>
      <c r="C6633" s="34" t="s">
        <v>1089</v>
      </c>
    </row>
    <row r="6634" customFormat="false" ht="127.5" hidden="false" customHeight="false" outlineLevel="0" collapsed="false">
      <c r="A6634" s="37" t="s">
        <v>12910</v>
      </c>
      <c r="B6634" s="34" t="s">
        <v>12911</v>
      </c>
      <c r="C6634" s="34" t="s">
        <v>1089</v>
      </c>
    </row>
    <row r="6635" customFormat="false" ht="127.5" hidden="false" customHeight="false" outlineLevel="0" collapsed="false">
      <c r="A6635" s="37" t="s">
        <v>12912</v>
      </c>
      <c r="B6635" s="34" t="s">
        <v>12913</v>
      </c>
      <c r="C6635" s="34" t="s">
        <v>1089</v>
      </c>
    </row>
    <row r="6636" customFormat="false" ht="127.5" hidden="false" customHeight="false" outlineLevel="0" collapsed="false">
      <c r="A6636" s="37" t="s">
        <v>12914</v>
      </c>
      <c r="B6636" s="34" t="s">
        <v>12915</v>
      </c>
      <c r="C6636" s="34" t="s">
        <v>1089</v>
      </c>
    </row>
    <row r="6637" customFormat="false" ht="127.5" hidden="false" customHeight="false" outlineLevel="0" collapsed="false">
      <c r="A6637" s="37" t="s">
        <v>12916</v>
      </c>
      <c r="B6637" s="34" t="s">
        <v>12917</v>
      </c>
      <c r="C6637" s="34" t="s">
        <v>1089</v>
      </c>
    </row>
    <row r="6638" customFormat="false" ht="127.5" hidden="false" customHeight="false" outlineLevel="0" collapsed="false">
      <c r="A6638" s="37" t="s">
        <v>12918</v>
      </c>
      <c r="B6638" s="34" t="s">
        <v>12919</v>
      </c>
      <c r="C6638" s="34" t="s">
        <v>1846</v>
      </c>
    </row>
    <row r="6639" customFormat="false" ht="127.5" hidden="false" customHeight="false" outlineLevel="0" collapsed="false">
      <c r="A6639" s="37" t="s">
        <v>12920</v>
      </c>
      <c r="B6639" s="34" t="s">
        <v>12921</v>
      </c>
      <c r="C6639" s="34" t="s">
        <v>1846</v>
      </c>
    </row>
    <row r="6640" customFormat="false" ht="102" hidden="false" customHeight="false" outlineLevel="0" collapsed="false">
      <c r="A6640" s="37" t="s">
        <v>12922</v>
      </c>
      <c r="B6640" s="34" t="s">
        <v>12923</v>
      </c>
      <c r="C6640" s="34" t="s">
        <v>1851</v>
      </c>
    </row>
    <row r="6641" customFormat="false" ht="102" hidden="false" customHeight="false" outlineLevel="0" collapsed="false">
      <c r="A6641" s="37" t="s">
        <v>12924</v>
      </c>
      <c r="B6641" s="34" t="s">
        <v>12925</v>
      </c>
      <c r="C6641" s="34" t="s">
        <v>1851</v>
      </c>
    </row>
    <row r="6642" customFormat="false" ht="76.5" hidden="false" customHeight="false" outlineLevel="0" collapsed="false">
      <c r="A6642" s="37" t="s">
        <v>12926</v>
      </c>
      <c r="B6642" s="34" t="s">
        <v>12927</v>
      </c>
      <c r="C6642" s="34" t="s">
        <v>1856</v>
      </c>
    </row>
    <row r="6643" customFormat="false" ht="63.75" hidden="false" customHeight="false" outlineLevel="0" collapsed="false">
      <c r="A6643" s="37" t="s">
        <v>12928</v>
      </c>
      <c r="B6643" s="34" t="s">
        <v>12929</v>
      </c>
      <c r="C6643" s="34" t="s">
        <v>1859</v>
      </c>
    </row>
    <row r="6644" customFormat="false" ht="102" hidden="false" customHeight="false" outlineLevel="0" collapsed="false">
      <c r="A6644" s="37" t="s">
        <v>12930</v>
      </c>
      <c r="B6644" s="34" t="s">
        <v>12931</v>
      </c>
      <c r="C6644" s="34" t="s">
        <v>265</v>
      </c>
    </row>
    <row r="6645" customFormat="false" ht="102" hidden="false" customHeight="false" outlineLevel="0" collapsed="false">
      <c r="A6645" s="37" t="s">
        <v>12932</v>
      </c>
      <c r="B6645" s="34" t="s">
        <v>12933</v>
      </c>
      <c r="C6645" s="34" t="s">
        <v>265</v>
      </c>
    </row>
    <row r="6646" customFormat="false" ht="102" hidden="false" customHeight="false" outlineLevel="0" collapsed="false">
      <c r="A6646" s="37" t="s">
        <v>12934</v>
      </c>
      <c r="B6646" s="34" t="s">
        <v>12935</v>
      </c>
      <c r="C6646" s="34" t="s">
        <v>1866</v>
      </c>
    </row>
    <row r="6647" customFormat="false" ht="102" hidden="false" customHeight="false" outlineLevel="0" collapsed="false">
      <c r="A6647" s="37" t="s">
        <v>12936</v>
      </c>
      <c r="B6647" s="34" t="s">
        <v>12937</v>
      </c>
      <c r="C6647" s="34" t="s">
        <v>1866</v>
      </c>
    </row>
    <row r="6648" customFormat="false" ht="102" hidden="false" customHeight="false" outlineLevel="0" collapsed="false">
      <c r="A6648" s="37" t="s">
        <v>12938</v>
      </c>
      <c r="B6648" s="34" t="s">
        <v>12939</v>
      </c>
      <c r="C6648" s="34" t="s">
        <v>1851</v>
      </c>
    </row>
    <row r="6649" customFormat="false" ht="89.25" hidden="false" customHeight="false" outlineLevel="0" collapsed="false">
      <c r="A6649" s="37" t="s">
        <v>12940</v>
      </c>
      <c r="B6649" s="34" t="s">
        <v>12941</v>
      </c>
      <c r="C6649" s="34" t="s">
        <v>254</v>
      </c>
    </row>
    <row r="6650" customFormat="false" ht="127.5" hidden="false" customHeight="false" outlineLevel="0" collapsed="false">
      <c r="A6650" s="37" t="s">
        <v>12942</v>
      </c>
      <c r="B6650" s="34" t="s">
        <v>12943</v>
      </c>
      <c r="C6650" s="34" t="s">
        <v>274</v>
      </c>
    </row>
    <row r="6651" customFormat="false" ht="89.25" hidden="false" customHeight="false" outlineLevel="0" collapsed="false">
      <c r="A6651" s="37" t="s">
        <v>12944</v>
      </c>
      <c r="B6651" s="34" t="s">
        <v>12945</v>
      </c>
      <c r="C6651" s="34" t="s">
        <v>1877</v>
      </c>
    </row>
    <row r="6652" customFormat="false" ht="63.75" hidden="false" customHeight="false" outlineLevel="0" collapsed="false">
      <c r="A6652" s="37" t="s">
        <v>12946</v>
      </c>
      <c r="B6652" s="34" t="s">
        <v>12947</v>
      </c>
      <c r="C6652" s="34" t="s">
        <v>139</v>
      </c>
    </row>
    <row r="6653" customFormat="false" ht="63.75" hidden="false" customHeight="false" outlineLevel="0" collapsed="false">
      <c r="A6653" s="37" t="s">
        <v>12948</v>
      </c>
      <c r="B6653" s="34" t="s">
        <v>12949</v>
      </c>
      <c r="C6653" s="34" t="s">
        <v>139</v>
      </c>
    </row>
    <row r="6654" customFormat="false" ht="63.75" hidden="false" customHeight="false" outlineLevel="0" collapsed="false">
      <c r="A6654" s="37" t="s">
        <v>12950</v>
      </c>
      <c r="B6654" s="34" t="s">
        <v>12951</v>
      </c>
      <c r="C6654" s="34" t="s">
        <v>139</v>
      </c>
    </row>
    <row r="6655" customFormat="false" ht="51" hidden="false" customHeight="false" outlineLevel="0" collapsed="false">
      <c r="A6655" s="37" t="s">
        <v>12952</v>
      </c>
      <c r="B6655" s="34" t="s">
        <v>12953</v>
      </c>
      <c r="C6655" s="34" t="s">
        <v>965</v>
      </c>
    </row>
    <row r="6656" customFormat="false" ht="38.25" hidden="false" customHeight="false" outlineLevel="0" collapsed="false">
      <c r="A6656" s="37" t="s">
        <v>12954</v>
      </c>
      <c r="B6656" s="34" t="s">
        <v>12955</v>
      </c>
      <c r="C6656" s="34" t="s">
        <v>965</v>
      </c>
    </row>
    <row r="6657" customFormat="false" ht="89.25" hidden="false" customHeight="false" outlineLevel="0" collapsed="false">
      <c r="A6657" s="37" t="s">
        <v>12956</v>
      </c>
      <c r="B6657" s="34" t="s">
        <v>12957</v>
      </c>
      <c r="C6657" s="34" t="s">
        <v>1889</v>
      </c>
    </row>
    <row r="6658" customFormat="false" ht="127.5" hidden="false" customHeight="false" outlineLevel="0" collapsed="false">
      <c r="A6658" s="37" t="s">
        <v>12958</v>
      </c>
      <c r="B6658" s="34" t="s">
        <v>12959</v>
      </c>
      <c r="C6658" s="34" t="s">
        <v>1099</v>
      </c>
    </row>
    <row r="6659" customFormat="false" ht="127.5" hidden="false" customHeight="false" outlineLevel="0" collapsed="false">
      <c r="A6659" s="37" t="s">
        <v>12960</v>
      </c>
      <c r="B6659" s="34" t="s">
        <v>12961</v>
      </c>
      <c r="C6659" s="34" t="s">
        <v>1099</v>
      </c>
    </row>
    <row r="6660" customFormat="false" ht="127.5" hidden="false" customHeight="false" outlineLevel="0" collapsed="false">
      <c r="A6660" s="37" t="s">
        <v>12962</v>
      </c>
      <c r="B6660" s="34" t="s">
        <v>12963</v>
      </c>
      <c r="C6660" s="34" t="s">
        <v>1099</v>
      </c>
    </row>
    <row r="6661" customFormat="false" ht="127.5" hidden="false" customHeight="false" outlineLevel="0" collapsed="false">
      <c r="A6661" s="37" t="s">
        <v>12964</v>
      </c>
      <c r="B6661" s="34" t="s">
        <v>12965</v>
      </c>
      <c r="C6661" s="34" t="s">
        <v>1099</v>
      </c>
    </row>
    <row r="6662" customFormat="false" ht="127.5" hidden="false" customHeight="false" outlineLevel="0" collapsed="false">
      <c r="A6662" s="37" t="s">
        <v>12966</v>
      </c>
      <c r="B6662" s="34" t="s">
        <v>12967</v>
      </c>
      <c r="C6662" s="34" t="s">
        <v>1099</v>
      </c>
    </row>
    <row r="6663" customFormat="false" ht="127.5" hidden="false" customHeight="false" outlineLevel="0" collapsed="false">
      <c r="A6663" s="37" t="s">
        <v>12968</v>
      </c>
      <c r="B6663" s="34" t="s">
        <v>12969</v>
      </c>
      <c r="C6663" s="34" t="s">
        <v>1099</v>
      </c>
    </row>
    <row r="6664" customFormat="false" ht="127.5" hidden="false" customHeight="false" outlineLevel="0" collapsed="false">
      <c r="A6664" s="37" t="s">
        <v>12970</v>
      </c>
      <c r="B6664" s="34" t="s">
        <v>12971</v>
      </c>
      <c r="C6664" s="34" t="s">
        <v>1099</v>
      </c>
    </row>
    <row r="6665" customFormat="false" ht="127.5" hidden="false" customHeight="false" outlineLevel="0" collapsed="false">
      <c r="A6665" s="37" t="s">
        <v>12972</v>
      </c>
      <c r="B6665" s="34" t="s">
        <v>12973</v>
      </c>
      <c r="C6665" s="34" t="s">
        <v>1099</v>
      </c>
    </row>
    <row r="6666" customFormat="false" ht="127.5" hidden="false" customHeight="false" outlineLevel="0" collapsed="false">
      <c r="A6666" s="37" t="s">
        <v>12974</v>
      </c>
      <c r="B6666" s="34" t="s">
        <v>12975</v>
      </c>
      <c r="C6666" s="34" t="s">
        <v>1099</v>
      </c>
    </row>
    <row r="6667" customFormat="false" ht="127.5" hidden="false" customHeight="false" outlineLevel="0" collapsed="false">
      <c r="A6667" s="37" t="s">
        <v>12976</v>
      </c>
      <c r="B6667" s="34" t="s">
        <v>12977</v>
      </c>
      <c r="C6667" s="34" t="s">
        <v>1099</v>
      </c>
    </row>
    <row r="6668" customFormat="false" ht="127.5" hidden="false" customHeight="false" outlineLevel="0" collapsed="false">
      <c r="A6668" s="37" t="s">
        <v>12978</v>
      </c>
      <c r="B6668" s="34" t="s">
        <v>12979</v>
      </c>
      <c r="C6668" s="34" t="s">
        <v>1904</v>
      </c>
    </row>
    <row r="6669" customFormat="false" ht="127.5" hidden="false" customHeight="false" outlineLevel="0" collapsed="false">
      <c r="A6669" s="37" t="s">
        <v>12980</v>
      </c>
      <c r="B6669" s="34" t="s">
        <v>12981</v>
      </c>
      <c r="C6669" s="34" t="s">
        <v>1904</v>
      </c>
    </row>
    <row r="6670" customFormat="false" ht="102" hidden="false" customHeight="false" outlineLevel="0" collapsed="false">
      <c r="A6670" s="37" t="s">
        <v>12982</v>
      </c>
      <c r="B6670" s="34" t="s">
        <v>12983</v>
      </c>
      <c r="C6670" s="34" t="s">
        <v>1909</v>
      </c>
    </row>
    <row r="6671" customFormat="false" ht="102" hidden="false" customHeight="false" outlineLevel="0" collapsed="false">
      <c r="A6671" s="37" t="s">
        <v>12984</v>
      </c>
      <c r="B6671" s="34" t="s">
        <v>12985</v>
      </c>
      <c r="C6671" s="34" t="s">
        <v>1909</v>
      </c>
    </row>
    <row r="6672" customFormat="false" ht="76.5" hidden="false" customHeight="false" outlineLevel="0" collapsed="false">
      <c r="A6672" s="37" t="s">
        <v>12986</v>
      </c>
      <c r="B6672" s="34" t="s">
        <v>12987</v>
      </c>
      <c r="C6672" s="34" t="s">
        <v>1914</v>
      </c>
    </row>
    <row r="6673" customFormat="false" ht="63.75" hidden="false" customHeight="false" outlineLevel="0" collapsed="false">
      <c r="A6673" s="37" t="s">
        <v>12988</v>
      </c>
      <c r="B6673" s="34" t="s">
        <v>12989</v>
      </c>
      <c r="C6673" s="34" t="s">
        <v>1917</v>
      </c>
    </row>
    <row r="6674" customFormat="false" ht="102" hidden="false" customHeight="false" outlineLevel="0" collapsed="false">
      <c r="A6674" s="37" t="s">
        <v>12990</v>
      </c>
      <c r="B6674" s="34" t="s">
        <v>12991</v>
      </c>
      <c r="C6674" s="34" t="s">
        <v>309</v>
      </c>
    </row>
    <row r="6675" customFormat="false" ht="102" hidden="false" customHeight="false" outlineLevel="0" collapsed="false">
      <c r="A6675" s="37" t="s">
        <v>12992</v>
      </c>
      <c r="B6675" s="34" t="s">
        <v>12993</v>
      </c>
      <c r="C6675" s="34" t="s">
        <v>309</v>
      </c>
    </row>
    <row r="6676" customFormat="false" ht="102" hidden="false" customHeight="false" outlineLevel="0" collapsed="false">
      <c r="A6676" s="37" t="s">
        <v>12994</v>
      </c>
      <c r="B6676" s="34" t="s">
        <v>12995</v>
      </c>
      <c r="C6676" s="34" t="s">
        <v>1924</v>
      </c>
    </row>
    <row r="6677" customFormat="false" ht="102" hidden="false" customHeight="false" outlineLevel="0" collapsed="false">
      <c r="A6677" s="37" t="s">
        <v>12996</v>
      </c>
      <c r="B6677" s="34" t="s">
        <v>12997</v>
      </c>
      <c r="C6677" s="34" t="s">
        <v>1924</v>
      </c>
    </row>
    <row r="6678" customFormat="false" ht="102" hidden="false" customHeight="false" outlineLevel="0" collapsed="false">
      <c r="A6678" s="37" t="s">
        <v>12998</v>
      </c>
      <c r="B6678" s="34" t="s">
        <v>12999</v>
      </c>
      <c r="C6678" s="34" t="s">
        <v>1909</v>
      </c>
    </row>
    <row r="6679" customFormat="false" ht="89.25" hidden="false" customHeight="false" outlineLevel="0" collapsed="false">
      <c r="A6679" s="37" t="s">
        <v>13000</v>
      </c>
      <c r="B6679" s="34" t="s">
        <v>13001</v>
      </c>
      <c r="C6679" s="34" t="s">
        <v>298</v>
      </c>
    </row>
    <row r="6680" customFormat="false" ht="127.5" hidden="false" customHeight="false" outlineLevel="0" collapsed="false">
      <c r="A6680" s="37" t="s">
        <v>13002</v>
      </c>
      <c r="B6680" s="34" t="s">
        <v>13003</v>
      </c>
      <c r="C6680" s="34" t="s">
        <v>318</v>
      </c>
    </row>
    <row r="6681" customFormat="false" ht="89.25" hidden="false" customHeight="false" outlineLevel="0" collapsed="false">
      <c r="A6681" s="37" t="s">
        <v>13004</v>
      </c>
      <c r="B6681" s="34" t="s">
        <v>13005</v>
      </c>
      <c r="C6681" s="34" t="s">
        <v>1935</v>
      </c>
    </row>
    <row r="6682" customFormat="false" ht="63.75" hidden="false" customHeight="false" outlineLevel="0" collapsed="false">
      <c r="A6682" s="37" t="s">
        <v>13006</v>
      </c>
      <c r="B6682" s="34" t="s">
        <v>6872</v>
      </c>
      <c r="C6682" s="34" t="s">
        <v>139</v>
      </c>
    </row>
    <row r="6683" customFormat="false" ht="63.75" hidden="false" customHeight="false" outlineLevel="0" collapsed="false">
      <c r="A6683" s="37" t="s">
        <v>13007</v>
      </c>
      <c r="B6683" s="34" t="s">
        <v>6874</v>
      </c>
      <c r="C6683" s="34" t="s">
        <v>139</v>
      </c>
    </row>
    <row r="6684" customFormat="false" ht="63.75" hidden="false" customHeight="false" outlineLevel="0" collapsed="false">
      <c r="A6684" s="37" t="s">
        <v>13008</v>
      </c>
      <c r="B6684" s="34" t="s">
        <v>13009</v>
      </c>
      <c r="C6684" s="34" t="s">
        <v>139</v>
      </c>
    </row>
    <row r="6685" customFormat="false" ht="51" hidden="false" customHeight="false" outlineLevel="0" collapsed="false">
      <c r="A6685" s="37" t="s">
        <v>13010</v>
      </c>
      <c r="B6685" s="34" t="s">
        <v>13011</v>
      </c>
      <c r="C6685" s="34" t="s">
        <v>965</v>
      </c>
    </row>
    <row r="6686" customFormat="false" ht="38.25" hidden="false" customHeight="false" outlineLevel="0" collapsed="false">
      <c r="A6686" s="37" t="s">
        <v>13012</v>
      </c>
      <c r="B6686" s="34" t="s">
        <v>13013</v>
      </c>
      <c r="C6686" s="34" t="s">
        <v>965</v>
      </c>
    </row>
    <row r="6687" customFormat="false" ht="89.25" hidden="false" customHeight="false" outlineLevel="0" collapsed="false">
      <c r="A6687" s="37" t="s">
        <v>13014</v>
      </c>
      <c r="B6687" s="34" t="s">
        <v>13015</v>
      </c>
      <c r="C6687" s="34" t="s">
        <v>1948</v>
      </c>
    </row>
    <row r="6688" customFormat="false" ht="127.5" hidden="false" customHeight="false" outlineLevel="0" collapsed="false">
      <c r="A6688" s="37" t="s">
        <v>13016</v>
      </c>
      <c r="B6688" s="34" t="s">
        <v>13017</v>
      </c>
      <c r="C6688" s="34" t="s">
        <v>1108</v>
      </c>
    </row>
    <row r="6689" customFormat="false" ht="127.5" hidden="false" customHeight="false" outlineLevel="0" collapsed="false">
      <c r="A6689" s="37" t="s">
        <v>13018</v>
      </c>
      <c r="B6689" s="34" t="s">
        <v>13019</v>
      </c>
      <c r="C6689" s="34" t="s">
        <v>1108</v>
      </c>
    </row>
    <row r="6690" customFormat="false" ht="127.5" hidden="false" customHeight="false" outlineLevel="0" collapsed="false">
      <c r="A6690" s="37" t="s">
        <v>13020</v>
      </c>
      <c r="B6690" s="34" t="s">
        <v>13021</v>
      </c>
      <c r="C6690" s="34" t="s">
        <v>1108</v>
      </c>
    </row>
    <row r="6691" customFormat="false" ht="127.5" hidden="false" customHeight="false" outlineLevel="0" collapsed="false">
      <c r="A6691" s="37" t="s">
        <v>13022</v>
      </c>
      <c r="B6691" s="34" t="s">
        <v>13023</v>
      </c>
      <c r="C6691" s="34" t="s">
        <v>1108</v>
      </c>
    </row>
    <row r="6692" customFormat="false" ht="127.5" hidden="false" customHeight="false" outlineLevel="0" collapsed="false">
      <c r="A6692" s="37" t="s">
        <v>13024</v>
      </c>
      <c r="B6692" s="34" t="s">
        <v>13025</v>
      </c>
      <c r="C6692" s="34" t="s">
        <v>1108</v>
      </c>
    </row>
    <row r="6693" customFormat="false" ht="127.5" hidden="false" customHeight="false" outlineLevel="0" collapsed="false">
      <c r="A6693" s="37" t="s">
        <v>13026</v>
      </c>
      <c r="B6693" s="34" t="s">
        <v>13027</v>
      </c>
      <c r="C6693" s="34" t="s">
        <v>1108</v>
      </c>
    </row>
    <row r="6694" customFormat="false" ht="127.5" hidden="false" customHeight="false" outlineLevel="0" collapsed="false">
      <c r="A6694" s="37" t="s">
        <v>13028</v>
      </c>
      <c r="B6694" s="34" t="s">
        <v>13029</v>
      </c>
      <c r="C6694" s="34" t="s">
        <v>1108</v>
      </c>
    </row>
    <row r="6695" customFormat="false" ht="127.5" hidden="false" customHeight="false" outlineLevel="0" collapsed="false">
      <c r="A6695" s="37" t="s">
        <v>13030</v>
      </c>
      <c r="B6695" s="34" t="s">
        <v>13031</v>
      </c>
      <c r="C6695" s="34" t="s">
        <v>1108</v>
      </c>
    </row>
    <row r="6696" customFormat="false" ht="127.5" hidden="false" customHeight="false" outlineLevel="0" collapsed="false">
      <c r="A6696" s="37" t="s">
        <v>13032</v>
      </c>
      <c r="B6696" s="34" t="s">
        <v>13033</v>
      </c>
      <c r="C6696" s="34" t="s">
        <v>1108</v>
      </c>
    </row>
    <row r="6697" customFormat="false" ht="127.5" hidden="false" customHeight="false" outlineLevel="0" collapsed="false">
      <c r="A6697" s="37" t="s">
        <v>13034</v>
      </c>
      <c r="B6697" s="34" t="s">
        <v>13035</v>
      </c>
      <c r="C6697" s="34" t="s">
        <v>1108</v>
      </c>
    </row>
    <row r="6698" customFormat="false" ht="127.5" hidden="false" customHeight="false" outlineLevel="0" collapsed="false">
      <c r="A6698" s="37" t="s">
        <v>13036</v>
      </c>
      <c r="B6698" s="34" t="s">
        <v>13037</v>
      </c>
      <c r="C6698" s="34" t="s">
        <v>1967</v>
      </c>
    </row>
    <row r="6699" customFormat="false" ht="127.5" hidden="false" customHeight="false" outlineLevel="0" collapsed="false">
      <c r="A6699" s="37" t="s">
        <v>13038</v>
      </c>
      <c r="B6699" s="34" t="s">
        <v>13039</v>
      </c>
      <c r="C6699" s="34" t="s">
        <v>1967</v>
      </c>
    </row>
    <row r="6700" customFormat="false" ht="102" hidden="false" customHeight="false" outlineLevel="0" collapsed="false">
      <c r="A6700" s="37" t="s">
        <v>13040</v>
      </c>
      <c r="B6700" s="34" t="s">
        <v>13041</v>
      </c>
      <c r="C6700" s="34" t="s">
        <v>1972</v>
      </c>
    </row>
    <row r="6701" customFormat="false" ht="102" hidden="false" customHeight="false" outlineLevel="0" collapsed="false">
      <c r="A6701" s="37" t="s">
        <v>13042</v>
      </c>
      <c r="B6701" s="34" t="s">
        <v>13043</v>
      </c>
      <c r="C6701" s="34" t="s">
        <v>1972</v>
      </c>
    </row>
    <row r="6702" customFormat="false" ht="76.5" hidden="false" customHeight="false" outlineLevel="0" collapsed="false">
      <c r="A6702" s="37" t="s">
        <v>13044</v>
      </c>
      <c r="B6702" s="34" t="s">
        <v>13045</v>
      </c>
      <c r="C6702" s="34" t="s">
        <v>1977</v>
      </c>
    </row>
    <row r="6703" customFormat="false" ht="63.75" hidden="false" customHeight="false" outlineLevel="0" collapsed="false">
      <c r="A6703" s="37" t="s">
        <v>13046</v>
      </c>
      <c r="B6703" s="34" t="s">
        <v>13047</v>
      </c>
      <c r="C6703" s="34" t="s">
        <v>1980</v>
      </c>
    </row>
    <row r="6704" customFormat="false" ht="102" hidden="false" customHeight="false" outlineLevel="0" collapsed="false">
      <c r="A6704" s="37" t="s">
        <v>13048</v>
      </c>
      <c r="B6704" s="34" t="s">
        <v>13049</v>
      </c>
      <c r="C6704" s="34" t="s">
        <v>351</v>
      </c>
    </row>
    <row r="6705" customFormat="false" ht="102" hidden="false" customHeight="false" outlineLevel="0" collapsed="false">
      <c r="A6705" s="37" t="s">
        <v>13050</v>
      </c>
      <c r="B6705" s="34" t="s">
        <v>13051</v>
      </c>
      <c r="C6705" s="34" t="s">
        <v>351</v>
      </c>
    </row>
    <row r="6706" customFormat="false" ht="102" hidden="false" customHeight="false" outlineLevel="0" collapsed="false">
      <c r="A6706" s="37" t="s">
        <v>13052</v>
      </c>
      <c r="B6706" s="34" t="s">
        <v>13053</v>
      </c>
      <c r="C6706" s="34" t="s">
        <v>1987</v>
      </c>
    </row>
    <row r="6707" customFormat="false" ht="102" hidden="false" customHeight="false" outlineLevel="0" collapsed="false">
      <c r="A6707" s="37" t="s">
        <v>13054</v>
      </c>
      <c r="B6707" s="34" t="s">
        <v>13055</v>
      </c>
      <c r="C6707" s="34" t="s">
        <v>1987</v>
      </c>
    </row>
    <row r="6708" customFormat="false" ht="102" hidden="false" customHeight="false" outlineLevel="0" collapsed="false">
      <c r="A6708" s="37" t="s">
        <v>13056</v>
      </c>
      <c r="B6708" s="34" t="s">
        <v>13057</v>
      </c>
      <c r="C6708" s="34" t="s">
        <v>1972</v>
      </c>
    </row>
    <row r="6709" customFormat="false" ht="89.25" hidden="false" customHeight="false" outlineLevel="0" collapsed="false">
      <c r="A6709" s="37" t="s">
        <v>13058</v>
      </c>
      <c r="B6709" s="34" t="s">
        <v>13059</v>
      </c>
      <c r="C6709" s="34" t="s">
        <v>340</v>
      </c>
    </row>
    <row r="6710" customFormat="false" ht="127.5" hidden="false" customHeight="false" outlineLevel="0" collapsed="false">
      <c r="A6710" s="37" t="s">
        <v>13060</v>
      </c>
      <c r="B6710" s="34" t="s">
        <v>13061</v>
      </c>
      <c r="C6710" s="34" t="s">
        <v>360</v>
      </c>
    </row>
    <row r="6711" customFormat="false" ht="89.25" hidden="false" customHeight="false" outlineLevel="0" collapsed="false">
      <c r="A6711" s="37" t="s">
        <v>13062</v>
      </c>
      <c r="B6711" s="34" t="s">
        <v>13063</v>
      </c>
      <c r="C6711" s="34" t="s">
        <v>1998</v>
      </c>
    </row>
    <row r="6712" customFormat="false" ht="63.75" hidden="false" customHeight="false" outlineLevel="0" collapsed="false">
      <c r="A6712" s="37" t="s">
        <v>13064</v>
      </c>
      <c r="B6712" s="34" t="s">
        <v>13065</v>
      </c>
      <c r="C6712" s="34" t="s">
        <v>139</v>
      </c>
    </row>
    <row r="6713" customFormat="false" ht="63.75" hidden="false" customHeight="false" outlineLevel="0" collapsed="false">
      <c r="A6713" s="37" t="s">
        <v>13066</v>
      </c>
      <c r="B6713" s="34" t="s">
        <v>13067</v>
      </c>
      <c r="C6713" s="34" t="s">
        <v>139</v>
      </c>
    </row>
    <row r="6714" customFormat="false" ht="63.75" hidden="false" customHeight="false" outlineLevel="0" collapsed="false">
      <c r="A6714" s="37" t="s">
        <v>13068</v>
      </c>
      <c r="B6714" s="34" t="s">
        <v>13069</v>
      </c>
      <c r="C6714" s="34" t="s">
        <v>139</v>
      </c>
    </row>
    <row r="6715" customFormat="false" ht="51" hidden="false" customHeight="false" outlineLevel="0" collapsed="false">
      <c r="A6715" s="37" t="s">
        <v>13070</v>
      </c>
      <c r="B6715" s="34" t="s">
        <v>13071</v>
      </c>
      <c r="C6715" s="34" t="s">
        <v>965</v>
      </c>
    </row>
    <row r="6716" customFormat="false" ht="38.25" hidden="false" customHeight="false" outlineLevel="0" collapsed="false">
      <c r="A6716" s="37" t="s">
        <v>13072</v>
      </c>
      <c r="B6716" s="34" t="s">
        <v>13073</v>
      </c>
      <c r="C6716" s="34" t="s">
        <v>965</v>
      </c>
    </row>
    <row r="6717" customFormat="false" ht="63.75" hidden="false" customHeight="false" outlineLevel="0" collapsed="false">
      <c r="A6717" s="37" t="s">
        <v>13074</v>
      </c>
      <c r="B6717" s="34" t="s">
        <v>13075</v>
      </c>
      <c r="C6717" s="34" t="s">
        <v>139</v>
      </c>
    </row>
    <row r="6718" customFormat="false" ht="63.75" hidden="false" customHeight="false" outlineLevel="0" collapsed="false">
      <c r="A6718" s="37" t="s">
        <v>13076</v>
      </c>
      <c r="B6718" s="34" t="s">
        <v>13077</v>
      </c>
      <c r="C6718" s="34" t="s">
        <v>139</v>
      </c>
    </row>
    <row r="6719" customFormat="false" ht="63.75" hidden="false" customHeight="false" outlineLevel="0" collapsed="false">
      <c r="A6719" s="37" t="s">
        <v>13078</v>
      </c>
      <c r="B6719" s="34" t="s">
        <v>13079</v>
      </c>
      <c r="C6719" s="34" t="s">
        <v>139</v>
      </c>
    </row>
    <row r="6720" customFormat="false" ht="89.25" hidden="false" customHeight="false" outlineLevel="0" collapsed="false">
      <c r="A6720" s="37" t="s">
        <v>13080</v>
      </c>
      <c r="B6720" s="34" t="s">
        <v>13081</v>
      </c>
      <c r="C6720" s="34" t="s">
        <v>122</v>
      </c>
    </row>
    <row r="6721" customFormat="false" ht="89.25" hidden="false" customHeight="false" outlineLevel="0" collapsed="false">
      <c r="A6721" s="37" t="s">
        <v>13082</v>
      </c>
      <c r="B6721" s="34" t="s">
        <v>13083</v>
      </c>
      <c r="C6721" s="34" t="s">
        <v>122</v>
      </c>
    </row>
    <row r="6722" customFormat="false" ht="89.25" hidden="false" customHeight="false" outlineLevel="0" collapsed="false">
      <c r="A6722" s="37" t="s">
        <v>13084</v>
      </c>
      <c r="B6722" s="34" t="s">
        <v>13085</v>
      </c>
      <c r="C6722" s="34" t="s">
        <v>122</v>
      </c>
    </row>
    <row r="6723" customFormat="false" ht="89.25" hidden="false" customHeight="false" outlineLevel="0" collapsed="false">
      <c r="A6723" s="37" t="s">
        <v>13086</v>
      </c>
      <c r="B6723" s="34" t="s">
        <v>12634</v>
      </c>
      <c r="C6723" s="34" t="s">
        <v>122</v>
      </c>
    </row>
    <row r="6724" customFormat="false" ht="89.25" hidden="false" customHeight="false" outlineLevel="0" collapsed="false">
      <c r="A6724" s="37" t="s">
        <v>13087</v>
      </c>
      <c r="B6724" s="34" t="s">
        <v>13088</v>
      </c>
      <c r="C6724" s="34" t="s">
        <v>122</v>
      </c>
    </row>
    <row r="6725" customFormat="false" ht="51" hidden="false" customHeight="false" outlineLevel="0" collapsed="false">
      <c r="A6725" s="37" t="s">
        <v>13089</v>
      </c>
      <c r="B6725" s="34" t="s">
        <v>13090</v>
      </c>
      <c r="C6725" s="34" t="s">
        <v>437</v>
      </c>
    </row>
    <row r="6726" customFormat="false" ht="51" hidden="false" customHeight="false" outlineLevel="0" collapsed="false">
      <c r="A6726" s="37" t="s">
        <v>13091</v>
      </c>
      <c r="B6726" s="34" t="s">
        <v>13092</v>
      </c>
      <c r="C6726" s="34" t="s">
        <v>437</v>
      </c>
    </row>
    <row r="6727" customFormat="false" ht="51" hidden="false" customHeight="false" outlineLevel="0" collapsed="false">
      <c r="A6727" s="37" t="s">
        <v>13093</v>
      </c>
      <c r="B6727" s="34" t="s">
        <v>13094</v>
      </c>
      <c r="C6727" s="34" t="s">
        <v>437</v>
      </c>
    </row>
    <row r="6728" customFormat="false" ht="89.25" hidden="false" customHeight="false" outlineLevel="0" collapsed="false">
      <c r="A6728" s="37" t="s">
        <v>13095</v>
      </c>
      <c r="B6728" s="34" t="s">
        <v>13096</v>
      </c>
      <c r="C6728" s="34" t="s">
        <v>444</v>
      </c>
    </row>
    <row r="6729" customFormat="false" ht="89.25" hidden="false" customHeight="false" outlineLevel="0" collapsed="false">
      <c r="A6729" s="37" t="s">
        <v>13097</v>
      </c>
      <c r="B6729" s="34" t="s">
        <v>13098</v>
      </c>
      <c r="C6729" s="34" t="s">
        <v>444</v>
      </c>
    </row>
    <row r="6730" customFormat="false" ht="89.25" hidden="false" customHeight="false" outlineLevel="0" collapsed="false">
      <c r="A6730" s="37" t="s">
        <v>13099</v>
      </c>
      <c r="B6730" s="34" t="s">
        <v>13100</v>
      </c>
      <c r="C6730" s="34" t="s">
        <v>449</v>
      </c>
    </row>
    <row r="6731" customFormat="false" ht="89.25" hidden="false" customHeight="false" outlineLevel="0" collapsed="false">
      <c r="A6731" s="37" t="s">
        <v>13101</v>
      </c>
      <c r="B6731" s="34" t="s">
        <v>13102</v>
      </c>
      <c r="C6731" s="34" t="s">
        <v>449</v>
      </c>
    </row>
    <row r="6732" customFormat="false" ht="63.75" hidden="false" customHeight="false" outlineLevel="0" collapsed="false">
      <c r="A6732" s="37" t="s">
        <v>13103</v>
      </c>
      <c r="B6732" s="34" t="s">
        <v>13104</v>
      </c>
      <c r="C6732" s="34" t="s">
        <v>452</v>
      </c>
    </row>
    <row r="6733" customFormat="false" ht="76.5" hidden="false" customHeight="false" outlineLevel="0" collapsed="false">
      <c r="A6733" s="37" t="s">
        <v>13105</v>
      </c>
      <c r="B6733" s="34" t="s">
        <v>13106</v>
      </c>
      <c r="C6733" s="34" t="s">
        <v>2036</v>
      </c>
    </row>
    <row r="6734" customFormat="false" ht="51" hidden="false" customHeight="false" outlineLevel="0" collapsed="false">
      <c r="A6734" s="37" t="s">
        <v>13107</v>
      </c>
      <c r="B6734" s="34" t="s">
        <v>13108</v>
      </c>
      <c r="C6734" s="34" t="s">
        <v>965</v>
      </c>
    </row>
    <row r="6735" customFormat="false" ht="63.75" hidden="false" customHeight="false" outlineLevel="0" collapsed="false">
      <c r="A6735" s="37" t="s">
        <v>13109</v>
      </c>
      <c r="B6735" s="34" t="s">
        <v>13110</v>
      </c>
      <c r="C6735" s="34" t="s">
        <v>139</v>
      </c>
    </row>
    <row r="6736" customFormat="false" ht="63.75" hidden="false" customHeight="false" outlineLevel="0" collapsed="false">
      <c r="A6736" s="37" t="s">
        <v>13111</v>
      </c>
      <c r="B6736" s="34" t="s">
        <v>13112</v>
      </c>
      <c r="C6736" s="34" t="s">
        <v>139</v>
      </c>
    </row>
    <row r="6737" customFormat="false" ht="63.75" hidden="false" customHeight="false" outlineLevel="0" collapsed="false">
      <c r="A6737" s="37" t="s">
        <v>13113</v>
      </c>
      <c r="B6737" s="34" t="s">
        <v>13114</v>
      </c>
      <c r="C6737" s="34" t="s">
        <v>139</v>
      </c>
    </row>
    <row r="6738" customFormat="false" ht="38.25" hidden="false" customHeight="false" outlineLevel="0" collapsed="false">
      <c r="A6738" s="37" t="s">
        <v>13115</v>
      </c>
      <c r="B6738" s="34" t="s">
        <v>13116</v>
      </c>
      <c r="C6738" s="34" t="s">
        <v>463</v>
      </c>
    </row>
    <row r="6739" customFormat="false" ht="38.25" hidden="false" customHeight="false" outlineLevel="0" collapsed="false">
      <c r="A6739" s="37" t="s">
        <v>13117</v>
      </c>
      <c r="B6739" s="34" t="s">
        <v>13118</v>
      </c>
      <c r="C6739" s="34" t="s">
        <v>466</v>
      </c>
    </row>
    <row r="6740" customFormat="false" ht="38.25" hidden="false" customHeight="false" outlineLevel="0" collapsed="false">
      <c r="A6740" s="37" t="s">
        <v>13119</v>
      </c>
      <c r="B6740" s="34" t="s">
        <v>13120</v>
      </c>
      <c r="C6740" s="34" t="s">
        <v>469</v>
      </c>
    </row>
    <row r="6741" customFormat="false" ht="38.25" hidden="false" customHeight="false" outlineLevel="0" collapsed="false">
      <c r="A6741" s="37" t="s">
        <v>13121</v>
      </c>
      <c r="B6741" s="34" t="s">
        <v>13122</v>
      </c>
      <c r="C6741" s="34" t="s">
        <v>472</v>
      </c>
    </row>
    <row r="6742" customFormat="false" ht="38.25" hidden="false" customHeight="false" outlineLevel="0" collapsed="false">
      <c r="A6742" s="37" t="s">
        <v>13123</v>
      </c>
      <c r="B6742" s="34" t="s">
        <v>13124</v>
      </c>
      <c r="C6742" s="34" t="s">
        <v>475</v>
      </c>
    </row>
    <row r="6743" customFormat="false" ht="38.25" hidden="false" customHeight="false" outlineLevel="0" collapsed="false">
      <c r="A6743" s="37" t="s">
        <v>13125</v>
      </c>
      <c r="B6743" s="34" t="s">
        <v>13126</v>
      </c>
      <c r="C6743" s="34" t="s">
        <v>478</v>
      </c>
    </row>
    <row r="6744" customFormat="false" ht="51" hidden="false" customHeight="false" outlineLevel="0" collapsed="false">
      <c r="A6744" s="37" t="s">
        <v>13127</v>
      </c>
      <c r="B6744" s="34" t="s">
        <v>13128</v>
      </c>
      <c r="C6744" s="34" t="s">
        <v>481</v>
      </c>
    </row>
    <row r="6745" customFormat="false" ht="38.25" hidden="false" customHeight="false" outlineLevel="0" collapsed="false">
      <c r="A6745" s="37" t="s">
        <v>13129</v>
      </c>
      <c r="B6745" s="34" t="s">
        <v>13130</v>
      </c>
      <c r="C6745" s="34" t="s">
        <v>484</v>
      </c>
    </row>
    <row r="6746" customFormat="false" ht="38.25" hidden="false" customHeight="false" outlineLevel="0" collapsed="false">
      <c r="A6746" s="37" t="s">
        <v>13131</v>
      </c>
      <c r="B6746" s="34" t="s">
        <v>13132</v>
      </c>
      <c r="C6746" s="34" t="s">
        <v>487</v>
      </c>
    </row>
    <row r="6747" customFormat="false" ht="38.25" hidden="false" customHeight="false" outlineLevel="0" collapsed="false">
      <c r="A6747" s="37" t="s">
        <v>13133</v>
      </c>
      <c r="B6747" s="34" t="s">
        <v>13134</v>
      </c>
      <c r="C6747" s="34" t="s">
        <v>490</v>
      </c>
    </row>
    <row r="6748" customFormat="false" ht="51" hidden="false" customHeight="false" outlineLevel="0" collapsed="false">
      <c r="A6748" s="37" t="s">
        <v>13135</v>
      </c>
      <c r="B6748" s="34" t="s">
        <v>13136</v>
      </c>
      <c r="C6748" s="34" t="s">
        <v>493</v>
      </c>
    </row>
    <row r="6749" customFormat="false" ht="38.25" hidden="false" customHeight="false" outlineLevel="0" collapsed="false">
      <c r="A6749" s="37" t="s">
        <v>13137</v>
      </c>
      <c r="B6749" s="34" t="s">
        <v>13138</v>
      </c>
      <c r="C6749" s="34" t="s">
        <v>496</v>
      </c>
    </row>
    <row r="6750" customFormat="false" ht="51" hidden="false" customHeight="false" outlineLevel="0" collapsed="false">
      <c r="A6750" s="37" t="s">
        <v>13139</v>
      </c>
      <c r="B6750" s="34" t="s">
        <v>13140</v>
      </c>
      <c r="C6750" s="34" t="s">
        <v>499</v>
      </c>
    </row>
    <row r="6751" customFormat="false" ht="51" hidden="false" customHeight="false" outlineLevel="0" collapsed="false">
      <c r="A6751" s="37" t="s">
        <v>13141</v>
      </c>
      <c r="B6751" s="34" t="s">
        <v>13142</v>
      </c>
      <c r="C6751" s="34" t="s">
        <v>502</v>
      </c>
    </row>
    <row r="6752" customFormat="false" ht="51" hidden="false" customHeight="false" outlineLevel="0" collapsed="false">
      <c r="A6752" s="37" t="s">
        <v>13143</v>
      </c>
      <c r="B6752" s="34" t="s">
        <v>13144</v>
      </c>
      <c r="C6752" s="34" t="s">
        <v>505</v>
      </c>
    </row>
    <row r="6753" customFormat="false" ht="51" hidden="false" customHeight="false" outlineLevel="0" collapsed="false">
      <c r="A6753" s="37" t="s">
        <v>13145</v>
      </c>
      <c r="B6753" s="34" t="s">
        <v>13146</v>
      </c>
      <c r="C6753" s="34" t="s">
        <v>508</v>
      </c>
    </row>
    <row r="6754" customFormat="false" ht="51" hidden="false" customHeight="false" outlineLevel="0" collapsed="false">
      <c r="A6754" s="37" t="s">
        <v>13147</v>
      </c>
      <c r="B6754" s="34" t="s">
        <v>13148</v>
      </c>
      <c r="C6754" s="34" t="s">
        <v>511</v>
      </c>
    </row>
    <row r="6755" customFormat="false" ht="51" hidden="false" customHeight="false" outlineLevel="0" collapsed="false">
      <c r="A6755" s="37" t="s">
        <v>13149</v>
      </c>
      <c r="B6755" s="34" t="s">
        <v>13150</v>
      </c>
      <c r="C6755" s="34" t="s">
        <v>514</v>
      </c>
    </row>
    <row r="6756" customFormat="false" ht="51" hidden="false" customHeight="false" outlineLevel="0" collapsed="false">
      <c r="A6756" s="37" t="s">
        <v>13151</v>
      </c>
      <c r="B6756" s="34" t="s">
        <v>13152</v>
      </c>
      <c r="C6756" s="34" t="s">
        <v>517</v>
      </c>
    </row>
    <row r="6757" customFormat="false" ht="51" hidden="false" customHeight="false" outlineLevel="0" collapsed="false">
      <c r="A6757" s="37" t="s">
        <v>13153</v>
      </c>
      <c r="B6757" s="34" t="s">
        <v>13154</v>
      </c>
      <c r="C6757" s="34" t="s">
        <v>517</v>
      </c>
    </row>
    <row r="6758" customFormat="false" ht="51" hidden="false" customHeight="false" outlineLevel="0" collapsed="false">
      <c r="A6758" s="37" t="s">
        <v>13155</v>
      </c>
      <c r="B6758" s="34" t="s">
        <v>13156</v>
      </c>
      <c r="C6758" s="34" t="s">
        <v>517</v>
      </c>
    </row>
    <row r="6759" customFormat="false" ht="51" hidden="false" customHeight="false" outlineLevel="0" collapsed="false">
      <c r="A6759" s="37" t="s">
        <v>13157</v>
      </c>
      <c r="B6759" s="34" t="s">
        <v>13158</v>
      </c>
      <c r="C6759" s="34" t="s">
        <v>517</v>
      </c>
    </row>
    <row r="6760" customFormat="false" ht="51" hidden="false" customHeight="false" outlineLevel="0" collapsed="false">
      <c r="A6760" s="37" t="s">
        <v>13159</v>
      </c>
      <c r="B6760" s="34" t="s">
        <v>13160</v>
      </c>
      <c r="C6760" s="34" t="s">
        <v>511</v>
      </c>
    </row>
    <row r="6761" customFormat="false" ht="51" hidden="false" customHeight="false" outlineLevel="0" collapsed="false">
      <c r="A6761" s="37" t="s">
        <v>13161</v>
      </c>
      <c r="B6761" s="34" t="s">
        <v>13162</v>
      </c>
      <c r="C6761" s="34" t="s">
        <v>511</v>
      </c>
    </row>
    <row r="6762" customFormat="false" ht="51" hidden="false" customHeight="false" outlineLevel="0" collapsed="false">
      <c r="A6762" s="37" t="s">
        <v>13163</v>
      </c>
      <c r="B6762" s="34" t="s">
        <v>13164</v>
      </c>
      <c r="C6762" s="34" t="s">
        <v>511</v>
      </c>
    </row>
    <row r="6763" customFormat="false" ht="51" hidden="false" customHeight="false" outlineLevel="0" collapsed="false">
      <c r="A6763" s="37" t="s">
        <v>13165</v>
      </c>
      <c r="B6763" s="34" t="s">
        <v>13166</v>
      </c>
      <c r="C6763" s="34" t="s">
        <v>511</v>
      </c>
    </row>
    <row r="6764" customFormat="false" ht="51" hidden="false" customHeight="false" outlineLevel="0" collapsed="false">
      <c r="A6764" s="37" t="s">
        <v>13167</v>
      </c>
      <c r="B6764" s="34" t="s">
        <v>13168</v>
      </c>
      <c r="C6764" s="34" t="s">
        <v>511</v>
      </c>
    </row>
    <row r="6765" customFormat="false" ht="51" hidden="false" customHeight="false" outlineLevel="0" collapsed="false">
      <c r="A6765" s="37" t="s">
        <v>13169</v>
      </c>
      <c r="B6765" s="34" t="s">
        <v>13170</v>
      </c>
      <c r="C6765" s="34" t="s">
        <v>511</v>
      </c>
    </row>
    <row r="6766" customFormat="false" ht="51" hidden="false" customHeight="false" outlineLevel="0" collapsed="false">
      <c r="A6766" s="37" t="s">
        <v>13171</v>
      </c>
      <c r="B6766" s="34" t="s">
        <v>13172</v>
      </c>
      <c r="C6766" s="34" t="s">
        <v>511</v>
      </c>
    </row>
    <row r="6767" customFormat="false" ht="51" hidden="false" customHeight="false" outlineLevel="0" collapsed="false">
      <c r="A6767" s="37" t="s">
        <v>13173</v>
      </c>
      <c r="B6767" s="34" t="s">
        <v>13174</v>
      </c>
      <c r="C6767" s="34" t="s">
        <v>511</v>
      </c>
    </row>
    <row r="6768" customFormat="false" ht="51" hidden="false" customHeight="false" outlineLevel="0" collapsed="false">
      <c r="A6768" s="37" t="s">
        <v>13175</v>
      </c>
      <c r="B6768" s="34" t="s">
        <v>13176</v>
      </c>
      <c r="C6768" s="34" t="s">
        <v>511</v>
      </c>
    </row>
    <row r="6769" customFormat="false" ht="51" hidden="false" customHeight="false" outlineLevel="0" collapsed="false">
      <c r="A6769" s="37" t="s">
        <v>13177</v>
      </c>
      <c r="B6769" s="34" t="s">
        <v>13178</v>
      </c>
      <c r="C6769" s="34" t="s">
        <v>511</v>
      </c>
    </row>
    <row r="6770" customFormat="false" ht="51" hidden="false" customHeight="false" outlineLevel="0" collapsed="false">
      <c r="A6770" s="37" t="s">
        <v>13179</v>
      </c>
      <c r="B6770" s="34" t="s">
        <v>13180</v>
      </c>
      <c r="C6770" s="34" t="s">
        <v>546</v>
      </c>
    </row>
    <row r="6771" customFormat="false" ht="51" hidden="false" customHeight="false" outlineLevel="0" collapsed="false">
      <c r="A6771" s="37" t="s">
        <v>13181</v>
      </c>
      <c r="B6771" s="34" t="s">
        <v>13182</v>
      </c>
      <c r="C6771" s="34" t="s">
        <v>546</v>
      </c>
    </row>
    <row r="6772" customFormat="false" ht="51" hidden="false" customHeight="false" outlineLevel="0" collapsed="false">
      <c r="A6772" s="37" t="s">
        <v>13183</v>
      </c>
      <c r="B6772" s="34" t="s">
        <v>13184</v>
      </c>
      <c r="C6772" s="34" t="s">
        <v>546</v>
      </c>
    </row>
    <row r="6773" customFormat="false" ht="51" hidden="false" customHeight="false" outlineLevel="0" collapsed="false">
      <c r="A6773" s="37" t="s">
        <v>13185</v>
      </c>
      <c r="B6773" s="34" t="s">
        <v>13186</v>
      </c>
      <c r="C6773" s="34" t="s">
        <v>546</v>
      </c>
    </row>
    <row r="6774" customFormat="false" ht="51" hidden="false" customHeight="false" outlineLevel="0" collapsed="false">
      <c r="A6774" s="37" t="s">
        <v>13187</v>
      </c>
      <c r="B6774" s="34" t="s">
        <v>13188</v>
      </c>
      <c r="C6774" s="34" t="s">
        <v>546</v>
      </c>
    </row>
    <row r="6775" customFormat="false" ht="63.75" hidden="false" customHeight="false" outlineLevel="0" collapsed="false">
      <c r="A6775" s="37" t="s">
        <v>13189</v>
      </c>
      <c r="B6775" s="34" t="s">
        <v>13190</v>
      </c>
      <c r="C6775" s="34" t="s">
        <v>546</v>
      </c>
    </row>
    <row r="6776" customFormat="false" ht="51" hidden="false" customHeight="false" outlineLevel="0" collapsed="false">
      <c r="A6776" s="37" t="s">
        <v>13191</v>
      </c>
      <c r="B6776" s="34" t="s">
        <v>13192</v>
      </c>
      <c r="C6776" s="34" t="s">
        <v>546</v>
      </c>
    </row>
    <row r="6777" customFormat="false" ht="76.5" hidden="false" customHeight="false" outlineLevel="0" collapsed="false">
      <c r="A6777" s="37" t="s">
        <v>13193</v>
      </c>
      <c r="B6777" s="34" t="s">
        <v>13194</v>
      </c>
      <c r="C6777" s="34" t="s">
        <v>561</v>
      </c>
    </row>
    <row r="6778" customFormat="false" ht="63.75" hidden="false" customHeight="false" outlineLevel="0" collapsed="false">
      <c r="A6778" s="37" t="s">
        <v>13195</v>
      </c>
      <c r="B6778" s="34" t="s">
        <v>13196</v>
      </c>
      <c r="C6778" s="34" t="s">
        <v>561</v>
      </c>
    </row>
    <row r="6779" customFormat="false" ht="89.25" hidden="false" customHeight="false" outlineLevel="0" collapsed="false">
      <c r="A6779" s="37" t="s">
        <v>13197</v>
      </c>
      <c r="B6779" s="34" t="s">
        <v>13198</v>
      </c>
      <c r="C6779" s="34" t="s">
        <v>566</v>
      </c>
    </row>
    <row r="6780" customFormat="false" ht="63.75" hidden="false" customHeight="false" outlineLevel="0" collapsed="false">
      <c r="A6780" s="37" t="s">
        <v>13199</v>
      </c>
      <c r="B6780" s="34" t="s">
        <v>13200</v>
      </c>
      <c r="C6780" s="34" t="s">
        <v>561</v>
      </c>
    </row>
    <row r="6781" customFormat="false" ht="63.75" hidden="false" customHeight="false" outlineLevel="0" collapsed="false">
      <c r="A6781" s="37" t="s">
        <v>13201</v>
      </c>
      <c r="B6781" s="34" t="s">
        <v>13202</v>
      </c>
      <c r="C6781" s="34" t="s">
        <v>571</v>
      </c>
    </row>
    <row r="6782" customFormat="false" ht="89.25" hidden="false" customHeight="false" outlineLevel="0" collapsed="false">
      <c r="A6782" s="37" t="s">
        <v>13203</v>
      </c>
      <c r="B6782" s="34" t="s">
        <v>13204</v>
      </c>
      <c r="C6782" s="34" t="s">
        <v>574</v>
      </c>
    </row>
    <row r="6783" customFormat="false" ht="89.25" hidden="false" customHeight="false" outlineLevel="0" collapsed="false">
      <c r="A6783" s="37" t="s">
        <v>13205</v>
      </c>
      <c r="B6783" s="34" t="s">
        <v>13206</v>
      </c>
      <c r="C6783" s="34" t="s">
        <v>574</v>
      </c>
    </row>
    <row r="6784" customFormat="false" ht="89.25" hidden="false" customHeight="false" outlineLevel="0" collapsed="false">
      <c r="A6784" s="37" t="s">
        <v>13207</v>
      </c>
      <c r="B6784" s="34" t="s">
        <v>13208</v>
      </c>
      <c r="C6784" s="34" t="s">
        <v>574</v>
      </c>
    </row>
    <row r="6785" customFormat="false" ht="89.25" hidden="false" customHeight="false" outlineLevel="0" collapsed="false">
      <c r="A6785" s="37" t="s">
        <v>13209</v>
      </c>
      <c r="B6785" s="34" t="s">
        <v>13210</v>
      </c>
      <c r="C6785" s="34" t="s">
        <v>574</v>
      </c>
    </row>
    <row r="6786" customFormat="false" ht="89.25" hidden="false" customHeight="false" outlineLevel="0" collapsed="false">
      <c r="A6786" s="37" t="s">
        <v>13211</v>
      </c>
      <c r="B6786" s="34" t="s">
        <v>13212</v>
      </c>
      <c r="C6786" s="34" t="s">
        <v>574</v>
      </c>
    </row>
    <row r="6787" customFormat="false" ht="63.75" hidden="false" customHeight="false" outlineLevel="0" collapsed="false">
      <c r="A6787" s="37" t="s">
        <v>13213</v>
      </c>
      <c r="B6787" s="34" t="s">
        <v>13214</v>
      </c>
      <c r="C6787" s="34" t="s">
        <v>585</v>
      </c>
    </row>
    <row r="6788" customFormat="false" ht="63.75" hidden="false" customHeight="false" outlineLevel="0" collapsed="false">
      <c r="A6788" s="37" t="s">
        <v>13215</v>
      </c>
      <c r="B6788" s="34" t="s">
        <v>13216</v>
      </c>
      <c r="C6788" s="34" t="s">
        <v>588</v>
      </c>
    </row>
    <row r="6789" customFormat="false" ht="51" hidden="false" customHeight="false" outlineLevel="0" collapsed="false">
      <c r="A6789" s="37" t="s">
        <v>13217</v>
      </c>
      <c r="B6789" s="34" t="s">
        <v>13218</v>
      </c>
      <c r="C6789" s="34" t="s">
        <v>546</v>
      </c>
    </row>
    <row r="6790" customFormat="false" ht="51" hidden="false" customHeight="false" outlineLevel="0" collapsed="false">
      <c r="A6790" s="37" t="s">
        <v>13219</v>
      </c>
      <c r="B6790" s="34" t="s">
        <v>13220</v>
      </c>
      <c r="C6790" s="34" t="s">
        <v>546</v>
      </c>
    </row>
    <row r="6791" customFormat="false" ht="51" hidden="false" customHeight="false" outlineLevel="0" collapsed="false">
      <c r="A6791" s="37" t="s">
        <v>13221</v>
      </c>
      <c r="B6791" s="34" t="s">
        <v>13222</v>
      </c>
      <c r="C6791" s="34" t="s">
        <v>546</v>
      </c>
    </row>
    <row r="6792" customFormat="false" ht="51" hidden="false" customHeight="false" outlineLevel="0" collapsed="false">
      <c r="A6792" s="37" t="s">
        <v>13223</v>
      </c>
      <c r="B6792" s="34" t="s">
        <v>13224</v>
      </c>
      <c r="C6792" s="34" t="s">
        <v>546</v>
      </c>
    </row>
    <row r="6793" customFormat="false" ht="51" hidden="false" customHeight="false" outlineLevel="0" collapsed="false">
      <c r="A6793" s="37" t="s">
        <v>13225</v>
      </c>
      <c r="B6793" s="34" t="s">
        <v>13226</v>
      </c>
      <c r="C6793" s="34" t="s">
        <v>546</v>
      </c>
    </row>
    <row r="6794" customFormat="false" ht="51" hidden="false" customHeight="false" outlineLevel="0" collapsed="false">
      <c r="A6794" s="37" t="s">
        <v>13227</v>
      </c>
      <c r="B6794" s="34" t="s">
        <v>13228</v>
      </c>
      <c r="C6794" s="34" t="s">
        <v>546</v>
      </c>
    </row>
    <row r="6795" customFormat="false" ht="51" hidden="false" customHeight="false" outlineLevel="0" collapsed="false">
      <c r="A6795" s="37" t="s">
        <v>13229</v>
      </c>
      <c r="B6795" s="34" t="s">
        <v>13230</v>
      </c>
      <c r="C6795" s="34" t="s">
        <v>546</v>
      </c>
    </row>
    <row r="6796" customFormat="false" ht="51" hidden="false" customHeight="false" outlineLevel="0" collapsed="false">
      <c r="A6796" s="37" t="s">
        <v>13231</v>
      </c>
      <c r="B6796" s="34" t="s">
        <v>13232</v>
      </c>
      <c r="C6796" s="34" t="s">
        <v>546</v>
      </c>
    </row>
    <row r="6797" customFormat="false" ht="51" hidden="false" customHeight="false" outlineLevel="0" collapsed="false">
      <c r="A6797" s="37" t="s">
        <v>13233</v>
      </c>
      <c r="B6797" s="34" t="s">
        <v>13234</v>
      </c>
      <c r="C6797" s="34" t="s">
        <v>546</v>
      </c>
    </row>
    <row r="6798" customFormat="false" ht="51" hidden="false" customHeight="false" outlineLevel="0" collapsed="false">
      <c r="A6798" s="37" t="s">
        <v>13235</v>
      </c>
      <c r="B6798" s="34" t="s">
        <v>13236</v>
      </c>
      <c r="C6798" s="34" t="s">
        <v>546</v>
      </c>
    </row>
    <row r="6799" customFormat="false" ht="51" hidden="false" customHeight="false" outlineLevel="0" collapsed="false">
      <c r="A6799" s="37" t="s">
        <v>13237</v>
      </c>
      <c r="B6799" s="34" t="s">
        <v>13238</v>
      </c>
      <c r="C6799" s="34" t="s">
        <v>546</v>
      </c>
    </row>
    <row r="6800" customFormat="false" ht="51" hidden="false" customHeight="false" outlineLevel="0" collapsed="false">
      <c r="A6800" s="37" t="s">
        <v>13239</v>
      </c>
      <c r="B6800" s="34" t="s">
        <v>13240</v>
      </c>
      <c r="C6800" s="34" t="s">
        <v>613</v>
      </c>
    </row>
    <row r="6801" customFormat="false" ht="51" hidden="false" customHeight="false" outlineLevel="0" collapsed="false">
      <c r="A6801" s="37" t="s">
        <v>13241</v>
      </c>
      <c r="B6801" s="34" t="s">
        <v>13242</v>
      </c>
      <c r="C6801" s="34" t="s">
        <v>546</v>
      </c>
    </row>
    <row r="6802" customFormat="false" ht="51" hidden="false" customHeight="false" outlineLevel="0" collapsed="false">
      <c r="A6802" s="37" t="s">
        <v>13243</v>
      </c>
      <c r="B6802" s="34" t="s">
        <v>13244</v>
      </c>
      <c r="C6802" s="34" t="s">
        <v>546</v>
      </c>
    </row>
    <row r="6803" customFormat="false" ht="51" hidden="false" customHeight="false" outlineLevel="0" collapsed="false">
      <c r="A6803" s="37" t="s">
        <v>13245</v>
      </c>
      <c r="B6803" s="34" t="s">
        <v>13246</v>
      </c>
      <c r="C6803" s="34" t="s">
        <v>546</v>
      </c>
    </row>
    <row r="6804" customFormat="false" ht="51" hidden="false" customHeight="false" outlineLevel="0" collapsed="false">
      <c r="A6804" s="37" t="s">
        <v>13247</v>
      </c>
      <c r="B6804" s="34" t="s">
        <v>13248</v>
      </c>
      <c r="C6804" s="34" t="s">
        <v>546</v>
      </c>
    </row>
    <row r="6805" customFormat="false" ht="51" hidden="false" customHeight="false" outlineLevel="0" collapsed="false">
      <c r="A6805" s="37" t="s">
        <v>13249</v>
      </c>
      <c r="B6805" s="34" t="s">
        <v>13250</v>
      </c>
      <c r="C6805" s="34" t="s">
        <v>546</v>
      </c>
    </row>
    <row r="6806" customFormat="false" ht="51" hidden="false" customHeight="false" outlineLevel="0" collapsed="false">
      <c r="A6806" s="37" t="s">
        <v>13251</v>
      </c>
      <c r="B6806" s="34" t="s">
        <v>13252</v>
      </c>
      <c r="C6806" s="34" t="s">
        <v>613</v>
      </c>
    </row>
    <row r="6807" customFormat="false" ht="51" hidden="false" customHeight="false" outlineLevel="0" collapsed="false">
      <c r="A6807" s="37" t="s">
        <v>13253</v>
      </c>
      <c r="B6807" s="34" t="s">
        <v>13254</v>
      </c>
      <c r="C6807" s="34" t="s">
        <v>546</v>
      </c>
    </row>
    <row r="6808" customFormat="false" ht="51" hidden="false" customHeight="false" outlineLevel="0" collapsed="false">
      <c r="A6808" s="37" t="s">
        <v>13255</v>
      </c>
      <c r="B6808" s="34" t="s">
        <v>13256</v>
      </c>
      <c r="C6808" s="34" t="s">
        <v>546</v>
      </c>
    </row>
    <row r="6809" customFormat="false" ht="51" hidden="false" customHeight="false" outlineLevel="0" collapsed="false">
      <c r="A6809" s="37" t="s">
        <v>13257</v>
      </c>
      <c r="B6809" s="34" t="s">
        <v>13258</v>
      </c>
      <c r="C6809" s="34" t="s">
        <v>546</v>
      </c>
    </row>
    <row r="6810" customFormat="false" ht="51" hidden="false" customHeight="false" outlineLevel="0" collapsed="false">
      <c r="A6810" s="37" t="s">
        <v>13259</v>
      </c>
      <c r="B6810" s="34" t="s">
        <v>13260</v>
      </c>
      <c r="C6810" s="34" t="s">
        <v>634</v>
      </c>
    </row>
    <row r="6811" customFormat="false" ht="51" hidden="false" customHeight="false" outlineLevel="0" collapsed="false">
      <c r="A6811" s="37" t="s">
        <v>13261</v>
      </c>
      <c r="B6811" s="34" t="s">
        <v>13262</v>
      </c>
      <c r="C6811" s="34" t="s">
        <v>637</v>
      </c>
    </row>
    <row r="6812" customFormat="false" ht="51" hidden="false" customHeight="false" outlineLevel="0" collapsed="false">
      <c r="A6812" s="37" t="s">
        <v>13263</v>
      </c>
      <c r="B6812" s="34" t="s">
        <v>13264</v>
      </c>
      <c r="C6812" s="34" t="s">
        <v>546</v>
      </c>
    </row>
    <row r="6813" customFormat="false" ht="51" hidden="false" customHeight="false" outlineLevel="0" collapsed="false">
      <c r="A6813" s="37" t="s">
        <v>13265</v>
      </c>
      <c r="B6813" s="34" t="s">
        <v>13266</v>
      </c>
      <c r="C6813" s="34" t="s">
        <v>546</v>
      </c>
    </row>
    <row r="6814" customFormat="false" ht="51" hidden="false" customHeight="false" outlineLevel="0" collapsed="false">
      <c r="A6814" s="37" t="s">
        <v>13267</v>
      </c>
      <c r="B6814" s="34" t="s">
        <v>13268</v>
      </c>
      <c r="C6814" s="34" t="s">
        <v>546</v>
      </c>
    </row>
    <row r="6815" customFormat="false" ht="63.75" hidden="false" customHeight="false" outlineLevel="0" collapsed="false">
      <c r="A6815" s="37" t="s">
        <v>13269</v>
      </c>
      <c r="B6815" s="34" t="s">
        <v>13270</v>
      </c>
      <c r="C6815" s="34" t="s">
        <v>139</v>
      </c>
    </row>
    <row r="6816" customFormat="false" ht="63.75" hidden="false" customHeight="false" outlineLevel="0" collapsed="false">
      <c r="A6816" s="37" t="s">
        <v>13271</v>
      </c>
      <c r="B6816" s="34" t="s">
        <v>13272</v>
      </c>
      <c r="C6816" s="34" t="s">
        <v>139</v>
      </c>
    </row>
    <row r="6817" customFormat="false" ht="63.75" hidden="false" customHeight="false" outlineLevel="0" collapsed="false">
      <c r="A6817" s="37" t="s">
        <v>13273</v>
      </c>
      <c r="B6817" s="34" t="s">
        <v>13274</v>
      </c>
      <c r="C6817" s="34" t="s">
        <v>139</v>
      </c>
    </row>
    <row r="6818" customFormat="false" ht="63.75" hidden="false" customHeight="false" outlineLevel="0" collapsed="false">
      <c r="A6818" s="37" t="s">
        <v>13275</v>
      </c>
      <c r="B6818" s="34" t="s">
        <v>13276</v>
      </c>
      <c r="C6818" s="34" t="s">
        <v>139</v>
      </c>
    </row>
    <row r="6819" customFormat="false" ht="63.75" hidden="false" customHeight="false" outlineLevel="0" collapsed="false">
      <c r="A6819" s="37" t="s">
        <v>13277</v>
      </c>
      <c r="B6819" s="34" t="s">
        <v>13278</v>
      </c>
      <c r="C6819" s="34" t="s">
        <v>139</v>
      </c>
    </row>
    <row r="6820" customFormat="false" ht="63.75" hidden="false" customHeight="false" outlineLevel="0" collapsed="false">
      <c r="A6820" s="37" t="s">
        <v>13279</v>
      </c>
      <c r="B6820" s="34" t="s">
        <v>13280</v>
      </c>
      <c r="C6820" s="34" t="s">
        <v>139</v>
      </c>
    </row>
    <row r="6821" customFormat="false" ht="63.75" hidden="false" customHeight="false" outlineLevel="0" collapsed="false">
      <c r="A6821" s="37" t="s">
        <v>13281</v>
      </c>
      <c r="B6821" s="34" t="s">
        <v>13282</v>
      </c>
      <c r="C6821" s="34" t="s">
        <v>139</v>
      </c>
    </row>
    <row r="6822" customFormat="false" ht="63.75" hidden="false" customHeight="false" outlineLevel="0" collapsed="false">
      <c r="A6822" s="37" t="s">
        <v>13283</v>
      </c>
      <c r="B6822" s="34" t="s">
        <v>13284</v>
      </c>
      <c r="C6822" s="34" t="s">
        <v>139</v>
      </c>
    </row>
    <row r="6823" customFormat="false" ht="102" hidden="false" customHeight="false" outlineLevel="0" collapsed="false">
      <c r="A6823" s="37" t="s">
        <v>13285</v>
      </c>
      <c r="B6823" s="34" t="s">
        <v>13286</v>
      </c>
      <c r="C6823" s="34" t="s">
        <v>2216</v>
      </c>
    </row>
    <row r="6824" customFormat="false" ht="102" hidden="false" customHeight="false" outlineLevel="0" collapsed="false">
      <c r="A6824" s="37" t="s">
        <v>13287</v>
      </c>
      <c r="B6824" s="34" t="s">
        <v>13288</v>
      </c>
      <c r="C6824" s="34" t="s">
        <v>2216</v>
      </c>
    </row>
    <row r="6825" customFormat="false" ht="89.25" hidden="false" customHeight="false" outlineLevel="0" collapsed="false">
      <c r="A6825" s="37" t="s">
        <v>13289</v>
      </c>
      <c r="B6825" s="34" t="s">
        <v>13290</v>
      </c>
      <c r="C6825" s="34" t="s">
        <v>1450</v>
      </c>
    </row>
    <row r="6826" customFormat="false" ht="76.5" hidden="false" customHeight="false" outlineLevel="0" collapsed="false">
      <c r="A6826" s="37" t="s">
        <v>13291</v>
      </c>
      <c r="B6826" s="34" t="s">
        <v>13292</v>
      </c>
      <c r="C6826" s="34" t="s">
        <v>2222</v>
      </c>
    </row>
    <row r="6827" customFormat="false" ht="63.75" hidden="false" customHeight="false" outlineLevel="0" collapsed="false">
      <c r="A6827" s="37" t="s">
        <v>13293</v>
      </c>
      <c r="B6827" s="34" t="s">
        <v>13294</v>
      </c>
      <c r="C6827" s="34" t="s">
        <v>139</v>
      </c>
    </row>
    <row r="6828" customFormat="false" ht="63.75" hidden="false" customHeight="false" outlineLevel="0" collapsed="false">
      <c r="A6828" s="37" t="s">
        <v>13295</v>
      </c>
      <c r="B6828" s="34" t="s">
        <v>13296</v>
      </c>
      <c r="C6828" s="34" t="s">
        <v>139</v>
      </c>
    </row>
    <row r="6829" customFormat="false" ht="63.75" hidden="false" customHeight="false" outlineLevel="0" collapsed="false">
      <c r="A6829" s="37" t="s">
        <v>13297</v>
      </c>
      <c r="B6829" s="34" t="s">
        <v>13298</v>
      </c>
      <c r="C6829" s="34" t="s">
        <v>139</v>
      </c>
    </row>
    <row r="6830" customFormat="false" ht="102" hidden="false" customHeight="false" outlineLevel="0" collapsed="false">
      <c r="A6830" s="37" t="s">
        <v>13299</v>
      </c>
      <c r="B6830" s="34" t="s">
        <v>13300</v>
      </c>
      <c r="C6830" s="34" t="s">
        <v>97</v>
      </c>
    </row>
    <row r="6831" customFormat="false" ht="102" hidden="false" customHeight="false" outlineLevel="0" collapsed="false">
      <c r="A6831" s="37" t="s">
        <v>13301</v>
      </c>
      <c r="B6831" s="34" t="s">
        <v>13302</v>
      </c>
      <c r="C6831" s="34" t="s">
        <v>97</v>
      </c>
    </row>
    <row r="6832" customFormat="false" ht="102" hidden="false" customHeight="false" outlineLevel="0" collapsed="false">
      <c r="A6832" s="37" t="s">
        <v>13303</v>
      </c>
      <c r="B6832" s="34" t="s">
        <v>13304</v>
      </c>
      <c r="C6832" s="34" t="s">
        <v>887</v>
      </c>
    </row>
    <row r="6833" customFormat="false" ht="114.75" hidden="false" customHeight="false" outlineLevel="0" collapsed="false">
      <c r="A6833" s="37" t="s">
        <v>13305</v>
      </c>
      <c r="B6833" s="34" t="s">
        <v>13306</v>
      </c>
      <c r="C6833" s="34" t="s">
        <v>849</v>
      </c>
    </row>
    <row r="6834" customFormat="false" ht="89.25" hidden="false" customHeight="false" outlineLevel="0" collapsed="false">
      <c r="A6834" s="37" t="s">
        <v>13307</v>
      </c>
      <c r="B6834" s="34" t="s">
        <v>13308</v>
      </c>
      <c r="C6834" s="34" t="s">
        <v>891</v>
      </c>
    </row>
    <row r="6835" customFormat="false" ht="114.75" hidden="false" customHeight="false" outlineLevel="0" collapsed="false">
      <c r="A6835" s="37" t="s">
        <v>13309</v>
      </c>
      <c r="B6835" s="34" t="s">
        <v>13310</v>
      </c>
      <c r="C6835" s="34" t="s">
        <v>849</v>
      </c>
    </row>
    <row r="6836" customFormat="false" ht="76.5" hidden="false" customHeight="false" outlineLevel="0" collapsed="false">
      <c r="A6836" s="37" t="s">
        <v>13311</v>
      </c>
      <c r="B6836" s="34" t="s">
        <v>13312</v>
      </c>
      <c r="C6836" s="34" t="s">
        <v>108</v>
      </c>
    </row>
    <row r="6837" customFormat="false" ht="89.25" hidden="false" customHeight="false" outlineLevel="0" collapsed="false">
      <c r="A6837" s="37" t="s">
        <v>13313</v>
      </c>
      <c r="B6837" s="34" t="s">
        <v>13314</v>
      </c>
      <c r="C6837" s="34" t="s">
        <v>871</v>
      </c>
    </row>
    <row r="6838" customFormat="false" ht="102" hidden="false" customHeight="false" outlineLevel="0" collapsed="false">
      <c r="A6838" s="37" t="s">
        <v>13315</v>
      </c>
      <c r="B6838" s="34" t="s">
        <v>13316</v>
      </c>
      <c r="C6838" s="34" t="s">
        <v>783</v>
      </c>
    </row>
    <row r="6839" customFormat="false" ht="89.25" hidden="false" customHeight="false" outlineLevel="0" collapsed="false">
      <c r="A6839" s="37" t="s">
        <v>13317</v>
      </c>
      <c r="B6839" s="34" t="s">
        <v>13318</v>
      </c>
      <c r="C6839" s="34" t="s">
        <v>858</v>
      </c>
    </row>
    <row r="6840" customFormat="false" ht="89.25" hidden="false" customHeight="false" outlineLevel="0" collapsed="false">
      <c r="A6840" s="37" t="s">
        <v>13319</v>
      </c>
      <c r="B6840" s="34" t="s">
        <v>13320</v>
      </c>
      <c r="C6840" s="34" t="s">
        <v>902</v>
      </c>
    </row>
    <row r="6841" customFormat="false" ht="89.25" hidden="false" customHeight="false" outlineLevel="0" collapsed="false">
      <c r="A6841" s="37" t="s">
        <v>13321</v>
      </c>
      <c r="B6841" s="34" t="s">
        <v>13322</v>
      </c>
      <c r="C6841" s="34" t="s">
        <v>902</v>
      </c>
    </row>
    <row r="6842" customFormat="false" ht="89.25" hidden="false" customHeight="false" outlineLevel="0" collapsed="false">
      <c r="A6842" s="37" t="s">
        <v>13323</v>
      </c>
      <c r="B6842" s="34" t="s">
        <v>13324</v>
      </c>
      <c r="C6842" s="34" t="s">
        <v>122</v>
      </c>
    </row>
    <row r="6843" customFormat="false" ht="89.25" hidden="false" customHeight="false" outlineLevel="0" collapsed="false">
      <c r="A6843" s="37" t="s">
        <v>13325</v>
      </c>
      <c r="B6843" s="34" t="s">
        <v>13326</v>
      </c>
      <c r="C6843" s="34" t="s">
        <v>874</v>
      </c>
    </row>
    <row r="6844" customFormat="false" ht="89.25" hidden="false" customHeight="false" outlineLevel="0" collapsed="false">
      <c r="A6844" s="37" t="s">
        <v>13327</v>
      </c>
      <c r="B6844" s="34" t="s">
        <v>13328</v>
      </c>
      <c r="C6844" s="34" t="s">
        <v>874</v>
      </c>
    </row>
    <row r="6845" customFormat="false" ht="89.25" hidden="false" customHeight="false" outlineLevel="0" collapsed="false">
      <c r="A6845" s="37" t="s">
        <v>13329</v>
      </c>
      <c r="B6845" s="34" t="s">
        <v>13330</v>
      </c>
      <c r="C6845" s="34" t="s">
        <v>874</v>
      </c>
    </row>
    <row r="6846" customFormat="false" ht="89.25" hidden="false" customHeight="false" outlineLevel="0" collapsed="false">
      <c r="A6846" s="37" t="s">
        <v>13331</v>
      </c>
      <c r="B6846" s="34" t="s">
        <v>13332</v>
      </c>
      <c r="C6846" s="34" t="s">
        <v>874</v>
      </c>
    </row>
    <row r="6847" customFormat="false" ht="102" hidden="false" customHeight="false" outlineLevel="0" collapsed="false">
      <c r="A6847" s="37" t="s">
        <v>13333</v>
      </c>
      <c r="B6847" s="34" t="s">
        <v>13334</v>
      </c>
      <c r="C6847" s="34" t="s">
        <v>883</v>
      </c>
    </row>
    <row r="6848" customFormat="false" ht="63.75" hidden="false" customHeight="false" outlineLevel="0" collapsed="false">
      <c r="A6848" s="37" t="s">
        <v>13335</v>
      </c>
      <c r="B6848" s="34" t="s">
        <v>13336</v>
      </c>
      <c r="C6848" s="34" t="s">
        <v>1033</v>
      </c>
    </row>
    <row r="6849" customFormat="false" ht="51" hidden="false" customHeight="false" outlineLevel="0" collapsed="false">
      <c r="A6849" s="37" t="s">
        <v>13337</v>
      </c>
      <c r="B6849" s="34" t="s">
        <v>13338</v>
      </c>
      <c r="C6849" s="34" t="s">
        <v>687</v>
      </c>
    </row>
    <row r="6850" customFormat="false" ht="63.75" hidden="false" customHeight="false" outlineLevel="0" collapsed="false">
      <c r="A6850" s="37" t="s">
        <v>13339</v>
      </c>
      <c r="B6850" s="34" t="s">
        <v>13340</v>
      </c>
      <c r="C6850" s="34" t="s">
        <v>1038</v>
      </c>
    </row>
    <row r="6851" customFormat="false" ht="51" hidden="false" customHeight="false" outlineLevel="0" collapsed="false">
      <c r="A6851" s="37" t="s">
        <v>13341</v>
      </c>
      <c r="B6851" s="34" t="s">
        <v>13342</v>
      </c>
      <c r="C6851" s="34" t="s">
        <v>1041</v>
      </c>
    </row>
    <row r="6852" customFormat="false" ht="51" hidden="false" customHeight="false" outlineLevel="0" collapsed="false">
      <c r="A6852" s="37" t="s">
        <v>13343</v>
      </c>
      <c r="B6852" s="34" t="s">
        <v>13344</v>
      </c>
      <c r="C6852" s="34" t="s">
        <v>696</v>
      </c>
    </row>
    <row r="6853" customFormat="false" ht="51" hidden="false" customHeight="false" outlineLevel="0" collapsed="false">
      <c r="A6853" s="37" t="s">
        <v>13345</v>
      </c>
      <c r="B6853" s="34" t="s">
        <v>13346</v>
      </c>
      <c r="C6853" s="34" t="s">
        <v>1050</v>
      </c>
    </row>
    <row r="6854" customFormat="false" ht="89.25" hidden="false" customHeight="false" outlineLevel="0" collapsed="false">
      <c r="A6854" s="37" t="s">
        <v>13347</v>
      </c>
      <c r="B6854" s="34" t="s">
        <v>13348</v>
      </c>
      <c r="C6854" s="34" t="s">
        <v>702</v>
      </c>
    </row>
    <row r="6855" customFormat="false" ht="89.25" hidden="false" customHeight="false" outlineLevel="0" collapsed="false">
      <c r="A6855" s="37" t="s">
        <v>13349</v>
      </c>
      <c r="B6855" s="34" t="s">
        <v>13350</v>
      </c>
      <c r="C6855" s="34" t="s">
        <v>702</v>
      </c>
    </row>
    <row r="6856" customFormat="false" ht="51" hidden="false" customHeight="false" outlineLevel="0" collapsed="false">
      <c r="A6856" s="37" t="s">
        <v>13351</v>
      </c>
      <c r="B6856" s="34" t="s">
        <v>13352</v>
      </c>
      <c r="C6856" s="34" t="s">
        <v>707</v>
      </c>
    </row>
    <row r="6857" customFormat="false" ht="89.25" hidden="false" customHeight="false" outlineLevel="0" collapsed="false">
      <c r="A6857" s="37" t="s">
        <v>13353</v>
      </c>
      <c r="B6857" s="34" t="s">
        <v>13354</v>
      </c>
      <c r="C6857" s="34" t="s">
        <v>1447</v>
      </c>
    </row>
    <row r="6858" customFormat="false" ht="89.25" hidden="false" customHeight="false" outlineLevel="0" collapsed="false">
      <c r="A6858" s="37" t="s">
        <v>13355</v>
      </c>
      <c r="B6858" s="34" t="s">
        <v>13356</v>
      </c>
      <c r="C6858" s="34" t="s">
        <v>1450</v>
      </c>
    </row>
    <row r="6859" customFormat="false" ht="102" hidden="false" customHeight="false" outlineLevel="0" collapsed="false">
      <c r="A6859" s="37" t="s">
        <v>13357</v>
      </c>
      <c r="B6859" s="34" t="s">
        <v>13358</v>
      </c>
      <c r="C6859" s="34" t="s">
        <v>1453</v>
      </c>
    </row>
    <row r="6860" customFormat="false" ht="76.5" hidden="false" customHeight="false" outlineLevel="0" collapsed="false">
      <c r="A6860" s="37" t="s">
        <v>13359</v>
      </c>
      <c r="B6860" s="34" t="s">
        <v>13360</v>
      </c>
      <c r="C6860" s="34" t="s">
        <v>719</v>
      </c>
    </row>
    <row r="6861" customFormat="false" ht="63.75" hidden="false" customHeight="false" outlineLevel="0" collapsed="false">
      <c r="A6861" s="37" t="s">
        <v>13361</v>
      </c>
      <c r="B6861" s="34" t="s">
        <v>13362</v>
      </c>
      <c r="C6861" s="34" t="s">
        <v>1458</v>
      </c>
    </row>
    <row r="6862" customFormat="false" ht="102" hidden="false" customHeight="false" outlineLevel="0" collapsed="false">
      <c r="A6862" s="37" t="s">
        <v>13363</v>
      </c>
      <c r="B6862" s="34" t="s">
        <v>13364</v>
      </c>
      <c r="C6862" s="34" t="s">
        <v>7232</v>
      </c>
    </row>
    <row r="6863" customFormat="false" ht="102" hidden="false" customHeight="false" outlineLevel="0" collapsed="false">
      <c r="A6863" s="37" t="s">
        <v>13365</v>
      </c>
      <c r="B6863" s="34" t="s">
        <v>13366</v>
      </c>
      <c r="C6863" s="34" t="s">
        <v>7235</v>
      </c>
    </row>
    <row r="6864" customFormat="false" ht="63.75" hidden="false" customHeight="false" outlineLevel="0" collapsed="false">
      <c r="A6864" s="37" t="s">
        <v>13367</v>
      </c>
      <c r="B6864" s="34" t="s">
        <v>13368</v>
      </c>
      <c r="C6864" s="34" t="s">
        <v>3186</v>
      </c>
    </row>
    <row r="6865" customFormat="false" ht="89.25" hidden="false" customHeight="false" outlineLevel="0" collapsed="false">
      <c r="A6865" s="37" t="s">
        <v>13369</v>
      </c>
      <c r="B6865" s="34" t="s">
        <v>13370</v>
      </c>
      <c r="C6865" s="34" t="s">
        <v>7240</v>
      </c>
    </row>
    <row r="6866" customFormat="false" ht="76.5" hidden="false" customHeight="false" outlineLevel="0" collapsed="false">
      <c r="A6866" s="37" t="s">
        <v>13371</v>
      </c>
      <c r="B6866" s="34" t="s">
        <v>13372</v>
      </c>
      <c r="C6866" s="34" t="s">
        <v>2297</v>
      </c>
    </row>
    <row r="6867" customFormat="false" ht="76.5" hidden="false" customHeight="false" outlineLevel="0" collapsed="false">
      <c r="A6867" s="37" t="s">
        <v>13373</v>
      </c>
      <c r="B6867" s="34" t="s">
        <v>13374</v>
      </c>
      <c r="C6867" s="34" t="s">
        <v>2297</v>
      </c>
    </row>
    <row r="6868" customFormat="false" ht="76.5" hidden="false" customHeight="false" outlineLevel="0" collapsed="false">
      <c r="A6868" s="37" t="s">
        <v>13375</v>
      </c>
      <c r="B6868" s="34" t="s">
        <v>13376</v>
      </c>
      <c r="C6868" s="34" t="s">
        <v>2297</v>
      </c>
    </row>
    <row r="6869" customFormat="false" ht="76.5" hidden="false" customHeight="false" outlineLevel="0" collapsed="false">
      <c r="A6869" s="37" t="s">
        <v>13377</v>
      </c>
      <c r="B6869" s="34" t="s">
        <v>13378</v>
      </c>
      <c r="C6869" s="34" t="s">
        <v>2297</v>
      </c>
    </row>
    <row r="6870" customFormat="false" ht="63.75" hidden="false" customHeight="false" outlineLevel="0" collapsed="false">
      <c r="A6870" s="37" t="s">
        <v>13379</v>
      </c>
      <c r="B6870" s="34" t="s">
        <v>13380</v>
      </c>
      <c r="C6870" s="34" t="s">
        <v>139</v>
      </c>
    </row>
    <row r="6871" customFormat="false" ht="63.75" hidden="false" customHeight="false" outlineLevel="0" collapsed="false">
      <c r="A6871" s="37" t="s">
        <v>13381</v>
      </c>
      <c r="B6871" s="34" t="s">
        <v>13382</v>
      </c>
      <c r="C6871" s="34" t="s">
        <v>139</v>
      </c>
    </row>
    <row r="6872" customFormat="false" ht="63.75" hidden="false" customHeight="false" outlineLevel="0" collapsed="false">
      <c r="A6872" s="37" t="s">
        <v>13383</v>
      </c>
      <c r="B6872" s="34" t="s">
        <v>13384</v>
      </c>
      <c r="C6872" s="34" t="s">
        <v>139</v>
      </c>
    </row>
    <row r="6873" customFormat="false" ht="63.75" hidden="false" customHeight="false" outlineLevel="0" collapsed="false">
      <c r="A6873" s="37" t="s">
        <v>13385</v>
      </c>
      <c r="B6873" s="34" t="s">
        <v>13386</v>
      </c>
      <c r="C6873" s="34" t="s">
        <v>139</v>
      </c>
    </row>
    <row r="6874" customFormat="false" ht="63.75" hidden="false" customHeight="false" outlineLevel="0" collapsed="false">
      <c r="A6874" s="37" t="s">
        <v>13387</v>
      </c>
      <c r="B6874" s="34" t="s">
        <v>3206</v>
      </c>
      <c r="C6874" s="34" t="s">
        <v>965</v>
      </c>
    </row>
    <row r="6875" customFormat="false" ht="76.5" hidden="false" customHeight="false" outlineLevel="0" collapsed="false">
      <c r="A6875" s="37" t="s">
        <v>13388</v>
      </c>
      <c r="B6875" s="34" t="s">
        <v>13389</v>
      </c>
      <c r="C6875" s="34" t="s">
        <v>965</v>
      </c>
    </row>
    <row r="6876" customFormat="false" ht="76.5" hidden="false" customHeight="false" outlineLevel="0" collapsed="false">
      <c r="A6876" s="37" t="s">
        <v>13390</v>
      </c>
      <c r="B6876" s="34" t="s">
        <v>13391</v>
      </c>
      <c r="C6876" s="34" t="s">
        <v>965</v>
      </c>
    </row>
    <row r="6877" customFormat="false" ht="76.5" hidden="false" customHeight="false" outlineLevel="0" collapsed="false">
      <c r="A6877" s="37" t="s">
        <v>13392</v>
      </c>
      <c r="B6877" s="34" t="s">
        <v>13393</v>
      </c>
      <c r="C6877" s="34" t="s">
        <v>965</v>
      </c>
    </row>
    <row r="6878" customFormat="false" ht="76.5" hidden="false" customHeight="false" outlineLevel="0" collapsed="false">
      <c r="A6878" s="37" t="s">
        <v>13394</v>
      </c>
      <c r="B6878" s="34" t="s">
        <v>13395</v>
      </c>
      <c r="C6878" s="34" t="s">
        <v>965</v>
      </c>
    </row>
    <row r="6879" customFormat="false" ht="76.5" hidden="false" customHeight="false" outlineLevel="0" collapsed="false">
      <c r="A6879" s="37" t="s">
        <v>13396</v>
      </c>
      <c r="B6879" s="34" t="s">
        <v>13397</v>
      </c>
      <c r="C6879" s="34" t="s">
        <v>965</v>
      </c>
    </row>
    <row r="6880" customFormat="false" ht="102" hidden="false" customHeight="false" outlineLevel="0" collapsed="false">
      <c r="A6880" s="37" t="s">
        <v>13398</v>
      </c>
      <c r="B6880" s="34" t="s">
        <v>13399</v>
      </c>
      <c r="C6880" s="34" t="s">
        <v>965</v>
      </c>
    </row>
    <row r="6881" customFormat="false" ht="63.75" hidden="false" customHeight="false" outlineLevel="0" collapsed="false">
      <c r="A6881" s="37" t="s">
        <v>13400</v>
      </c>
      <c r="B6881" s="34" t="s">
        <v>13401</v>
      </c>
      <c r="C6881" s="34" t="s">
        <v>965</v>
      </c>
    </row>
    <row r="6882" customFormat="false" ht="76.5" hidden="false" customHeight="false" outlineLevel="0" collapsed="false">
      <c r="A6882" s="37" t="s">
        <v>13402</v>
      </c>
      <c r="B6882" s="34" t="s">
        <v>13403</v>
      </c>
      <c r="C6882" s="34" t="s">
        <v>965</v>
      </c>
    </row>
    <row r="6883" customFormat="false" ht="89.25" hidden="false" customHeight="false" outlineLevel="0" collapsed="false">
      <c r="A6883" s="37" t="s">
        <v>13404</v>
      </c>
      <c r="B6883" s="34" t="s">
        <v>13405</v>
      </c>
      <c r="C6883" s="34" t="s">
        <v>965</v>
      </c>
    </row>
    <row r="6884" customFormat="false" ht="63.75" hidden="false" customHeight="false" outlineLevel="0" collapsed="false">
      <c r="A6884" s="37" t="s">
        <v>13406</v>
      </c>
      <c r="B6884" s="34" t="s">
        <v>13407</v>
      </c>
      <c r="C6884" s="34" t="s">
        <v>965</v>
      </c>
    </row>
    <row r="6885" customFormat="false" ht="38.25" hidden="false" customHeight="false" outlineLevel="0" collapsed="false">
      <c r="A6885" s="37" t="s">
        <v>13408</v>
      </c>
      <c r="B6885" s="34" t="s">
        <v>2335</v>
      </c>
      <c r="C6885" s="34" t="s">
        <v>965</v>
      </c>
    </row>
    <row r="6886" customFormat="false" ht="89.25" hidden="false" customHeight="false" outlineLevel="0" collapsed="false">
      <c r="A6886" s="37" t="s">
        <v>13409</v>
      </c>
      <c r="B6886" s="34" t="s">
        <v>13410</v>
      </c>
      <c r="C6886" s="34" t="s">
        <v>965</v>
      </c>
    </row>
    <row r="6887" customFormat="false" ht="51" hidden="false" customHeight="false" outlineLevel="0" collapsed="false">
      <c r="A6887" s="37" t="s">
        <v>13411</v>
      </c>
      <c r="B6887" s="34" t="s">
        <v>13412</v>
      </c>
      <c r="C6887" s="34" t="s">
        <v>965</v>
      </c>
    </row>
    <row r="6888" customFormat="false" ht="76.5" hidden="false" customHeight="false" outlineLevel="0" collapsed="false">
      <c r="A6888" s="37" t="s">
        <v>13413</v>
      </c>
      <c r="B6888" s="34" t="s">
        <v>13414</v>
      </c>
      <c r="C6888" s="34" t="s">
        <v>965</v>
      </c>
    </row>
    <row r="6889" customFormat="false" ht="63.75" hidden="false" customHeight="false" outlineLevel="0" collapsed="false">
      <c r="A6889" s="37" t="s">
        <v>13415</v>
      </c>
      <c r="B6889" s="34" t="s">
        <v>13416</v>
      </c>
      <c r="C6889" s="34" t="s">
        <v>139</v>
      </c>
    </row>
    <row r="6890" customFormat="false" ht="63.75" hidden="false" customHeight="false" outlineLevel="0" collapsed="false">
      <c r="A6890" s="37" t="s">
        <v>13417</v>
      </c>
      <c r="B6890" s="34" t="s">
        <v>13418</v>
      </c>
      <c r="C6890" s="34" t="s">
        <v>139</v>
      </c>
    </row>
    <row r="6891" customFormat="false" ht="63.75" hidden="false" customHeight="false" outlineLevel="0" collapsed="false">
      <c r="A6891" s="37" t="s">
        <v>13419</v>
      </c>
      <c r="B6891" s="34" t="s">
        <v>13420</v>
      </c>
      <c r="C6891" s="34" t="s">
        <v>139</v>
      </c>
    </row>
    <row r="6892" customFormat="false" ht="63.75" hidden="false" customHeight="false" outlineLevel="0" collapsed="false">
      <c r="A6892" s="37" t="s">
        <v>13421</v>
      </c>
      <c r="B6892" s="34" t="s">
        <v>13422</v>
      </c>
      <c r="C6892" s="34" t="s">
        <v>139</v>
      </c>
    </row>
    <row r="6893" customFormat="false" ht="63.75" hidden="false" customHeight="false" outlineLevel="0" collapsed="false">
      <c r="A6893" s="37" t="s">
        <v>13423</v>
      </c>
      <c r="B6893" s="34" t="s">
        <v>13424</v>
      </c>
      <c r="C6893" s="34" t="s">
        <v>139</v>
      </c>
    </row>
    <row r="6894" customFormat="false" ht="63.75" hidden="false" customHeight="false" outlineLevel="0" collapsed="false">
      <c r="A6894" s="37" t="s">
        <v>13425</v>
      </c>
      <c r="B6894" s="34" t="s">
        <v>13426</v>
      </c>
      <c r="C6894" s="34" t="s">
        <v>139</v>
      </c>
    </row>
    <row r="6895" customFormat="false" ht="63.75" hidden="false" customHeight="false" outlineLevel="0" collapsed="false">
      <c r="A6895" s="37" t="s">
        <v>13427</v>
      </c>
      <c r="B6895" s="34" t="s">
        <v>13428</v>
      </c>
      <c r="C6895" s="34" t="s">
        <v>139</v>
      </c>
    </row>
    <row r="6896" customFormat="false" ht="63.75" hidden="false" customHeight="false" outlineLevel="0" collapsed="false">
      <c r="A6896" s="37" t="s">
        <v>13429</v>
      </c>
      <c r="B6896" s="34" t="s">
        <v>13276</v>
      </c>
      <c r="C6896" s="34" t="s">
        <v>139</v>
      </c>
    </row>
    <row r="6897" customFormat="false" ht="63.75" hidden="false" customHeight="false" outlineLevel="0" collapsed="false">
      <c r="A6897" s="37" t="s">
        <v>13430</v>
      </c>
      <c r="B6897" s="34" t="s">
        <v>13431</v>
      </c>
      <c r="C6897" s="34" t="s">
        <v>139</v>
      </c>
    </row>
    <row r="6898" customFormat="false" ht="51" hidden="false" customHeight="false" outlineLevel="0" collapsed="false">
      <c r="A6898" s="37" t="s">
        <v>13432</v>
      </c>
      <c r="B6898" s="34" t="s">
        <v>13433</v>
      </c>
      <c r="C6898" s="34" t="s">
        <v>965</v>
      </c>
    </row>
    <row r="6899" customFormat="false" ht="63.75" hidden="false" customHeight="false" outlineLevel="0" collapsed="false">
      <c r="A6899" s="37" t="s">
        <v>13434</v>
      </c>
      <c r="B6899" s="34" t="s">
        <v>13435</v>
      </c>
      <c r="C6899" s="34" t="s">
        <v>965</v>
      </c>
    </row>
    <row r="6900" customFormat="false" ht="51" hidden="false" customHeight="false" outlineLevel="0" collapsed="false">
      <c r="A6900" s="37" t="s">
        <v>13436</v>
      </c>
      <c r="B6900" s="34" t="s">
        <v>13437</v>
      </c>
      <c r="C6900" s="34" t="s">
        <v>965</v>
      </c>
    </row>
    <row r="6901" customFormat="false" ht="51" hidden="false" customHeight="false" outlineLevel="0" collapsed="false">
      <c r="A6901" s="37" t="s">
        <v>13438</v>
      </c>
      <c r="B6901" s="34" t="s">
        <v>13439</v>
      </c>
      <c r="C6901" s="34" t="s">
        <v>2362</v>
      </c>
    </row>
    <row r="6902" customFormat="false" ht="63.75" hidden="false" customHeight="false" outlineLevel="0" collapsed="false">
      <c r="A6902" s="37" t="s">
        <v>13440</v>
      </c>
      <c r="B6902" s="34" t="s">
        <v>13441</v>
      </c>
      <c r="C6902" s="34" t="s">
        <v>2365</v>
      </c>
    </row>
    <row r="6903" customFormat="false" ht="63.75" hidden="false" customHeight="false" outlineLevel="0" collapsed="false">
      <c r="A6903" s="37" t="s">
        <v>13442</v>
      </c>
      <c r="B6903" s="34" t="s">
        <v>13443</v>
      </c>
      <c r="C6903" s="34" t="s">
        <v>2365</v>
      </c>
    </row>
    <row r="6904" customFormat="false" ht="63.75" hidden="false" customHeight="false" outlineLevel="0" collapsed="false">
      <c r="A6904" s="37" t="s">
        <v>13444</v>
      </c>
      <c r="B6904" s="34" t="s">
        <v>13445</v>
      </c>
      <c r="C6904" s="34" t="s">
        <v>2365</v>
      </c>
    </row>
    <row r="6905" customFormat="false" ht="63.75" hidden="false" customHeight="false" outlineLevel="0" collapsed="false">
      <c r="A6905" s="37" t="s">
        <v>13446</v>
      </c>
      <c r="B6905" s="34" t="s">
        <v>13447</v>
      </c>
      <c r="C6905" s="34" t="s">
        <v>2365</v>
      </c>
    </row>
    <row r="6906" customFormat="false" ht="63.75" hidden="false" customHeight="false" outlineLevel="0" collapsed="false">
      <c r="A6906" s="37" t="s">
        <v>13448</v>
      </c>
      <c r="B6906" s="34" t="s">
        <v>13449</v>
      </c>
      <c r="C6906" s="34" t="s">
        <v>2365</v>
      </c>
    </row>
    <row r="6907" customFormat="false" ht="63.75" hidden="false" customHeight="false" outlineLevel="0" collapsed="false">
      <c r="A6907" s="37" t="s">
        <v>13450</v>
      </c>
      <c r="B6907" s="34" t="s">
        <v>13451</v>
      </c>
      <c r="C6907" s="34" t="s">
        <v>2365</v>
      </c>
    </row>
    <row r="6908" customFormat="false" ht="63.75" hidden="false" customHeight="false" outlineLevel="0" collapsed="false">
      <c r="A6908" s="37" t="s">
        <v>13452</v>
      </c>
      <c r="B6908" s="34" t="s">
        <v>13453</v>
      </c>
      <c r="C6908" s="34" t="s">
        <v>2365</v>
      </c>
    </row>
    <row r="6909" customFormat="false" ht="63.75" hidden="false" customHeight="false" outlineLevel="0" collapsed="false">
      <c r="A6909" s="37" t="s">
        <v>13454</v>
      </c>
      <c r="B6909" s="34" t="s">
        <v>13455</v>
      </c>
      <c r="C6909" s="34" t="s">
        <v>2365</v>
      </c>
    </row>
    <row r="6910" customFormat="false" ht="63.75" hidden="false" customHeight="false" outlineLevel="0" collapsed="false">
      <c r="A6910" s="37" t="s">
        <v>13456</v>
      </c>
      <c r="B6910" s="34" t="s">
        <v>13457</v>
      </c>
      <c r="C6910" s="34" t="s">
        <v>2365</v>
      </c>
    </row>
    <row r="6911" customFormat="false" ht="63.75" hidden="false" customHeight="false" outlineLevel="0" collapsed="false">
      <c r="A6911" s="37" t="s">
        <v>13458</v>
      </c>
      <c r="B6911" s="34" t="s">
        <v>13459</v>
      </c>
      <c r="C6911" s="34" t="s">
        <v>2365</v>
      </c>
    </row>
    <row r="6912" customFormat="false" ht="51" hidden="false" customHeight="false" outlineLevel="0" collapsed="false">
      <c r="A6912" s="37" t="s">
        <v>13460</v>
      </c>
      <c r="B6912" s="34" t="s">
        <v>13461</v>
      </c>
      <c r="C6912" s="34" t="s">
        <v>2386</v>
      </c>
    </row>
    <row r="6913" customFormat="false" ht="51" hidden="false" customHeight="false" outlineLevel="0" collapsed="false">
      <c r="A6913" s="37" t="s">
        <v>13462</v>
      </c>
      <c r="B6913" s="34" t="s">
        <v>13463</v>
      </c>
      <c r="C6913" s="34" t="s">
        <v>2386</v>
      </c>
    </row>
    <row r="6914" customFormat="false" ht="51" hidden="false" customHeight="false" outlineLevel="0" collapsed="false">
      <c r="A6914" s="37" t="s">
        <v>13464</v>
      </c>
      <c r="B6914" s="34" t="s">
        <v>13465</v>
      </c>
      <c r="C6914" s="34" t="s">
        <v>2386</v>
      </c>
    </row>
    <row r="6915" customFormat="false" ht="51" hidden="false" customHeight="false" outlineLevel="0" collapsed="false">
      <c r="A6915" s="37" t="s">
        <v>13466</v>
      </c>
      <c r="B6915" s="34" t="s">
        <v>13467</v>
      </c>
      <c r="C6915" s="34" t="s">
        <v>2386</v>
      </c>
    </row>
    <row r="6916" customFormat="false" ht="51" hidden="false" customHeight="false" outlineLevel="0" collapsed="false">
      <c r="A6916" s="37" t="s">
        <v>13468</v>
      </c>
      <c r="B6916" s="34" t="s">
        <v>13469</v>
      </c>
      <c r="C6916" s="34" t="s">
        <v>2386</v>
      </c>
    </row>
    <row r="6917" customFormat="false" ht="63.75" hidden="false" customHeight="false" outlineLevel="0" collapsed="false">
      <c r="A6917" s="37" t="s">
        <v>13470</v>
      </c>
      <c r="B6917" s="34" t="s">
        <v>13471</v>
      </c>
      <c r="C6917" s="34" t="s">
        <v>2397</v>
      </c>
    </row>
    <row r="6918" customFormat="false" ht="63.75" hidden="false" customHeight="false" outlineLevel="0" collapsed="false">
      <c r="A6918" s="37" t="s">
        <v>13472</v>
      </c>
      <c r="B6918" s="34" t="s">
        <v>13473</v>
      </c>
      <c r="C6918" s="34" t="s">
        <v>139</v>
      </c>
    </row>
    <row r="6919" customFormat="false" ht="63.75" hidden="false" customHeight="false" outlineLevel="0" collapsed="false">
      <c r="A6919" s="37" t="s">
        <v>13474</v>
      </c>
      <c r="B6919" s="34" t="s">
        <v>13422</v>
      </c>
      <c r="C6919" s="34" t="s">
        <v>139</v>
      </c>
    </row>
    <row r="6920" customFormat="false" ht="63.75" hidden="false" customHeight="false" outlineLevel="0" collapsed="false">
      <c r="A6920" s="37" t="s">
        <v>13475</v>
      </c>
      <c r="B6920" s="34" t="s">
        <v>13476</v>
      </c>
      <c r="C6920" s="34" t="s">
        <v>139</v>
      </c>
    </row>
    <row r="6921" customFormat="false" ht="63.75" hidden="false" customHeight="false" outlineLevel="0" collapsed="false">
      <c r="A6921" s="37" t="s">
        <v>13477</v>
      </c>
      <c r="B6921" s="34" t="s">
        <v>13478</v>
      </c>
      <c r="C6921" s="34" t="s">
        <v>139</v>
      </c>
    </row>
    <row r="6922" customFormat="false" ht="63.75" hidden="false" customHeight="false" outlineLevel="0" collapsed="false">
      <c r="A6922" s="37" t="s">
        <v>13479</v>
      </c>
      <c r="B6922" s="34" t="s">
        <v>13480</v>
      </c>
      <c r="C6922" s="34" t="s">
        <v>139</v>
      </c>
    </row>
    <row r="6923" customFormat="false" ht="51" hidden="false" customHeight="false" outlineLevel="0" collapsed="false">
      <c r="A6923" s="37" t="s">
        <v>13481</v>
      </c>
      <c r="B6923" s="34" t="s">
        <v>13482</v>
      </c>
      <c r="C6923" s="34" t="s">
        <v>73</v>
      </c>
    </row>
    <row r="6924" customFormat="false" ht="38.25" hidden="false" customHeight="false" outlineLevel="0" collapsed="false">
      <c r="A6924" s="37" t="s">
        <v>13483</v>
      </c>
      <c r="B6924" s="34" t="s">
        <v>13484</v>
      </c>
      <c r="C6924" s="34" t="s">
        <v>2412</v>
      </c>
    </row>
    <row r="6925" customFormat="false" ht="25.5" hidden="false" customHeight="false" outlineLevel="0" collapsed="false">
      <c r="A6925" s="37" t="s">
        <v>13485</v>
      </c>
      <c r="B6925" s="34" t="s">
        <v>13486</v>
      </c>
      <c r="C6925" s="34" t="s">
        <v>73</v>
      </c>
    </row>
    <row r="6926" customFormat="false" ht="25.5" hidden="false" customHeight="false" outlineLevel="0" collapsed="false">
      <c r="A6926" s="37" t="s">
        <v>13487</v>
      </c>
      <c r="B6926" s="34" t="s">
        <v>13488</v>
      </c>
      <c r="C6926" s="34" t="s">
        <v>73</v>
      </c>
    </row>
    <row r="6927" customFormat="false" ht="25.5" hidden="false" customHeight="false" outlineLevel="0" collapsed="false">
      <c r="A6927" s="37" t="s">
        <v>13489</v>
      </c>
      <c r="B6927" s="34" t="s">
        <v>13490</v>
      </c>
      <c r="C6927" s="34" t="s">
        <v>73</v>
      </c>
    </row>
    <row r="6928" customFormat="false" ht="76.5" hidden="false" customHeight="false" outlineLevel="0" collapsed="false">
      <c r="A6928" s="37" t="s">
        <v>13491</v>
      </c>
      <c r="B6928" s="34" t="s">
        <v>13492</v>
      </c>
      <c r="C6928" s="34" t="s">
        <v>13493</v>
      </c>
    </row>
    <row r="6929" customFormat="false" ht="76.5" hidden="false" customHeight="false" outlineLevel="0" collapsed="false">
      <c r="A6929" s="37" t="s">
        <v>13494</v>
      </c>
      <c r="B6929" s="34" t="s">
        <v>13495</v>
      </c>
      <c r="C6929" s="34" t="s">
        <v>13496</v>
      </c>
    </row>
    <row r="6930" customFormat="false" ht="76.5" hidden="false" customHeight="false" outlineLevel="0" collapsed="false">
      <c r="A6930" s="37" t="s">
        <v>13497</v>
      </c>
      <c r="B6930" s="34" t="s">
        <v>13498</v>
      </c>
      <c r="C6930" s="34" t="s">
        <v>13499</v>
      </c>
    </row>
    <row r="6931" customFormat="false" ht="51" hidden="false" customHeight="false" outlineLevel="0" collapsed="false">
      <c r="A6931" s="37" t="n">
        <v>9513500</v>
      </c>
      <c r="B6931" s="34" t="s">
        <v>13500</v>
      </c>
      <c r="C6931" s="34" t="s">
        <v>13501</v>
      </c>
    </row>
    <row r="6932" customFormat="false" ht="38.25" hidden="false" customHeight="false" outlineLevel="0" collapsed="false">
      <c r="A6932" s="37" t="n">
        <v>9513600</v>
      </c>
      <c r="B6932" s="34" t="s">
        <v>13502</v>
      </c>
      <c r="C6932" s="34" t="s">
        <v>13502</v>
      </c>
    </row>
    <row r="6933" customFormat="false" ht="12.75" hidden="false" customHeight="false" outlineLevel="0" collapsed="false">
      <c r="A6933" s="37" t="n">
        <v>9513700</v>
      </c>
      <c r="B6933" s="34" t="s">
        <v>13503</v>
      </c>
      <c r="C6933" s="34" t="s">
        <v>13504</v>
      </c>
    </row>
    <row r="6934" customFormat="false" ht="38.25" hidden="false" customHeight="false" outlineLevel="0" collapsed="false">
      <c r="A6934" s="37" t="n">
        <v>9530004</v>
      </c>
      <c r="B6934" s="34" t="s">
        <v>13505</v>
      </c>
      <c r="C6934" s="34" t="s">
        <v>13506</v>
      </c>
    </row>
    <row r="6935" customFormat="false" ht="51" hidden="false" customHeight="false" outlineLevel="0" collapsed="false">
      <c r="A6935" s="37" t="n">
        <v>9530014</v>
      </c>
      <c r="B6935" s="34" t="s">
        <v>13507</v>
      </c>
      <c r="C6935" s="34" t="s">
        <v>13508</v>
      </c>
    </row>
    <row r="6936" customFormat="false" ht="63.75" hidden="false" customHeight="false" outlineLevel="0" collapsed="false">
      <c r="A6936" s="37" t="n">
        <v>9530015</v>
      </c>
      <c r="B6936" s="34" t="s">
        <v>13509</v>
      </c>
      <c r="C6936" s="34" t="s">
        <v>13510</v>
      </c>
    </row>
    <row r="6937" customFormat="false" ht="25.5" hidden="false" customHeight="false" outlineLevel="0" collapsed="false">
      <c r="A6937" s="37" t="n">
        <v>9530048</v>
      </c>
      <c r="B6937" s="34" t="s">
        <v>13511</v>
      </c>
      <c r="C6937" s="34" t="s">
        <v>13512</v>
      </c>
    </row>
    <row r="6938" customFormat="false" ht="12.75" hidden="false" customHeight="false" outlineLevel="0" collapsed="false">
      <c r="A6938" s="37" t="n">
        <v>9530050</v>
      </c>
      <c r="B6938" s="34" t="s">
        <v>13513</v>
      </c>
      <c r="C6938" s="34" t="s">
        <v>13514</v>
      </c>
    </row>
    <row r="6939" customFormat="false" ht="51" hidden="false" customHeight="false" outlineLevel="0" collapsed="false">
      <c r="A6939" s="37" t="n">
        <v>9530052</v>
      </c>
      <c r="B6939" s="34" t="s">
        <v>13515</v>
      </c>
      <c r="C6939" s="34" t="s">
        <v>13516</v>
      </c>
    </row>
    <row r="6940" customFormat="false" ht="38.25" hidden="false" customHeight="false" outlineLevel="0" collapsed="false">
      <c r="A6940" s="37" t="n">
        <v>9530053</v>
      </c>
      <c r="B6940" s="34" t="s">
        <v>13517</v>
      </c>
      <c r="C6940" s="34" t="s">
        <v>13518</v>
      </c>
    </row>
    <row r="6941" customFormat="false" ht="51" hidden="false" customHeight="false" outlineLevel="0" collapsed="false">
      <c r="A6941" s="37" t="n">
        <v>9530300</v>
      </c>
      <c r="B6941" s="34" t="s">
        <v>13519</v>
      </c>
      <c r="C6941" s="34" t="s">
        <v>13520</v>
      </c>
    </row>
    <row r="6942" customFormat="false" ht="89.25" hidden="false" customHeight="false" outlineLevel="0" collapsed="false">
      <c r="A6942" s="37" t="n">
        <v>9530302</v>
      </c>
      <c r="B6942" s="34" t="s">
        <v>13521</v>
      </c>
      <c r="C6942" s="34" t="s">
        <v>13522</v>
      </c>
    </row>
    <row r="6943" customFormat="false" ht="51" hidden="false" customHeight="false" outlineLevel="0" collapsed="false">
      <c r="A6943" s="37" t="n">
        <v>9530303</v>
      </c>
      <c r="B6943" s="34" t="s">
        <v>13523</v>
      </c>
      <c r="C6943" s="34" t="s">
        <v>13516</v>
      </c>
    </row>
    <row r="6944" customFormat="false" ht="51" hidden="false" customHeight="false" outlineLevel="0" collapsed="false">
      <c r="A6944" s="37" t="n">
        <v>9530307</v>
      </c>
      <c r="B6944" s="34" t="s">
        <v>13524</v>
      </c>
      <c r="C6944" s="34" t="s">
        <v>13516</v>
      </c>
    </row>
    <row r="6945" customFormat="false" ht="51" hidden="false" customHeight="false" outlineLevel="0" collapsed="false">
      <c r="A6945" s="37" t="n">
        <v>9530308</v>
      </c>
      <c r="B6945" s="34" t="s">
        <v>13525</v>
      </c>
      <c r="C6945" s="34" t="s">
        <v>13516</v>
      </c>
    </row>
    <row r="6946" customFormat="false" ht="51" hidden="false" customHeight="false" outlineLevel="0" collapsed="false">
      <c r="A6946" s="37" t="n">
        <v>9530312</v>
      </c>
      <c r="B6946" s="34" t="s">
        <v>13526</v>
      </c>
      <c r="C6946" s="34" t="s">
        <v>13527</v>
      </c>
    </row>
    <row r="6947" customFormat="false" ht="51" hidden="false" customHeight="false" outlineLevel="0" collapsed="false">
      <c r="A6947" s="37" t="n">
        <v>9530313</v>
      </c>
      <c r="B6947" s="34" t="s">
        <v>13528</v>
      </c>
      <c r="C6947" s="34" t="s">
        <v>13529</v>
      </c>
    </row>
    <row r="6948" customFormat="false" ht="51" hidden="false" customHeight="false" outlineLevel="0" collapsed="false">
      <c r="A6948" s="37" t="n">
        <v>9530316</v>
      </c>
      <c r="B6948" s="34" t="s">
        <v>13530</v>
      </c>
      <c r="C6948" s="34" t="s">
        <v>13531</v>
      </c>
    </row>
    <row r="6949" customFormat="false" ht="51" hidden="false" customHeight="false" outlineLevel="0" collapsed="false">
      <c r="A6949" s="37" t="s">
        <v>13532</v>
      </c>
      <c r="B6949" s="34" t="s">
        <v>13533</v>
      </c>
      <c r="C6949" s="34" t="s">
        <v>13534</v>
      </c>
    </row>
    <row r="6950" customFormat="false" ht="51" hidden="false" customHeight="false" outlineLevel="0" collapsed="false">
      <c r="A6950" s="37" t="n">
        <v>9530318</v>
      </c>
      <c r="B6950" s="34" t="s">
        <v>13535</v>
      </c>
      <c r="C6950" s="34" t="s">
        <v>13534</v>
      </c>
    </row>
    <row r="6951" customFormat="false" ht="51" hidden="false" customHeight="false" outlineLevel="0" collapsed="false">
      <c r="A6951" s="37" t="n">
        <v>9530319</v>
      </c>
      <c r="B6951" s="34" t="s">
        <v>13536</v>
      </c>
      <c r="C6951" s="34" t="s">
        <v>13529</v>
      </c>
    </row>
    <row r="6952" customFormat="false" ht="51" hidden="false" customHeight="false" outlineLevel="0" collapsed="false">
      <c r="A6952" s="37" t="n">
        <v>9530323</v>
      </c>
      <c r="B6952" s="34" t="s">
        <v>13537</v>
      </c>
      <c r="C6952" s="34" t="s">
        <v>13534</v>
      </c>
    </row>
    <row r="6953" customFormat="false" ht="25.5" hidden="false" customHeight="false" outlineLevel="0" collapsed="false">
      <c r="A6953" s="37" t="n">
        <v>9530327</v>
      </c>
      <c r="B6953" s="34" t="s">
        <v>13538</v>
      </c>
      <c r="C6953" s="34" t="s">
        <v>13539</v>
      </c>
    </row>
    <row r="6954" customFormat="false" ht="25.5" hidden="false" customHeight="false" outlineLevel="0" collapsed="false">
      <c r="A6954" s="37" t="n">
        <v>9530330</v>
      </c>
      <c r="B6954" s="34" t="s">
        <v>13540</v>
      </c>
      <c r="C6954" s="34" t="s">
        <v>13541</v>
      </c>
    </row>
    <row r="6955" customFormat="false" ht="51" hidden="false" customHeight="false" outlineLevel="0" collapsed="false">
      <c r="A6955" s="37" t="n">
        <v>9530334</v>
      </c>
      <c r="B6955" s="34" t="s">
        <v>13542</v>
      </c>
      <c r="C6955" s="34" t="s">
        <v>13516</v>
      </c>
    </row>
    <row r="6956" customFormat="false" ht="51" hidden="false" customHeight="false" outlineLevel="0" collapsed="false">
      <c r="A6956" s="37" t="n">
        <v>9530336</v>
      </c>
      <c r="B6956" s="34" t="s">
        <v>13543</v>
      </c>
      <c r="C6956" s="34" t="s">
        <v>13534</v>
      </c>
    </row>
    <row r="6957" customFormat="false" ht="63.75" hidden="false" customHeight="false" outlineLevel="0" collapsed="false">
      <c r="A6957" s="37" t="n">
        <v>9590500</v>
      </c>
      <c r="B6957" s="34" t="s">
        <v>13544</v>
      </c>
      <c r="C6957" s="34" t="s">
        <v>13545</v>
      </c>
    </row>
    <row r="6958" customFormat="false" ht="51" hidden="false" customHeight="false" outlineLevel="0" collapsed="false">
      <c r="A6958" s="37" t="s">
        <v>13546</v>
      </c>
      <c r="B6958" s="34" t="s">
        <v>13547</v>
      </c>
      <c r="C6958" s="34" t="s">
        <v>13548</v>
      </c>
    </row>
    <row r="6959" customFormat="false" ht="63.75" hidden="false" customHeight="false" outlineLevel="0" collapsed="false">
      <c r="A6959" s="37" t="n">
        <v>9590700</v>
      </c>
      <c r="B6959" s="34" t="s">
        <v>13549</v>
      </c>
      <c r="C6959" s="34" t="s">
        <v>13550</v>
      </c>
    </row>
    <row r="6960" customFormat="false" ht="38.25" hidden="false" customHeight="false" outlineLevel="0" collapsed="false">
      <c r="A6960" s="37" t="n">
        <v>9590800</v>
      </c>
      <c r="B6960" s="34" t="s">
        <v>13551</v>
      </c>
      <c r="C6960" s="34" t="s">
        <v>13552</v>
      </c>
    </row>
    <row r="6961" customFormat="false" ht="25.5" hidden="false" customHeight="false" outlineLevel="0" collapsed="false">
      <c r="A6961" s="37" t="n">
        <v>9590900</v>
      </c>
      <c r="B6961" s="34" t="s">
        <v>13553</v>
      </c>
      <c r="C6961" s="34" t="s">
        <v>13552</v>
      </c>
    </row>
    <row r="6962" customFormat="false" ht="38.25" hidden="false" customHeight="false" outlineLevel="0" collapsed="false">
      <c r="A6962" s="37" t="n">
        <v>9591000</v>
      </c>
      <c r="B6962" s="34" t="s">
        <v>13554</v>
      </c>
      <c r="C6962" s="34" t="s">
        <v>13552</v>
      </c>
    </row>
    <row r="6963" customFormat="false" ht="102" hidden="false" customHeight="false" outlineLevel="0" collapsed="false">
      <c r="A6963" s="37" t="s">
        <v>13555</v>
      </c>
      <c r="B6963" s="40" t="s">
        <v>13507</v>
      </c>
      <c r="C6963" s="41" t="s">
        <v>13556</v>
      </c>
    </row>
    <row r="6964" customFormat="false" ht="51" hidden="false" customHeight="false" outlineLevel="0" collapsed="false">
      <c r="A6964" s="37" t="s">
        <v>13557</v>
      </c>
      <c r="B6964" s="34" t="s">
        <v>13507</v>
      </c>
      <c r="C6964" s="34" t="s">
        <v>13508</v>
      </c>
    </row>
    <row r="6965" customFormat="false" ht="63.75" hidden="false" customHeight="false" outlineLevel="0" collapsed="false">
      <c r="A6965" s="37" t="s">
        <v>13558</v>
      </c>
      <c r="B6965" s="34" t="s">
        <v>13509</v>
      </c>
      <c r="C6965" s="34" t="s">
        <v>13510</v>
      </c>
    </row>
    <row r="6966" customFormat="false" ht="25.5" hidden="false" customHeight="false" outlineLevel="0" collapsed="false">
      <c r="A6966" s="37" t="s">
        <v>13559</v>
      </c>
      <c r="B6966" s="34" t="s">
        <v>13511</v>
      </c>
      <c r="C6966" s="34" t="s">
        <v>13512</v>
      </c>
    </row>
    <row r="6967" customFormat="false" ht="12.75" hidden="false" customHeight="false" outlineLevel="0" collapsed="false">
      <c r="A6967" s="37" t="s">
        <v>13560</v>
      </c>
      <c r="B6967" s="34" t="s">
        <v>13513</v>
      </c>
      <c r="C6967" s="34" t="s">
        <v>13514</v>
      </c>
    </row>
    <row r="6968" customFormat="false" ht="51" hidden="false" customHeight="false" outlineLevel="0" collapsed="false">
      <c r="A6968" s="37" t="s">
        <v>13561</v>
      </c>
      <c r="B6968" s="34" t="s">
        <v>13515</v>
      </c>
      <c r="C6968" s="34" t="s">
        <v>13516</v>
      </c>
    </row>
    <row r="6969" customFormat="false" ht="38.25" hidden="false" customHeight="false" outlineLevel="0" collapsed="false">
      <c r="A6969" s="37" t="s">
        <v>13562</v>
      </c>
      <c r="B6969" s="34" t="s">
        <v>13517</v>
      </c>
      <c r="C6969" s="34" t="s">
        <v>13518</v>
      </c>
    </row>
    <row r="6970" customFormat="false" ht="51" hidden="false" customHeight="false" outlineLevel="0" collapsed="false">
      <c r="A6970" s="37" t="s">
        <v>13563</v>
      </c>
      <c r="B6970" s="34" t="s">
        <v>13526</v>
      </c>
      <c r="C6970" s="34" t="s">
        <v>13527</v>
      </c>
    </row>
    <row r="6971" customFormat="false" ht="76.5" hidden="false" customHeight="false" outlineLevel="0" collapsed="false">
      <c r="A6971" s="37" t="s">
        <v>13564</v>
      </c>
      <c r="B6971" s="34" t="s">
        <v>13565</v>
      </c>
      <c r="C6971" s="34" t="s">
        <v>13566</v>
      </c>
    </row>
    <row r="6972" customFormat="false" ht="51" hidden="false" customHeight="false" outlineLevel="0" collapsed="false">
      <c r="A6972" s="37" t="s">
        <v>13567</v>
      </c>
      <c r="B6972" s="34" t="s">
        <v>13568</v>
      </c>
      <c r="C6972" s="34" t="s">
        <v>13516</v>
      </c>
    </row>
    <row r="6973" customFormat="false" ht="51" hidden="false" customHeight="false" outlineLevel="0" collapsed="false">
      <c r="A6973" s="37" t="s">
        <v>13569</v>
      </c>
      <c r="B6973" s="34" t="s">
        <v>13570</v>
      </c>
      <c r="C6973" s="34" t="s">
        <v>13516</v>
      </c>
    </row>
    <row r="6974" customFormat="false" ht="51" hidden="false" customHeight="false" outlineLevel="0" collapsed="false">
      <c r="A6974" s="37" t="s">
        <v>13571</v>
      </c>
      <c r="B6974" s="34" t="s">
        <v>13572</v>
      </c>
      <c r="C6974" s="34" t="s">
        <v>13573</v>
      </c>
    </row>
    <row r="6975" customFormat="false" ht="63.75" hidden="false" customHeight="false" outlineLevel="0" collapsed="false">
      <c r="A6975" s="37" t="s">
        <v>13574</v>
      </c>
      <c r="B6975" s="34" t="s">
        <v>13575</v>
      </c>
      <c r="C6975" s="34" t="s">
        <v>13576</v>
      </c>
    </row>
    <row r="6976" customFormat="false" ht="51" hidden="false" customHeight="false" outlineLevel="0" collapsed="false">
      <c r="A6976" s="37" t="s">
        <v>13577</v>
      </c>
      <c r="B6976" s="34" t="s">
        <v>13535</v>
      </c>
      <c r="C6976" s="34" t="s">
        <v>13534</v>
      </c>
    </row>
    <row r="6977" customFormat="false" ht="51" hidden="false" customHeight="false" outlineLevel="0" collapsed="false">
      <c r="A6977" s="37" t="s">
        <v>13578</v>
      </c>
      <c r="B6977" s="34" t="s">
        <v>13536</v>
      </c>
      <c r="C6977" s="34" t="s">
        <v>13529</v>
      </c>
    </row>
    <row r="6978" customFormat="false" ht="51" hidden="false" customHeight="false" outlineLevel="0" collapsed="false">
      <c r="A6978" s="37" t="s">
        <v>13579</v>
      </c>
      <c r="B6978" s="34" t="s">
        <v>13580</v>
      </c>
      <c r="C6978" s="34" t="s">
        <v>13534</v>
      </c>
    </row>
    <row r="6979" customFormat="false" ht="51" hidden="false" customHeight="false" outlineLevel="0" collapsed="false">
      <c r="A6979" s="37" t="s">
        <v>13581</v>
      </c>
      <c r="B6979" s="34" t="s">
        <v>13582</v>
      </c>
      <c r="C6979" s="34" t="s">
        <v>13534</v>
      </c>
    </row>
    <row r="6980" customFormat="false" ht="51" hidden="false" customHeight="false" outlineLevel="0" collapsed="false">
      <c r="A6980" s="37" t="s">
        <v>13583</v>
      </c>
      <c r="B6980" s="34" t="s">
        <v>13584</v>
      </c>
      <c r="C6980" s="34" t="s">
        <v>13534</v>
      </c>
    </row>
    <row r="6981" customFormat="false" ht="51" hidden="false" customHeight="false" outlineLevel="0" collapsed="false">
      <c r="A6981" s="37" t="s">
        <v>13585</v>
      </c>
      <c r="B6981" s="34" t="s">
        <v>13586</v>
      </c>
      <c r="C6981" s="34" t="s">
        <v>13534</v>
      </c>
    </row>
    <row r="6982" customFormat="false" ht="51" hidden="false" customHeight="false" outlineLevel="0" collapsed="false">
      <c r="A6982" s="37" t="s">
        <v>13587</v>
      </c>
      <c r="B6982" s="34" t="s">
        <v>13540</v>
      </c>
      <c r="C6982" s="34" t="s">
        <v>13534</v>
      </c>
    </row>
    <row r="6983" customFormat="false" ht="51" hidden="false" customHeight="false" outlineLevel="0" collapsed="false">
      <c r="A6983" s="37" t="s">
        <v>13588</v>
      </c>
      <c r="B6983" s="34" t="s">
        <v>13589</v>
      </c>
      <c r="C6983" s="34" t="s">
        <v>13590</v>
      </c>
    </row>
    <row r="6984" customFormat="false" ht="25.5" hidden="false" customHeight="false" outlineLevel="0" collapsed="false">
      <c r="A6984" s="37" t="s">
        <v>13591</v>
      </c>
      <c r="B6984" s="34" t="s">
        <v>13592</v>
      </c>
      <c r="C6984" s="34" t="s">
        <v>13593</v>
      </c>
    </row>
    <row r="6985" customFormat="false" ht="25.5" hidden="false" customHeight="false" outlineLevel="0" collapsed="false">
      <c r="A6985" s="37" t="s">
        <v>13594</v>
      </c>
      <c r="B6985" s="34" t="s">
        <v>13595</v>
      </c>
      <c r="C6985" s="34" t="s">
        <v>13596</v>
      </c>
    </row>
    <row r="6986" customFormat="false" ht="12.75" hidden="false" customHeight="false" outlineLevel="0" collapsed="false">
      <c r="A6986" s="37" t="s">
        <v>13597</v>
      </c>
      <c r="B6986" s="34" t="s">
        <v>13598</v>
      </c>
      <c r="C6986" s="34" t="s">
        <v>13599</v>
      </c>
    </row>
    <row r="6987" customFormat="false" ht="51" hidden="false" customHeight="false" outlineLevel="0" collapsed="false">
      <c r="A6987" s="37" t="s">
        <v>13600</v>
      </c>
      <c r="B6987" s="34" t="s">
        <v>13601</v>
      </c>
      <c r="C6987" s="34" t="s">
        <v>13602</v>
      </c>
    </row>
    <row r="6988" customFormat="false" ht="51" hidden="false" customHeight="false" outlineLevel="0" collapsed="false">
      <c r="A6988" s="37" t="s">
        <v>13603</v>
      </c>
      <c r="B6988" s="34" t="s">
        <v>13604</v>
      </c>
      <c r="C6988" s="34" t="s">
        <v>13602</v>
      </c>
    </row>
    <row r="6989" customFormat="false" ht="51" hidden="false" customHeight="false" outlineLevel="0" collapsed="false">
      <c r="A6989" s="37" t="s">
        <v>13605</v>
      </c>
      <c r="B6989" s="34" t="s">
        <v>13606</v>
      </c>
      <c r="C6989" s="34" t="s">
        <v>13607</v>
      </c>
    </row>
    <row r="6990" customFormat="false" ht="51" hidden="false" customHeight="false" outlineLevel="0" collapsed="false">
      <c r="A6990" s="37" t="s">
        <v>13608</v>
      </c>
      <c r="B6990" s="34" t="s">
        <v>13609</v>
      </c>
      <c r="C6990" s="34" t="s">
        <v>13610</v>
      </c>
    </row>
    <row r="6991" customFormat="false" ht="12.75" hidden="false" customHeight="false" outlineLevel="0" collapsed="false">
      <c r="A6991" s="37" t="s">
        <v>13611</v>
      </c>
      <c r="B6991" s="34" t="s">
        <v>13612</v>
      </c>
      <c r="C6991" s="34" t="s">
        <v>13613</v>
      </c>
    </row>
    <row r="6992" customFormat="false" ht="51" hidden="false" customHeight="false" outlineLevel="0" collapsed="false">
      <c r="A6992" s="37" t="s">
        <v>13614</v>
      </c>
      <c r="B6992" s="34" t="s">
        <v>13601</v>
      </c>
      <c r="C6992" s="34" t="s">
        <v>13602</v>
      </c>
    </row>
    <row r="6993" customFormat="false" ht="51" hidden="false" customHeight="false" outlineLevel="0" collapsed="false">
      <c r="A6993" s="37" t="s">
        <v>13615</v>
      </c>
      <c r="B6993" s="34" t="s">
        <v>13604</v>
      </c>
      <c r="C6993" s="34" t="s">
        <v>13602</v>
      </c>
    </row>
    <row r="6994" customFormat="false" ht="25.5" hidden="false" customHeight="false" outlineLevel="0" collapsed="false">
      <c r="A6994" s="37" t="s">
        <v>13616</v>
      </c>
      <c r="B6994" s="34" t="s">
        <v>13617</v>
      </c>
      <c r="C6994" s="34" t="s">
        <v>13618</v>
      </c>
    </row>
    <row r="6995" customFormat="false" ht="51" hidden="false" customHeight="false" outlineLevel="0" collapsed="false">
      <c r="A6995" s="37" t="s">
        <v>13619</v>
      </c>
      <c r="B6995" s="34" t="s">
        <v>13620</v>
      </c>
      <c r="C6995" s="34" t="s">
        <v>13607</v>
      </c>
    </row>
    <row r="6996" customFormat="false" ht="51" hidden="false" customHeight="false" outlineLevel="0" collapsed="false">
      <c r="A6996" s="37" t="s">
        <v>13621</v>
      </c>
      <c r="B6996" s="34" t="s">
        <v>13609</v>
      </c>
      <c r="C6996" s="34" t="s">
        <v>13610</v>
      </c>
    </row>
    <row r="6997" customFormat="false" ht="12.75" hidden="false" customHeight="false" outlineLevel="0" collapsed="false">
      <c r="A6997" s="37" t="s">
        <v>13622</v>
      </c>
      <c r="B6997" s="34" t="s">
        <v>13612</v>
      </c>
      <c r="C6997" s="34" t="s">
        <v>13623</v>
      </c>
    </row>
    <row r="6998" customFormat="false" ht="51" hidden="false" customHeight="false" outlineLevel="0" collapsed="false">
      <c r="A6998" s="37" t="s">
        <v>13624</v>
      </c>
      <c r="B6998" s="34" t="s">
        <v>13606</v>
      </c>
      <c r="C6998" s="34" t="s">
        <v>13607</v>
      </c>
    </row>
    <row r="6999" customFormat="false" ht="38.25" hidden="false" customHeight="false" outlineLevel="0" collapsed="false">
      <c r="A6999" s="37" t="s">
        <v>13625</v>
      </c>
      <c r="B6999" s="34" t="s">
        <v>13626</v>
      </c>
      <c r="C6999" s="34" t="s">
        <v>13627</v>
      </c>
    </row>
    <row r="7000" customFormat="false" ht="38.25" hidden="false" customHeight="false" outlineLevel="0" collapsed="false">
      <c r="A7000" s="37" t="s">
        <v>13628</v>
      </c>
      <c r="B7000" s="34" t="s">
        <v>13629</v>
      </c>
      <c r="C7000" s="34" t="s">
        <v>13627</v>
      </c>
    </row>
    <row r="7001" customFormat="false" ht="38.25" hidden="false" customHeight="false" outlineLevel="0" collapsed="false">
      <c r="A7001" s="37" t="s">
        <v>13630</v>
      </c>
      <c r="B7001" s="34" t="s">
        <v>13631</v>
      </c>
      <c r="C7001" s="34" t="s">
        <v>13627</v>
      </c>
    </row>
    <row r="7002" customFormat="false" ht="38.25" hidden="false" customHeight="false" outlineLevel="0" collapsed="false">
      <c r="A7002" s="37" t="s">
        <v>13632</v>
      </c>
      <c r="B7002" s="34" t="s">
        <v>13633</v>
      </c>
      <c r="C7002" s="34" t="s">
        <v>13627</v>
      </c>
    </row>
    <row r="7003" customFormat="false" ht="38.25" hidden="false" customHeight="false" outlineLevel="0" collapsed="false">
      <c r="A7003" s="37" t="s">
        <v>13634</v>
      </c>
      <c r="B7003" s="34" t="s">
        <v>13635</v>
      </c>
      <c r="C7003" s="34" t="s">
        <v>13627</v>
      </c>
    </row>
    <row r="7004" customFormat="false" ht="38.25" hidden="false" customHeight="false" outlineLevel="0" collapsed="false">
      <c r="A7004" s="37" t="s">
        <v>13636</v>
      </c>
      <c r="B7004" s="34" t="s">
        <v>13637</v>
      </c>
      <c r="C7004" s="34" t="s">
        <v>13627</v>
      </c>
    </row>
    <row r="7005" customFormat="false" ht="38.25" hidden="false" customHeight="false" outlineLevel="0" collapsed="false">
      <c r="A7005" s="37" t="s">
        <v>13638</v>
      </c>
      <c r="B7005" s="34" t="s">
        <v>13639</v>
      </c>
      <c r="C7005" s="34" t="s">
        <v>13627</v>
      </c>
    </row>
    <row r="7006" customFormat="false" ht="38.25" hidden="false" customHeight="false" outlineLevel="0" collapsed="false">
      <c r="A7006" s="37" t="s">
        <v>13640</v>
      </c>
      <c r="B7006" s="34" t="s">
        <v>13641</v>
      </c>
      <c r="C7006" s="34" t="s">
        <v>13627</v>
      </c>
    </row>
    <row r="7007" customFormat="false" ht="38.25" hidden="false" customHeight="false" outlineLevel="0" collapsed="false">
      <c r="A7007" s="37" t="s">
        <v>13642</v>
      </c>
      <c r="B7007" s="34" t="s">
        <v>13643</v>
      </c>
      <c r="C7007" s="34" t="s">
        <v>13627</v>
      </c>
    </row>
    <row r="7008" customFormat="false" ht="38.25" hidden="false" customHeight="false" outlineLevel="0" collapsed="false">
      <c r="A7008" s="37" t="s">
        <v>13644</v>
      </c>
      <c r="B7008" s="34" t="s">
        <v>13645</v>
      </c>
      <c r="C7008" s="34" t="s">
        <v>13627</v>
      </c>
    </row>
    <row r="7009" customFormat="false" ht="38.25" hidden="false" customHeight="false" outlineLevel="0" collapsed="false">
      <c r="A7009" s="37" t="s">
        <v>13646</v>
      </c>
      <c r="B7009" s="34" t="s">
        <v>13647</v>
      </c>
      <c r="C7009" s="34" t="s">
        <v>13627</v>
      </c>
    </row>
    <row r="7010" customFormat="false" ht="38.25" hidden="false" customHeight="false" outlineLevel="0" collapsed="false">
      <c r="A7010" s="37" t="s">
        <v>13648</v>
      </c>
      <c r="B7010" s="34" t="s">
        <v>13649</v>
      </c>
      <c r="C7010" s="34" t="s">
        <v>13627</v>
      </c>
    </row>
    <row r="7011" customFormat="false" ht="38.25" hidden="false" customHeight="false" outlineLevel="0" collapsed="false">
      <c r="A7011" s="37" t="s">
        <v>13650</v>
      </c>
      <c r="B7011" s="34" t="s">
        <v>13651</v>
      </c>
      <c r="C7011" s="34" t="s">
        <v>13627</v>
      </c>
    </row>
    <row r="7012" customFormat="false" ht="38.25" hidden="false" customHeight="false" outlineLevel="0" collapsed="false">
      <c r="A7012" s="37" t="s">
        <v>13652</v>
      </c>
      <c r="B7012" s="34" t="s">
        <v>13653</v>
      </c>
      <c r="C7012" s="34" t="s">
        <v>13627</v>
      </c>
    </row>
    <row r="7013" customFormat="false" ht="38.25" hidden="false" customHeight="false" outlineLevel="0" collapsed="false">
      <c r="A7013" s="37" t="s">
        <v>13654</v>
      </c>
      <c r="B7013" s="34" t="s">
        <v>13655</v>
      </c>
      <c r="C7013" s="34" t="s">
        <v>13627</v>
      </c>
    </row>
    <row r="7014" customFormat="false" ht="38.25" hidden="false" customHeight="false" outlineLevel="0" collapsed="false">
      <c r="A7014" s="37" t="s">
        <v>13656</v>
      </c>
      <c r="B7014" s="34" t="s">
        <v>13657</v>
      </c>
      <c r="C7014" s="34" t="s">
        <v>13627</v>
      </c>
    </row>
    <row r="7015" customFormat="false" ht="38.25" hidden="false" customHeight="false" outlineLevel="0" collapsed="false">
      <c r="A7015" s="37" t="s">
        <v>13658</v>
      </c>
      <c r="B7015" s="34" t="s">
        <v>13659</v>
      </c>
      <c r="C7015" s="34" t="s">
        <v>13627</v>
      </c>
    </row>
    <row r="7016" customFormat="false" ht="38.25" hidden="false" customHeight="false" outlineLevel="0" collapsed="false">
      <c r="A7016" s="37" t="s">
        <v>13660</v>
      </c>
      <c r="B7016" s="34" t="s">
        <v>13661</v>
      </c>
      <c r="C7016" s="34" t="s">
        <v>13627</v>
      </c>
    </row>
    <row r="7017" customFormat="false" ht="51" hidden="false" customHeight="false" outlineLevel="0" collapsed="false">
      <c r="A7017" s="37" t="s">
        <v>13662</v>
      </c>
      <c r="B7017" s="34" t="s">
        <v>13606</v>
      </c>
      <c r="C7017" s="34" t="s">
        <v>13607</v>
      </c>
    </row>
    <row r="7018" customFormat="false" ht="51" hidden="false" customHeight="false" outlineLevel="0" collapsed="false">
      <c r="A7018" s="37" t="s">
        <v>13663</v>
      </c>
      <c r="B7018" s="34" t="s">
        <v>13606</v>
      </c>
      <c r="C7018" s="34" t="s">
        <v>13607</v>
      </c>
    </row>
    <row r="7019" customFormat="false" ht="51" hidden="false" customHeight="false" outlineLevel="0" collapsed="false">
      <c r="A7019" s="37" t="s">
        <v>13664</v>
      </c>
      <c r="B7019" s="34" t="s">
        <v>13620</v>
      </c>
      <c r="C7019" s="34" t="s">
        <v>13607</v>
      </c>
    </row>
    <row r="7020" customFormat="false" ht="51" hidden="false" customHeight="false" outlineLevel="0" collapsed="false">
      <c r="A7020" s="37" t="s">
        <v>13665</v>
      </c>
      <c r="B7020" s="34" t="s">
        <v>13666</v>
      </c>
      <c r="C7020" s="34" t="s">
        <v>13607</v>
      </c>
    </row>
    <row r="7021" customFormat="false" ht="102" hidden="false" customHeight="false" outlineLevel="0" collapsed="false">
      <c r="A7021" s="42" t="s">
        <v>13667</v>
      </c>
      <c r="B7021" s="43" t="s">
        <v>13668</v>
      </c>
      <c r="C7021" s="44" t="s">
        <v>13669</v>
      </c>
    </row>
    <row r="7022" customFormat="false" ht="89.25" hidden="false" customHeight="false" outlineLevel="0" collapsed="false">
      <c r="A7022" s="42" t="s">
        <v>13670</v>
      </c>
      <c r="B7022" s="43" t="s">
        <v>13671</v>
      </c>
      <c r="C7022" s="44" t="s">
        <v>13672</v>
      </c>
    </row>
    <row r="7023" customFormat="false" ht="25.5" hidden="false" customHeight="false" outlineLevel="0" collapsed="false">
      <c r="A7023" s="42" t="s">
        <v>13673</v>
      </c>
      <c r="B7023" s="43" t="s">
        <v>13674</v>
      </c>
      <c r="C7023" s="44" t="s">
        <v>13675</v>
      </c>
    </row>
  </sheetData>
  <hyperlinks>
    <hyperlink ref="A2" r:id="rId1" display="5@AE600"/>
    <hyperlink ref="A25" r:id="rId2" display="5@USQ00"/>
    <hyperlink ref="A26" r:id="rId3" display="5@USR00"/>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8" activeCellId="0" sqref="A8"/>
    </sheetView>
  </sheetViews>
  <sheetFormatPr defaultColWidth="8.71484375" defaultRowHeight="12.75" zeroHeight="false" outlineLevelRow="0" outlineLevelCol="0"/>
  <cols>
    <col collapsed="false" customWidth="true" hidden="false" outlineLevel="0" max="1" min="1" style="45" width="91.71"/>
    <col collapsed="false" customWidth="false" hidden="false" outlineLevel="0" max="16384" min="2" style="45" width="8.71"/>
  </cols>
  <sheetData>
    <row r="1" customFormat="false" ht="76.5" hidden="false" customHeight="false" outlineLevel="0" collapsed="false">
      <c r="A1" s="46" t="s">
        <v>13676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84807"/>
    <pageSetUpPr fitToPage="false"/>
  </sheetPr>
  <dimension ref="A1:N100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6796875" defaultRowHeight="12.75" zeroHeight="false" outlineLevelRow="0" outlineLevelCol="0"/>
  <cols>
    <col collapsed="false" customWidth="true" hidden="false" outlineLevel="0" max="1" min="1" style="47" width="16.29"/>
    <col collapsed="false" customWidth="true" hidden="false" outlineLevel="0" max="4" min="2" style="47" width="13.71"/>
    <col collapsed="false" customWidth="true" hidden="false" outlineLevel="0" max="5" min="5" style="48" width="13.71"/>
    <col collapsed="false" customWidth="true" hidden="false" outlineLevel="0" max="6" min="6" style="49" width="13.71"/>
    <col collapsed="false" customWidth="true" hidden="false" outlineLevel="0" max="7" min="7" style="48" width="13.71"/>
    <col collapsed="false" customWidth="true" hidden="false" outlineLevel="0" max="8" min="8" style="47" width="26.15"/>
    <col collapsed="false" customWidth="true" hidden="false" outlineLevel="0" max="10" min="9" style="47" width="28.57"/>
    <col collapsed="false" customWidth="true" hidden="false" outlineLevel="0" max="11" min="11" style="50" width="8.15"/>
    <col collapsed="false" customWidth="true" hidden="false" outlineLevel="0" max="13" min="12" style="51" width="13.71"/>
    <col collapsed="false" customWidth="true" hidden="false" outlineLevel="0" max="14" min="14" style="51" width="15.42"/>
  </cols>
  <sheetData>
    <row r="1" customFormat="false" ht="38.25" hidden="false" customHeight="false" outlineLevel="0" collapsed="false">
      <c r="A1" s="52" t="s">
        <v>13677</v>
      </c>
      <c r="B1" s="52" t="s">
        <v>13678</v>
      </c>
      <c r="C1" s="52" t="s">
        <v>13679</v>
      </c>
      <c r="D1" s="52" t="s">
        <v>13680</v>
      </c>
      <c r="E1" s="52" t="s">
        <v>13681</v>
      </c>
      <c r="F1" s="52" t="s">
        <v>13682</v>
      </c>
      <c r="G1" s="52" t="s">
        <v>13683</v>
      </c>
      <c r="H1" s="52" t="s">
        <v>13684</v>
      </c>
      <c r="I1" s="52" t="s">
        <v>13685</v>
      </c>
      <c r="J1" s="53" t="s">
        <v>13686</v>
      </c>
      <c r="K1" s="52" t="s">
        <v>13687</v>
      </c>
      <c r="L1" s="52" t="s">
        <v>13688</v>
      </c>
      <c r="M1" s="52" t="s">
        <v>13689</v>
      </c>
      <c r="N1" s="52" t="s">
        <v>13690</v>
      </c>
    </row>
    <row r="2" customFormat="false" ht="12.75" hidden="false" customHeight="false" outlineLevel="0" collapsed="false">
      <c r="A2" s="54" t="n">
        <v>1</v>
      </c>
      <c r="B2" s="54" t="n">
        <v>2</v>
      </c>
      <c r="C2" s="54" t="n">
        <v>3</v>
      </c>
      <c r="D2" s="54" t="n">
        <v>4</v>
      </c>
      <c r="E2" s="54" t="n">
        <v>5</v>
      </c>
      <c r="F2" s="54" t="n">
        <v>6</v>
      </c>
      <c r="G2" s="54" t="n">
        <v>7</v>
      </c>
      <c r="H2" s="54" t="n">
        <v>8</v>
      </c>
      <c r="I2" s="54" t="n">
        <v>9</v>
      </c>
      <c r="J2" s="54" t="n">
        <v>10</v>
      </c>
      <c r="K2" s="54" t="n">
        <v>11</v>
      </c>
      <c r="L2" s="54" t="n">
        <v>12</v>
      </c>
      <c r="M2" s="54" t="n">
        <v>13</v>
      </c>
      <c r="N2" s="54" t="n">
        <v>14</v>
      </c>
    </row>
    <row r="3" customFormat="false" ht="12.75" hidden="false" customHeight="false" outlineLevel="0" collapsed="false">
      <c r="A3" s="55"/>
      <c r="B3" s="55"/>
      <c r="C3" s="56"/>
      <c r="D3" s="55"/>
      <c r="E3" s="57"/>
      <c r="F3" s="56"/>
      <c r="G3" s="58"/>
      <c r="H3" s="55"/>
      <c r="I3" s="55"/>
      <c r="J3" s="55"/>
      <c r="K3" s="59"/>
      <c r="L3" s="60"/>
      <c r="M3" s="60"/>
      <c r="N3" s="61"/>
    </row>
    <row r="4" customFormat="false" ht="12.75" hidden="false" customHeight="false" outlineLevel="0" collapsed="false">
      <c r="A4" s="61"/>
      <c r="B4" s="61"/>
      <c r="C4" s="56"/>
      <c r="D4" s="55"/>
      <c r="E4" s="57"/>
      <c r="F4" s="56"/>
      <c r="G4" s="58"/>
      <c r="H4" s="55"/>
      <c r="I4" s="55"/>
      <c r="J4" s="55"/>
      <c r="K4" s="59"/>
      <c r="L4" s="60"/>
      <c r="M4" s="60"/>
      <c r="N4" s="61"/>
    </row>
    <row r="5" customFormat="false" ht="12.75" hidden="false" customHeight="false" outlineLevel="0" collapsed="false">
      <c r="A5" s="61"/>
      <c r="B5" s="61"/>
      <c r="C5" s="56"/>
      <c r="D5" s="55"/>
      <c r="E5" s="57"/>
      <c r="F5" s="56"/>
      <c r="G5" s="58"/>
      <c r="H5" s="55"/>
      <c r="I5" s="55"/>
      <c r="J5" s="55"/>
      <c r="K5" s="59"/>
      <c r="L5" s="60"/>
      <c r="M5" s="60"/>
      <c r="N5" s="61"/>
    </row>
    <row r="6" customFormat="false" ht="12.75" hidden="false" customHeight="false" outlineLevel="0" collapsed="false">
      <c r="A6" s="61"/>
      <c r="B6" s="61"/>
      <c r="C6" s="56"/>
      <c r="D6" s="55"/>
      <c r="E6" s="57"/>
      <c r="F6" s="56"/>
      <c r="G6" s="58"/>
      <c r="H6" s="55"/>
      <c r="I6" s="55"/>
      <c r="J6" s="55"/>
      <c r="K6" s="59"/>
      <c r="L6" s="60"/>
      <c r="M6" s="60"/>
      <c r="N6" s="61"/>
    </row>
    <row r="7" customFormat="false" ht="12.75" hidden="false" customHeight="false" outlineLevel="0" collapsed="false">
      <c r="A7" s="61"/>
      <c r="B7" s="61"/>
      <c r="C7" s="56"/>
      <c r="D7" s="55"/>
      <c r="E7" s="57"/>
      <c r="F7" s="56"/>
      <c r="G7" s="58"/>
      <c r="H7" s="55"/>
      <c r="I7" s="55"/>
      <c r="J7" s="55"/>
      <c r="K7" s="59"/>
      <c r="L7" s="60"/>
      <c r="M7" s="60"/>
      <c r="N7" s="61"/>
    </row>
    <row r="8" customFormat="false" ht="12.75" hidden="false" customHeight="false" outlineLevel="0" collapsed="false">
      <c r="A8" s="61"/>
      <c r="B8" s="61"/>
      <c r="C8" s="56"/>
      <c r="D8" s="55"/>
      <c r="E8" s="57"/>
      <c r="F8" s="56"/>
      <c r="G8" s="58"/>
      <c r="H8" s="55"/>
      <c r="I8" s="55"/>
      <c r="J8" s="55"/>
      <c r="K8" s="59"/>
      <c r="L8" s="60"/>
      <c r="M8" s="60"/>
      <c r="N8" s="61"/>
    </row>
    <row r="9" customFormat="false" ht="12.75" hidden="false" customHeight="false" outlineLevel="0" collapsed="false">
      <c r="A9" s="61"/>
      <c r="B9" s="61"/>
      <c r="C9" s="56"/>
      <c r="D9" s="55"/>
      <c r="E9" s="57"/>
      <c r="F9" s="56"/>
      <c r="G9" s="58"/>
      <c r="H9" s="55"/>
      <c r="I9" s="55"/>
      <c r="J9" s="55"/>
      <c r="K9" s="59"/>
      <c r="L9" s="60"/>
      <c r="M9" s="60"/>
      <c r="N9" s="61"/>
    </row>
    <row r="10" customFormat="false" ht="12.75" hidden="false" customHeight="false" outlineLevel="0" collapsed="false">
      <c r="A10" s="61"/>
      <c r="B10" s="61"/>
      <c r="C10" s="56"/>
      <c r="D10" s="55"/>
      <c r="E10" s="57"/>
      <c r="F10" s="56"/>
      <c r="G10" s="58"/>
      <c r="H10" s="55"/>
      <c r="I10" s="55"/>
      <c r="J10" s="55"/>
      <c r="K10" s="59"/>
      <c r="L10" s="60"/>
      <c r="M10" s="60"/>
      <c r="N10" s="61"/>
    </row>
    <row r="11" customFormat="false" ht="12.75" hidden="false" customHeight="false" outlineLevel="0" collapsed="false">
      <c r="A11" s="61"/>
      <c r="B11" s="61"/>
      <c r="C11" s="56"/>
      <c r="D11" s="55"/>
      <c r="E11" s="57"/>
      <c r="F11" s="56"/>
      <c r="G11" s="58"/>
      <c r="H11" s="55"/>
      <c r="I11" s="55"/>
      <c r="J11" s="55"/>
      <c r="K11" s="59"/>
      <c r="L11" s="60"/>
      <c r="M11" s="60"/>
      <c r="N11" s="61"/>
    </row>
    <row r="12" customFormat="false" ht="12.75" hidden="false" customHeight="false" outlineLevel="0" collapsed="false">
      <c r="A12" s="61"/>
      <c r="B12" s="61"/>
      <c r="C12" s="56"/>
      <c r="D12" s="55"/>
      <c r="E12" s="57"/>
      <c r="F12" s="56"/>
      <c r="G12" s="58"/>
      <c r="H12" s="55"/>
      <c r="I12" s="55"/>
      <c r="J12" s="55"/>
      <c r="K12" s="59"/>
      <c r="L12" s="60"/>
      <c r="M12" s="60"/>
      <c r="N12" s="61"/>
    </row>
    <row r="13" customFormat="false" ht="12.75" hidden="false" customHeight="false" outlineLevel="0" collapsed="false">
      <c r="A13" s="61"/>
      <c r="B13" s="61"/>
      <c r="C13" s="56"/>
      <c r="D13" s="55"/>
      <c r="E13" s="57"/>
      <c r="F13" s="56"/>
      <c r="G13" s="58"/>
      <c r="H13" s="55"/>
      <c r="I13" s="55"/>
      <c r="J13" s="55"/>
      <c r="K13" s="59"/>
      <c r="L13" s="60"/>
      <c r="M13" s="60"/>
      <c r="N13" s="61"/>
    </row>
    <row r="14" customFormat="false" ht="12.75" hidden="false" customHeight="false" outlineLevel="0" collapsed="false">
      <c r="A14" s="61"/>
      <c r="B14" s="61"/>
      <c r="C14" s="56"/>
      <c r="D14" s="55"/>
      <c r="E14" s="57"/>
      <c r="F14" s="56"/>
      <c r="G14" s="58"/>
      <c r="H14" s="55"/>
      <c r="I14" s="55"/>
      <c r="J14" s="55"/>
      <c r="K14" s="59"/>
      <c r="L14" s="60"/>
      <c r="M14" s="60"/>
      <c r="N14" s="61"/>
    </row>
    <row r="15" customFormat="false" ht="12.75" hidden="false" customHeight="false" outlineLevel="0" collapsed="false">
      <c r="A15" s="61"/>
      <c r="B15" s="61"/>
      <c r="C15" s="56"/>
      <c r="D15" s="55"/>
      <c r="E15" s="57"/>
      <c r="F15" s="56"/>
      <c r="G15" s="58"/>
      <c r="H15" s="55"/>
      <c r="I15" s="55"/>
      <c r="J15" s="55"/>
      <c r="K15" s="59"/>
      <c r="L15" s="60"/>
      <c r="M15" s="60"/>
      <c r="N15" s="61"/>
    </row>
    <row r="16" customFormat="false" ht="12.75" hidden="false" customHeight="false" outlineLevel="0" collapsed="false">
      <c r="A16" s="61"/>
      <c r="B16" s="61"/>
      <c r="C16" s="56"/>
      <c r="D16" s="55"/>
      <c r="E16" s="57"/>
      <c r="F16" s="56"/>
      <c r="G16" s="58"/>
      <c r="H16" s="55"/>
      <c r="I16" s="55"/>
      <c r="J16" s="55"/>
      <c r="K16" s="59"/>
      <c r="L16" s="60"/>
      <c r="M16" s="60"/>
      <c r="N16" s="61"/>
    </row>
    <row r="17" customFormat="false" ht="12.75" hidden="false" customHeight="false" outlineLevel="0" collapsed="false">
      <c r="A17" s="61"/>
      <c r="B17" s="61"/>
      <c r="C17" s="56"/>
      <c r="D17" s="55"/>
      <c r="E17" s="57"/>
      <c r="F17" s="56"/>
      <c r="G17" s="58"/>
      <c r="H17" s="55"/>
      <c r="I17" s="55"/>
      <c r="J17" s="55"/>
      <c r="K17" s="59"/>
      <c r="L17" s="60"/>
      <c r="M17" s="60"/>
      <c r="N17" s="61"/>
    </row>
    <row r="18" customFormat="false" ht="12.75" hidden="false" customHeight="false" outlineLevel="0" collapsed="false">
      <c r="A18" s="61"/>
      <c r="B18" s="61"/>
      <c r="C18" s="56"/>
      <c r="D18" s="55"/>
      <c r="E18" s="57"/>
      <c r="F18" s="56"/>
      <c r="G18" s="58"/>
      <c r="H18" s="55"/>
      <c r="I18" s="55"/>
      <c r="J18" s="55"/>
      <c r="K18" s="59"/>
      <c r="L18" s="60"/>
      <c r="M18" s="60"/>
      <c r="N18" s="61"/>
    </row>
    <row r="19" customFormat="false" ht="12.75" hidden="false" customHeight="false" outlineLevel="0" collapsed="false">
      <c r="A19" s="61"/>
      <c r="B19" s="61"/>
      <c r="C19" s="56"/>
      <c r="D19" s="55"/>
      <c r="E19" s="57"/>
      <c r="F19" s="56"/>
      <c r="G19" s="58"/>
      <c r="H19" s="55"/>
      <c r="I19" s="55"/>
      <c r="J19" s="55"/>
      <c r="K19" s="59"/>
      <c r="L19" s="60"/>
      <c r="M19" s="60"/>
      <c r="N19" s="61"/>
    </row>
    <row r="20" customFormat="false" ht="12.75" hidden="false" customHeight="false" outlineLevel="0" collapsed="false">
      <c r="A20" s="61"/>
      <c r="B20" s="61"/>
      <c r="C20" s="56"/>
      <c r="D20" s="55"/>
      <c r="E20" s="57"/>
      <c r="F20" s="56"/>
      <c r="G20" s="58"/>
      <c r="H20" s="55"/>
      <c r="I20" s="55"/>
      <c r="J20" s="55"/>
      <c r="K20" s="59"/>
      <c r="L20" s="60"/>
      <c r="M20" s="60"/>
      <c r="N20" s="61"/>
    </row>
    <row r="21" customFormat="false" ht="12.75" hidden="false" customHeight="false" outlineLevel="0" collapsed="false">
      <c r="A21" s="61"/>
      <c r="B21" s="61"/>
      <c r="C21" s="56"/>
      <c r="D21" s="55"/>
      <c r="E21" s="57"/>
      <c r="F21" s="56"/>
      <c r="G21" s="58"/>
      <c r="H21" s="55"/>
      <c r="I21" s="55"/>
      <c r="J21" s="55"/>
      <c r="K21" s="59"/>
      <c r="L21" s="60"/>
      <c r="M21" s="60"/>
      <c r="N21" s="61"/>
    </row>
    <row r="22" customFormat="false" ht="12.75" hidden="false" customHeight="false" outlineLevel="0" collapsed="false">
      <c r="A22" s="61"/>
      <c r="B22" s="61"/>
      <c r="C22" s="56"/>
      <c r="D22" s="55"/>
      <c r="E22" s="57"/>
      <c r="F22" s="56"/>
      <c r="G22" s="58"/>
      <c r="H22" s="55"/>
      <c r="I22" s="55"/>
      <c r="J22" s="55"/>
      <c r="K22" s="59"/>
      <c r="L22" s="60"/>
      <c r="M22" s="60"/>
      <c r="N22" s="61"/>
    </row>
    <row r="23" customFormat="false" ht="12.75" hidden="false" customHeight="false" outlineLevel="0" collapsed="false">
      <c r="A23" s="61"/>
      <c r="B23" s="61"/>
      <c r="C23" s="56"/>
      <c r="D23" s="55"/>
      <c r="E23" s="57"/>
      <c r="F23" s="56"/>
      <c r="G23" s="58"/>
      <c r="H23" s="55"/>
      <c r="I23" s="55"/>
      <c r="J23" s="55"/>
      <c r="K23" s="59"/>
      <c r="L23" s="60"/>
      <c r="M23" s="60"/>
      <c r="N23" s="61"/>
    </row>
    <row r="24" customFormat="false" ht="12.75" hidden="false" customHeight="false" outlineLevel="0" collapsed="false">
      <c r="A24" s="61"/>
      <c r="B24" s="61"/>
      <c r="C24" s="56"/>
      <c r="D24" s="55"/>
      <c r="E24" s="57"/>
      <c r="F24" s="56"/>
      <c r="G24" s="58"/>
      <c r="H24" s="55"/>
      <c r="I24" s="55"/>
      <c r="J24" s="55"/>
      <c r="K24" s="59"/>
      <c r="L24" s="60"/>
      <c r="M24" s="60"/>
      <c r="N24" s="61"/>
    </row>
    <row r="25" customFormat="false" ht="12.75" hidden="false" customHeight="false" outlineLevel="0" collapsed="false">
      <c r="A25" s="61"/>
      <c r="B25" s="61"/>
      <c r="C25" s="56"/>
      <c r="D25" s="55"/>
      <c r="E25" s="57"/>
      <c r="F25" s="56"/>
      <c r="G25" s="58"/>
      <c r="H25" s="55"/>
      <c r="I25" s="55"/>
      <c r="J25" s="55"/>
      <c r="K25" s="59"/>
      <c r="L25" s="60"/>
      <c r="M25" s="60"/>
      <c r="N25" s="61"/>
    </row>
    <row r="26" customFormat="false" ht="12.75" hidden="false" customHeight="false" outlineLevel="0" collapsed="false">
      <c r="A26" s="61"/>
      <c r="B26" s="61"/>
      <c r="C26" s="56"/>
      <c r="D26" s="55"/>
      <c r="E26" s="57"/>
      <c r="F26" s="56"/>
      <c r="G26" s="58"/>
      <c r="H26" s="55"/>
      <c r="I26" s="55"/>
      <c r="J26" s="55"/>
      <c r="K26" s="59"/>
      <c r="L26" s="60"/>
      <c r="M26" s="60"/>
      <c r="N26" s="61"/>
    </row>
    <row r="27" customFormat="false" ht="12.75" hidden="false" customHeight="false" outlineLevel="0" collapsed="false">
      <c r="A27" s="61"/>
      <c r="B27" s="61"/>
      <c r="C27" s="56"/>
      <c r="D27" s="55"/>
      <c r="E27" s="57"/>
      <c r="F27" s="56"/>
      <c r="G27" s="58"/>
      <c r="H27" s="55"/>
      <c r="I27" s="55"/>
      <c r="J27" s="55"/>
      <c r="K27" s="59"/>
      <c r="L27" s="60"/>
      <c r="M27" s="60"/>
      <c r="N27" s="61"/>
    </row>
    <row r="28" customFormat="false" ht="12.75" hidden="false" customHeight="false" outlineLevel="0" collapsed="false">
      <c r="A28" s="61"/>
      <c r="B28" s="61"/>
      <c r="C28" s="56"/>
      <c r="D28" s="55"/>
      <c r="E28" s="57"/>
      <c r="F28" s="56"/>
      <c r="G28" s="58"/>
      <c r="H28" s="55"/>
      <c r="I28" s="55"/>
      <c r="J28" s="55"/>
      <c r="K28" s="59"/>
      <c r="L28" s="60"/>
      <c r="M28" s="60"/>
      <c r="N28" s="61"/>
    </row>
    <row r="29" customFormat="false" ht="12.75" hidden="false" customHeight="false" outlineLevel="0" collapsed="false">
      <c r="A29" s="61"/>
      <c r="B29" s="61"/>
      <c r="C29" s="56"/>
      <c r="D29" s="55"/>
      <c r="E29" s="57"/>
      <c r="F29" s="56"/>
      <c r="G29" s="58"/>
      <c r="H29" s="55"/>
      <c r="I29" s="55"/>
      <c r="J29" s="55"/>
      <c r="K29" s="59"/>
      <c r="L29" s="60"/>
      <c r="M29" s="60"/>
      <c r="N29" s="61"/>
    </row>
    <row r="30" customFormat="false" ht="12.75" hidden="false" customHeight="false" outlineLevel="0" collapsed="false">
      <c r="A30" s="61"/>
      <c r="B30" s="61"/>
      <c r="C30" s="56"/>
      <c r="D30" s="55"/>
      <c r="E30" s="57"/>
      <c r="F30" s="56"/>
      <c r="G30" s="58"/>
      <c r="H30" s="55"/>
      <c r="I30" s="55"/>
      <c r="J30" s="55"/>
      <c r="K30" s="59"/>
      <c r="L30" s="60"/>
      <c r="M30" s="60"/>
      <c r="N30" s="61"/>
    </row>
    <row r="31" customFormat="false" ht="12.75" hidden="false" customHeight="false" outlineLevel="0" collapsed="false">
      <c r="A31" s="61"/>
      <c r="B31" s="61"/>
      <c r="C31" s="56"/>
      <c r="D31" s="55"/>
      <c r="E31" s="57"/>
      <c r="F31" s="56"/>
      <c r="G31" s="58"/>
      <c r="H31" s="55"/>
      <c r="I31" s="55"/>
      <c r="J31" s="55"/>
      <c r="K31" s="59"/>
      <c r="L31" s="60"/>
      <c r="M31" s="60"/>
      <c r="N31" s="61"/>
    </row>
    <row r="32" customFormat="false" ht="12.75" hidden="false" customHeight="false" outlineLevel="0" collapsed="false">
      <c r="A32" s="61"/>
      <c r="B32" s="61"/>
      <c r="C32" s="56"/>
      <c r="D32" s="55"/>
      <c r="E32" s="57"/>
      <c r="F32" s="56"/>
      <c r="G32" s="58"/>
      <c r="H32" s="55"/>
      <c r="I32" s="55"/>
      <c r="J32" s="55"/>
      <c r="K32" s="59"/>
      <c r="L32" s="60"/>
      <c r="M32" s="60"/>
      <c r="N32" s="61"/>
    </row>
    <row r="33" customFormat="false" ht="12.75" hidden="false" customHeight="false" outlineLevel="0" collapsed="false">
      <c r="A33" s="61"/>
      <c r="B33" s="61"/>
      <c r="C33" s="56"/>
      <c r="D33" s="55"/>
      <c r="E33" s="57"/>
      <c r="F33" s="56"/>
      <c r="G33" s="58"/>
      <c r="H33" s="55"/>
      <c r="I33" s="55"/>
      <c r="J33" s="55"/>
      <c r="K33" s="59"/>
      <c r="L33" s="60"/>
      <c r="M33" s="60"/>
      <c r="N33" s="61"/>
    </row>
    <row r="34" customFormat="false" ht="12.75" hidden="false" customHeight="false" outlineLevel="0" collapsed="false">
      <c r="A34" s="61"/>
      <c r="B34" s="61"/>
      <c r="C34" s="56"/>
      <c r="D34" s="55"/>
      <c r="E34" s="57"/>
      <c r="F34" s="56"/>
      <c r="G34" s="58"/>
      <c r="H34" s="55"/>
      <c r="I34" s="55"/>
      <c r="J34" s="55"/>
      <c r="K34" s="59"/>
      <c r="L34" s="60"/>
      <c r="M34" s="60"/>
      <c r="N34" s="61"/>
    </row>
    <row r="35" customFormat="false" ht="12.75" hidden="false" customHeight="false" outlineLevel="0" collapsed="false">
      <c r="A35" s="61"/>
      <c r="B35" s="61"/>
      <c r="C35" s="56"/>
      <c r="D35" s="55"/>
      <c r="E35" s="57"/>
      <c r="F35" s="56"/>
      <c r="G35" s="58"/>
      <c r="H35" s="55"/>
      <c r="I35" s="55"/>
      <c r="J35" s="55"/>
      <c r="K35" s="59"/>
      <c r="L35" s="60"/>
      <c r="M35" s="60"/>
      <c r="N35" s="61"/>
    </row>
    <row r="36" customFormat="false" ht="12.75" hidden="false" customHeight="false" outlineLevel="0" collapsed="false">
      <c r="A36" s="61"/>
      <c r="B36" s="61"/>
      <c r="C36" s="56"/>
      <c r="D36" s="55"/>
      <c r="E36" s="57"/>
      <c r="F36" s="56"/>
      <c r="G36" s="58"/>
      <c r="H36" s="55"/>
      <c r="I36" s="55"/>
      <c r="J36" s="55"/>
      <c r="K36" s="59"/>
      <c r="L36" s="60"/>
      <c r="M36" s="60"/>
      <c r="N36" s="61"/>
    </row>
    <row r="37" customFormat="false" ht="12.75" hidden="false" customHeight="false" outlineLevel="0" collapsed="false">
      <c r="A37" s="61"/>
      <c r="B37" s="61"/>
      <c r="C37" s="56"/>
      <c r="D37" s="55"/>
      <c r="E37" s="57"/>
      <c r="F37" s="56"/>
      <c r="G37" s="58"/>
      <c r="H37" s="55"/>
      <c r="I37" s="55"/>
      <c r="J37" s="55"/>
      <c r="K37" s="59"/>
      <c r="L37" s="60"/>
      <c r="M37" s="60"/>
      <c r="N37" s="61"/>
    </row>
    <row r="38" customFormat="false" ht="12.75" hidden="false" customHeight="false" outlineLevel="0" collapsed="false">
      <c r="A38" s="61"/>
      <c r="B38" s="61"/>
      <c r="C38" s="56"/>
      <c r="D38" s="55"/>
      <c r="E38" s="57"/>
      <c r="F38" s="56"/>
      <c r="G38" s="58"/>
      <c r="H38" s="55"/>
      <c r="I38" s="55"/>
      <c r="J38" s="55"/>
      <c r="K38" s="59"/>
      <c r="L38" s="60"/>
      <c r="M38" s="60"/>
      <c r="N38" s="61"/>
    </row>
    <row r="39" customFormat="false" ht="12.75" hidden="false" customHeight="false" outlineLevel="0" collapsed="false">
      <c r="A39" s="61"/>
      <c r="B39" s="61"/>
      <c r="C39" s="56"/>
      <c r="D39" s="55"/>
      <c r="E39" s="57"/>
      <c r="F39" s="56"/>
      <c r="G39" s="58"/>
      <c r="H39" s="55"/>
      <c r="I39" s="55"/>
      <c r="J39" s="55"/>
      <c r="K39" s="59"/>
      <c r="L39" s="60"/>
      <c r="M39" s="60"/>
      <c r="N39" s="61"/>
    </row>
    <row r="40" customFormat="false" ht="12.75" hidden="false" customHeight="false" outlineLevel="0" collapsed="false">
      <c r="A40" s="61"/>
      <c r="B40" s="61"/>
      <c r="C40" s="56"/>
      <c r="D40" s="55"/>
      <c r="E40" s="57"/>
      <c r="F40" s="56"/>
      <c r="G40" s="58"/>
      <c r="H40" s="55"/>
      <c r="I40" s="55"/>
      <c r="J40" s="55"/>
      <c r="K40" s="59"/>
      <c r="L40" s="60"/>
      <c r="M40" s="60"/>
      <c r="N40" s="61"/>
    </row>
    <row r="41" customFormat="false" ht="12.75" hidden="false" customHeight="false" outlineLevel="0" collapsed="false">
      <c r="A41" s="61"/>
      <c r="B41" s="61"/>
      <c r="C41" s="56"/>
      <c r="D41" s="55"/>
      <c r="E41" s="57"/>
      <c r="F41" s="56"/>
      <c r="G41" s="58"/>
      <c r="H41" s="55"/>
      <c r="I41" s="55"/>
      <c r="J41" s="55"/>
      <c r="K41" s="59"/>
      <c r="L41" s="60"/>
      <c r="M41" s="60"/>
      <c r="N41" s="61"/>
    </row>
    <row r="42" customFormat="false" ht="12.75" hidden="false" customHeight="false" outlineLevel="0" collapsed="false">
      <c r="A42" s="61"/>
      <c r="B42" s="61"/>
      <c r="C42" s="56"/>
      <c r="D42" s="55"/>
      <c r="E42" s="57"/>
      <c r="F42" s="56"/>
      <c r="G42" s="58"/>
      <c r="H42" s="55"/>
      <c r="I42" s="55"/>
      <c r="J42" s="55"/>
      <c r="K42" s="59"/>
      <c r="L42" s="60"/>
      <c r="M42" s="60"/>
      <c r="N42" s="61"/>
    </row>
    <row r="43" customFormat="false" ht="12.75" hidden="false" customHeight="false" outlineLevel="0" collapsed="false">
      <c r="A43" s="61"/>
      <c r="B43" s="61"/>
      <c r="C43" s="56"/>
      <c r="D43" s="55"/>
      <c r="E43" s="57"/>
      <c r="F43" s="56"/>
      <c r="G43" s="58"/>
      <c r="H43" s="55"/>
      <c r="I43" s="55"/>
      <c r="J43" s="55"/>
      <c r="K43" s="59"/>
      <c r="L43" s="60"/>
      <c r="M43" s="60"/>
      <c r="N43" s="61"/>
    </row>
    <row r="44" customFormat="false" ht="12.75" hidden="false" customHeight="false" outlineLevel="0" collapsed="false">
      <c r="A44" s="61"/>
      <c r="B44" s="61"/>
      <c r="C44" s="56"/>
      <c r="D44" s="55"/>
      <c r="E44" s="57"/>
      <c r="F44" s="56"/>
      <c r="G44" s="58"/>
      <c r="H44" s="55"/>
      <c r="I44" s="55"/>
      <c r="J44" s="55"/>
      <c r="K44" s="59"/>
      <c r="L44" s="60"/>
      <c r="M44" s="60"/>
      <c r="N44" s="61"/>
    </row>
    <row r="45" customFormat="false" ht="12.75" hidden="false" customHeight="false" outlineLevel="0" collapsed="false">
      <c r="A45" s="61"/>
      <c r="B45" s="61"/>
      <c r="C45" s="56"/>
      <c r="D45" s="55"/>
      <c r="E45" s="57"/>
      <c r="F45" s="56"/>
      <c r="G45" s="58"/>
      <c r="H45" s="55"/>
      <c r="I45" s="55"/>
      <c r="J45" s="55"/>
      <c r="K45" s="59"/>
      <c r="L45" s="60"/>
      <c r="M45" s="60"/>
      <c r="N45" s="61"/>
    </row>
    <row r="46" customFormat="false" ht="12.75" hidden="false" customHeight="false" outlineLevel="0" collapsed="false">
      <c r="A46" s="61"/>
      <c r="B46" s="61"/>
      <c r="C46" s="56"/>
      <c r="D46" s="55"/>
      <c r="E46" s="57"/>
      <c r="F46" s="56"/>
      <c r="G46" s="58"/>
      <c r="H46" s="55"/>
      <c r="I46" s="55"/>
      <c r="J46" s="55"/>
      <c r="K46" s="59"/>
      <c r="L46" s="60"/>
      <c r="M46" s="60"/>
      <c r="N46" s="61"/>
    </row>
    <row r="47" customFormat="false" ht="12.75" hidden="false" customHeight="false" outlineLevel="0" collapsed="false">
      <c r="A47" s="61"/>
      <c r="B47" s="61"/>
      <c r="C47" s="56"/>
      <c r="D47" s="55"/>
      <c r="E47" s="57"/>
      <c r="F47" s="56"/>
      <c r="G47" s="58"/>
      <c r="H47" s="55"/>
      <c r="I47" s="55"/>
      <c r="J47" s="55"/>
      <c r="K47" s="59"/>
      <c r="L47" s="60"/>
      <c r="M47" s="60"/>
      <c r="N47" s="61"/>
    </row>
    <row r="48" customFormat="false" ht="12.75" hidden="false" customHeight="false" outlineLevel="0" collapsed="false">
      <c r="A48" s="61"/>
      <c r="B48" s="61"/>
      <c r="C48" s="56"/>
      <c r="D48" s="55"/>
      <c r="E48" s="57"/>
      <c r="F48" s="56"/>
      <c r="G48" s="58"/>
      <c r="H48" s="55"/>
      <c r="I48" s="55"/>
      <c r="J48" s="55"/>
      <c r="K48" s="59"/>
      <c r="L48" s="60"/>
      <c r="M48" s="60"/>
      <c r="N48" s="61"/>
    </row>
    <row r="49" customFormat="false" ht="12.75" hidden="false" customHeight="false" outlineLevel="0" collapsed="false">
      <c r="A49" s="61"/>
      <c r="B49" s="61"/>
      <c r="C49" s="56"/>
      <c r="D49" s="55"/>
      <c r="E49" s="57"/>
      <c r="F49" s="56"/>
      <c r="G49" s="58"/>
      <c r="H49" s="55"/>
      <c r="I49" s="55"/>
      <c r="J49" s="55"/>
      <c r="K49" s="59"/>
      <c r="L49" s="60"/>
      <c r="M49" s="60"/>
      <c r="N49" s="61"/>
    </row>
    <row r="50" customFormat="false" ht="12.75" hidden="false" customHeight="false" outlineLevel="0" collapsed="false">
      <c r="A50" s="61"/>
      <c r="B50" s="61"/>
      <c r="C50" s="56"/>
      <c r="D50" s="55"/>
      <c r="E50" s="57"/>
      <c r="F50" s="56"/>
      <c r="G50" s="58"/>
      <c r="H50" s="55"/>
      <c r="I50" s="55"/>
      <c r="J50" s="55"/>
      <c r="K50" s="59"/>
      <c r="L50" s="60"/>
      <c r="M50" s="60"/>
      <c r="N50" s="61"/>
    </row>
    <row r="51" customFormat="false" ht="12.75" hidden="false" customHeight="false" outlineLevel="0" collapsed="false">
      <c r="A51" s="61"/>
      <c r="B51" s="61"/>
      <c r="C51" s="56"/>
      <c r="D51" s="55"/>
      <c r="E51" s="57"/>
      <c r="F51" s="56"/>
      <c r="G51" s="58"/>
      <c r="H51" s="55"/>
      <c r="I51" s="55"/>
      <c r="J51" s="55"/>
      <c r="K51" s="59"/>
      <c r="L51" s="60"/>
      <c r="M51" s="60"/>
      <c r="N51" s="61"/>
    </row>
    <row r="52" customFormat="false" ht="12.75" hidden="false" customHeight="false" outlineLevel="0" collapsed="false">
      <c r="A52" s="61"/>
      <c r="B52" s="61"/>
      <c r="C52" s="56"/>
      <c r="D52" s="55"/>
      <c r="E52" s="57"/>
      <c r="F52" s="56"/>
      <c r="G52" s="58"/>
      <c r="H52" s="55"/>
      <c r="I52" s="55"/>
      <c r="J52" s="55"/>
      <c r="K52" s="59"/>
      <c r="L52" s="60"/>
      <c r="M52" s="60"/>
      <c r="N52" s="61"/>
    </row>
    <row r="53" customFormat="false" ht="12.75" hidden="false" customHeight="false" outlineLevel="0" collapsed="false">
      <c r="A53" s="61"/>
      <c r="B53" s="61"/>
      <c r="C53" s="56"/>
      <c r="D53" s="55"/>
      <c r="E53" s="57"/>
      <c r="F53" s="56"/>
      <c r="G53" s="58"/>
      <c r="H53" s="55"/>
      <c r="I53" s="55"/>
      <c r="J53" s="55"/>
      <c r="K53" s="59"/>
      <c r="L53" s="60"/>
      <c r="M53" s="60"/>
      <c r="N53" s="61"/>
    </row>
    <row r="54" customFormat="false" ht="12.75" hidden="false" customHeight="false" outlineLevel="0" collapsed="false">
      <c r="A54" s="61"/>
      <c r="B54" s="61"/>
      <c r="C54" s="56"/>
      <c r="D54" s="55"/>
      <c r="E54" s="57"/>
      <c r="F54" s="56"/>
      <c r="G54" s="58"/>
      <c r="H54" s="55"/>
      <c r="I54" s="55"/>
      <c r="J54" s="55"/>
      <c r="K54" s="59"/>
      <c r="L54" s="60"/>
      <c r="M54" s="60"/>
      <c r="N54" s="61"/>
    </row>
    <row r="55" customFormat="false" ht="12.75" hidden="false" customHeight="false" outlineLevel="0" collapsed="false">
      <c r="A55" s="61"/>
      <c r="B55" s="61"/>
      <c r="C55" s="56"/>
      <c r="D55" s="55"/>
      <c r="E55" s="57"/>
      <c r="F55" s="56"/>
      <c r="G55" s="58"/>
      <c r="H55" s="55"/>
      <c r="I55" s="55"/>
      <c r="J55" s="55"/>
      <c r="K55" s="59"/>
      <c r="L55" s="60"/>
      <c r="M55" s="60"/>
      <c r="N55" s="61"/>
    </row>
    <row r="56" customFormat="false" ht="12.75" hidden="false" customHeight="false" outlineLevel="0" collapsed="false">
      <c r="A56" s="61"/>
      <c r="B56" s="61"/>
      <c r="C56" s="56"/>
      <c r="D56" s="55"/>
      <c r="E56" s="57"/>
      <c r="F56" s="56"/>
      <c r="G56" s="58"/>
      <c r="H56" s="55"/>
      <c r="I56" s="55"/>
      <c r="J56" s="55"/>
      <c r="K56" s="59"/>
      <c r="L56" s="60"/>
      <c r="M56" s="60"/>
      <c r="N56" s="61"/>
    </row>
    <row r="57" customFormat="false" ht="12.75" hidden="false" customHeight="false" outlineLevel="0" collapsed="false">
      <c r="A57" s="61"/>
      <c r="B57" s="61"/>
      <c r="C57" s="56"/>
      <c r="D57" s="55"/>
      <c r="E57" s="57"/>
      <c r="F57" s="56"/>
      <c r="G57" s="58"/>
      <c r="H57" s="55"/>
      <c r="I57" s="55"/>
      <c r="J57" s="55"/>
      <c r="K57" s="59"/>
      <c r="L57" s="60"/>
      <c r="M57" s="60"/>
      <c r="N57" s="61"/>
    </row>
    <row r="58" customFormat="false" ht="12.75" hidden="false" customHeight="false" outlineLevel="0" collapsed="false">
      <c r="A58" s="61"/>
      <c r="B58" s="61"/>
      <c r="C58" s="56"/>
      <c r="D58" s="55"/>
      <c r="E58" s="57"/>
      <c r="F58" s="56"/>
      <c r="G58" s="58"/>
      <c r="H58" s="55"/>
      <c r="I58" s="55"/>
      <c r="J58" s="55"/>
      <c r="K58" s="59"/>
      <c r="L58" s="60"/>
      <c r="M58" s="60"/>
      <c r="N58" s="61"/>
    </row>
    <row r="59" customFormat="false" ht="12.75" hidden="false" customHeight="false" outlineLevel="0" collapsed="false">
      <c r="A59" s="61"/>
      <c r="B59" s="61"/>
      <c r="C59" s="56"/>
      <c r="D59" s="55"/>
      <c r="E59" s="57"/>
      <c r="F59" s="56"/>
      <c r="G59" s="58"/>
      <c r="H59" s="55"/>
      <c r="I59" s="55"/>
      <c r="J59" s="55"/>
      <c r="K59" s="59"/>
      <c r="L59" s="60"/>
      <c r="M59" s="60"/>
      <c r="N59" s="61"/>
    </row>
    <row r="60" customFormat="false" ht="12.75" hidden="false" customHeight="false" outlineLevel="0" collapsed="false">
      <c r="A60" s="61"/>
      <c r="B60" s="61"/>
      <c r="C60" s="56"/>
      <c r="D60" s="55"/>
      <c r="E60" s="57"/>
      <c r="F60" s="56"/>
      <c r="G60" s="58"/>
      <c r="H60" s="55"/>
      <c r="I60" s="55"/>
      <c r="J60" s="55"/>
      <c r="K60" s="59"/>
      <c r="L60" s="60"/>
      <c r="M60" s="60"/>
      <c r="N60" s="61"/>
    </row>
    <row r="61" customFormat="false" ht="12.75" hidden="false" customHeight="false" outlineLevel="0" collapsed="false">
      <c r="A61" s="61"/>
      <c r="B61" s="61"/>
      <c r="C61" s="56"/>
      <c r="D61" s="55"/>
      <c r="E61" s="57"/>
      <c r="F61" s="56"/>
      <c r="G61" s="58"/>
      <c r="H61" s="55"/>
      <c r="I61" s="55"/>
      <c r="J61" s="55"/>
      <c r="K61" s="59"/>
      <c r="L61" s="60"/>
      <c r="M61" s="60"/>
      <c r="N61" s="61"/>
    </row>
    <row r="62" customFormat="false" ht="12.75" hidden="false" customHeight="false" outlineLevel="0" collapsed="false">
      <c r="A62" s="61"/>
      <c r="B62" s="61"/>
      <c r="C62" s="56"/>
      <c r="D62" s="55"/>
      <c r="E62" s="57"/>
      <c r="F62" s="56"/>
      <c r="G62" s="58"/>
      <c r="H62" s="55"/>
      <c r="I62" s="55"/>
      <c r="J62" s="55"/>
      <c r="K62" s="59"/>
      <c r="L62" s="60"/>
      <c r="M62" s="60"/>
      <c r="N62" s="61"/>
    </row>
    <row r="63" customFormat="false" ht="12.75" hidden="false" customHeight="false" outlineLevel="0" collapsed="false">
      <c r="A63" s="61"/>
      <c r="B63" s="61"/>
      <c r="C63" s="56"/>
      <c r="D63" s="55"/>
      <c r="E63" s="57"/>
      <c r="F63" s="56"/>
      <c r="G63" s="58"/>
      <c r="H63" s="55"/>
      <c r="I63" s="55"/>
      <c r="J63" s="55"/>
      <c r="K63" s="59"/>
      <c r="L63" s="60"/>
      <c r="M63" s="60"/>
      <c r="N63" s="61"/>
    </row>
    <row r="64" customFormat="false" ht="12.75" hidden="false" customHeight="false" outlineLevel="0" collapsed="false">
      <c r="A64" s="61"/>
      <c r="B64" s="61"/>
      <c r="C64" s="56"/>
      <c r="D64" s="55"/>
      <c r="E64" s="57"/>
      <c r="F64" s="56"/>
      <c r="G64" s="58"/>
      <c r="H64" s="55"/>
      <c r="I64" s="55"/>
      <c r="J64" s="55"/>
      <c r="K64" s="59"/>
      <c r="L64" s="60"/>
      <c r="M64" s="60"/>
      <c r="N64" s="61"/>
    </row>
    <row r="65" customFormat="false" ht="12.75" hidden="false" customHeight="false" outlineLevel="0" collapsed="false">
      <c r="A65" s="61"/>
      <c r="B65" s="61"/>
      <c r="C65" s="56"/>
      <c r="D65" s="55"/>
      <c r="E65" s="57"/>
      <c r="F65" s="56"/>
      <c r="G65" s="58"/>
      <c r="H65" s="55"/>
      <c r="I65" s="55"/>
      <c r="J65" s="55"/>
      <c r="K65" s="59"/>
      <c r="L65" s="60"/>
      <c r="M65" s="60"/>
      <c r="N65" s="61"/>
    </row>
    <row r="66" customFormat="false" ht="12.75" hidden="false" customHeight="false" outlineLevel="0" collapsed="false">
      <c r="A66" s="61"/>
      <c r="B66" s="61"/>
      <c r="C66" s="56"/>
      <c r="D66" s="55"/>
      <c r="E66" s="57"/>
      <c r="F66" s="56"/>
      <c r="G66" s="58"/>
      <c r="H66" s="55"/>
      <c r="I66" s="55"/>
      <c r="J66" s="55"/>
      <c r="K66" s="59"/>
      <c r="L66" s="60"/>
      <c r="M66" s="60"/>
      <c r="N66" s="61"/>
    </row>
    <row r="67" customFormat="false" ht="12.75" hidden="false" customHeight="false" outlineLevel="0" collapsed="false">
      <c r="A67" s="61"/>
      <c r="B67" s="61"/>
      <c r="C67" s="56"/>
      <c r="D67" s="55"/>
      <c r="E67" s="57"/>
      <c r="F67" s="56"/>
      <c r="G67" s="58"/>
      <c r="H67" s="55"/>
      <c r="I67" s="55"/>
      <c r="J67" s="55"/>
      <c r="K67" s="59"/>
      <c r="L67" s="60"/>
      <c r="M67" s="60"/>
      <c r="N67" s="61"/>
    </row>
    <row r="68" customFormat="false" ht="12.75" hidden="false" customHeight="false" outlineLevel="0" collapsed="false">
      <c r="A68" s="61"/>
      <c r="B68" s="61"/>
      <c r="C68" s="56"/>
      <c r="D68" s="55"/>
      <c r="E68" s="57"/>
      <c r="F68" s="56"/>
      <c r="G68" s="58"/>
      <c r="H68" s="55"/>
      <c r="I68" s="55"/>
      <c r="J68" s="55"/>
      <c r="K68" s="59"/>
      <c r="L68" s="60"/>
      <c r="M68" s="60"/>
      <c r="N68" s="61"/>
    </row>
    <row r="69" customFormat="false" ht="12.75" hidden="false" customHeight="false" outlineLevel="0" collapsed="false">
      <c r="A69" s="61"/>
      <c r="B69" s="61"/>
      <c r="C69" s="56"/>
      <c r="D69" s="55"/>
      <c r="E69" s="57"/>
      <c r="F69" s="56"/>
      <c r="G69" s="58"/>
      <c r="H69" s="55"/>
      <c r="I69" s="55"/>
      <c r="J69" s="55"/>
      <c r="K69" s="59"/>
      <c r="L69" s="60"/>
      <c r="M69" s="60"/>
      <c r="N69" s="61"/>
    </row>
    <row r="70" customFormat="false" ht="12.75" hidden="false" customHeight="false" outlineLevel="0" collapsed="false">
      <c r="A70" s="61"/>
      <c r="B70" s="61"/>
      <c r="C70" s="56"/>
      <c r="D70" s="55"/>
      <c r="E70" s="57"/>
      <c r="F70" s="56"/>
      <c r="G70" s="58"/>
      <c r="H70" s="55"/>
      <c r="I70" s="55"/>
      <c r="J70" s="55"/>
      <c r="K70" s="59"/>
      <c r="L70" s="60"/>
      <c r="M70" s="60"/>
      <c r="N70" s="61"/>
    </row>
    <row r="71" customFormat="false" ht="12.75" hidden="false" customHeight="false" outlineLevel="0" collapsed="false">
      <c r="A71" s="61"/>
      <c r="B71" s="61"/>
      <c r="C71" s="56"/>
      <c r="D71" s="55"/>
      <c r="E71" s="57"/>
      <c r="F71" s="56"/>
      <c r="G71" s="58"/>
      <c r="H71" s="55"/>
      <c r="I71" s="55"/>
      <c r="J71" s="55"/>
      <c r="K71" s="59"/>
      <c r="L71" s="60"/>
      <c r="M71" s="60"/>
      <c r="N71" s="61"/>
    </row>
    <row r="72" customFormat="false" ht="12.75" hidden="false" customHeight="false" outlineLevel="0" collapsed="false">
      <c r="A72" s="61"/>
      <c r="B72" s="61"/>
      <c r="C72" s="56"/>
      <c r="D72" s="55"/>
      <c r="E72" s="57"/>
      <c r="F72" s="56"/>
      <c r="G72" s="58"/>
      <c r="H72" s="55"/>
      <c r="I72" s="55"/>
      <c r="J72" s="55"/>
      <c r="K72" s="59"/>
      <c r="L72" s="60"/>
      <c r="M72" s="60"/>
      <c r="N72" s="61"/>
    </row>
    <row r="73" customFormat="false" ht="12.75" hidden="false" customHeight="false" outlineLevel="0" collapsed="false">
      <c r="A73" s="61"/>
      <c r="B73" s="61"/>
      <c r="C73" s="56"/>
      <c r="D73" s="55"/>
      <c r="E73" s="57"/>
      <c r="F73" s="56"/>
      <c r="G73" s="58"/>
      <c r="H73" s="55"/>
      <c r="I73" s="55"/>
      <c r="J73" s="55"/>
      <c r="K73" s="59"/>
      <c r="L73" s="60"/>
      <c r="M73" s="60"/>
      <c r="N73" s="61"/>
    </row>
    <row r="74" customFormat="false" ht="12.75" hidden="false" customHeight="false" outlineLevel="0" collapsed="false">
      <c r="A74" s="61"/>
      <c r="B74" s="61"/>
      <c r="C74" s="56"/>
      <c r="D74" s="55"/>
      <c r="E74" s="57"/>
      <c r="F74" s="56"/>
      <c r="G74" s="58"/>
      <c r="H74" s="55"/>
      <c r="I74" s="55"/>
      <c r="J74" s="55"/>
      <c r="K74" s="59"/>
      <c r="L74" s="60"/>
      <c r="M74" s="60"/>
      <c r="N74" s="61"/>
    </row>
    <row r="75" customFormat="false" ht="12.75" hidden="false" customHeight="false" outlineLevel="0" collapsed="false">
      <c r="A75" s="61"/>
      <c r="B75" s="61"/>
      <c r="C75" s="56"/>
      <c r="D75" s="55"/>
      <c r="E75" s="57"/>
      <c r="F75" s="56"/>
      <c r="G75" s="58"/>
      <c r="H75" s="55"/>
      <c r="I75" s="55"/>
      <c r="J75" s="55"/>
      <c r="K75" s="59"/>
      <c r="L75" s="60"/>
      <c r="M75" s="60"/>
      <c r="N75" s="61"/>
    </row>
    <row r="76" customFormat="false" ht="12.75" hidden="false" customHeight="false" outlineLevel="0" collapsed="false">
      <c r="A76" s="61"/>
      <c r="B76" s="61"/>
      <c r="C76" s="56"/>
      <c r="D76" s="55"/>
      <c r="E76" s="57"/>
      <c r="F76" s="56"/>
      <c r="G76" s="58"/>
      <c r="H76" s="55"/>
      <c r="I76" s="55"/>
      <c r="J76" s="55"/>
      <c r="K76" s="59"/>
      <c r="L76" s="60"/>
      <c r="M76" s="60"/>
      <c r="N76" s="61"/>
    </row>
    <row r="77" customFormat="false" ht="12.75" hidden="false" customHeight="false" outlineLevel="0" collapsed="false">
      <c r="A77" s="61"/>
      <c r="B77" s="61"/>
      <c r="C77" s="56"/>
      <c r="D77" s="55"/>
      <c r="E77" s="57"/>
      <c r="F77" s="56"/>
      <c r="G77" s="58"/>
      <c r="H77" s="55"/>
      <c r="I77" s="55"/>
      <c r="J77" s="55"/>
      <c r="K77" s="59"/>
      <c r="L77" s="60"/>
      <c r="M77" s="60"/>
      <c r="N77" s="61"/>
    </row>
    <row r="78" customFormat="false" ht="12.75" hidden="false" customHeight="false" outlineLevel="0" collapsed="false">
      <c r="A78" s="61"/>
      <c r="B78" s="61"/>
      <c r="C78" s="56"/>
      <c r="D78" s="55"/>
      <c r="E78" s="57"/>
      <c r="F78" s="56"/>
      <c r="G78" s="58"/>
      <c r="H78" s="55"/>
      <c r="I78" s="55"/>
      <c r="J78" s="55"/>
      <c r="K78" s="59"/>
      <c r="L78" s="60"/>
      <c r="M78" s="60"/>
      <c r="N78" s="61"/>
    </row>
    <row r="79" customFormat="false" ht="12.75" hidden="false" customHeight="false" outlineLevel="0" collapsed="false">
      <c r="A79" s="61"/>
      <c r="B79" s="61"/>
      <c r="C79" s="56"/>
      <c r="D79" s="55"/>
      <c r="E79" s="57"/>
      <c r="F79" s="56"/>
      <c r="G79" s="58"/>
      <c r="H79" s="55"/>
      <c r="I79" s="55"/>
      <c r="J79" s="55"/>
      <c r="K79" s="59"/>
      <c r="L79" s="60"/>
      <c r="M79" s="60"/>
      <c r="N79" s="61"/>
    </row>
    <row r="80" customFormat="false" ht="12.75" hidden="false" customHeight="false" outlineLevel="0" collapsed="false">
      <c r="A80" s="61"/>
      <c r="B80" s="61"/>
      <c r="C80" s="56"/>
      <c r="D80" s="55"/>
      <c r="E80" s="57"/>
      <c r="F80" s="56"/>
      <c r="G80" s="58"/>
      <c r="H80" s="55"/>
      <c r="I80" s="55"/>
      <c r="J80" s="55"/>
      <c r="K80" s="59"/>
      <c r="L80" s="60"/>
      <c r="M80" s="60"/>
      <c r="N80" s="61"/>
    </row>
    <row r="81" customFormat="false" ht="12.75" hidden="false" customHeight="false" outlineLevel="0" collapsed="false">
      <c r="A81" s="61"/>
      <c r="B81" s="61"/>
      <c r="C81" s="56"/>
      <c r="D81" s="55"/>
      <c r="E81" s="57"/>
      <c r="F81" s="56"/>
      <c r="G81" s="58"/>
      <c r="H81" s="55"/>
      <c r="I81" s="55"/>
      <c r="J81" s="55"/>
      <c r="K81" s="59"/>
      <c r="L81" s="60"/>
      <c r="M81" s="60"/>
      <c r="N81" s="61"/>
    </row>
    <row r="82" customFormat="false" ht="12.75" hidden="false" customHeight="false" outlineLevel="0" collapsed="false">
      <c r="A82" s="61"/>
      <c r="B82" s="61"/>
      <c r="C82" s="56"/>
      <c r="D82" s="55"/>
      <c r="E82" s="57"/>
      <c r="F82" s="56"/>
      <c r="G82" s="58"/>
      <c r="H82" s="55"/>
      <c r="I82" s="55"/>
      <c r="J82" s="55"/>
      <c r="K82" s="59"/>
      <c r="L82" s="60"/>
      <c r="M82" s="60"/>
      <c r="N82" s="61"/>
    </row>
    <row r="83" customFormat="false" ht="12.75" hidden="false" customHeight="false" outlineLevel="0" collapsed="false">
      <c r="A83" s="61"/>
      <c r="B83" s="61"/>
      <c r="C83" s="56"/>
      <c r="D83" s="55"/>
      <c r="E83" s="57"/>
      <c r="F83" s="56"/>
      <c r="G83" s="58"/>
      <c r="H83" s="55"/>
      <c r="I83" s="55"/>
      <c r="J83" s="55"/>
      <c r="K83" s="59"/>
      <c r="L83" s="60"/>
      <c r="M83" s="60"/>
      <c r="N83" s="61"/>
    </row>
    <row r="84" customFormat="false" ht="12.75" hidden="false" customHeight="false" outlineLevel="0" collapsed="false">
      <c r="A84" s="61"/>
      <c r="B84" s="61"/>
      <c r="C84" s="56"/>
      <c r="D84" s="55"/>
      <c r="E84" s="57"/>
      <c r="F84" s="56"/>
      <c r="G84" s="58"/>
      <c r="H84" s="55"/>
      <c r="I84" s="55"/>
      <c r="J84" s="55"/>
      <c r="K84" s="59"/>
      <c r="L84" s="60"/>
      <c r="M84" s="60"/>
      <c r="N84" s="61"/>
    </row>
    <row r="85" customFormat="false" ht="12.75" hidden="false" customHeight="false" outlineLevel="0" collapsed="false">
      <c r="A85" s="61"/>
      <c r="B85" s="61"/>
      <c r="C85" s="56"/>
      <c r="D85" s="55"/>
      <c r="E85" s="57"/>
      <c r="F85" s="56"/>
      <c r="G85" s="58"/>
      <c r="H85" s="55"/>
      <c r="I85" s="55"/>
      <c r="J85" s="55"/>
      <c r="K85" s="59"/>
      <c r="L85" s="60"/>
      <c r="M85" s="60"/>
      <c r="N85" s="61"/>
    </row>
    <row r="86" customFormat="false" ht="12.75" hidden="false" customHeight="false" outlineLevel="0" collapsed="false">
      <c r="A86" s="61"/>
      <c r="B86" s="61"/>
      <c r="C86" s="56"/>
      <c r="D86" s="55"/>
      <c r="E86" s="57"/>
      <c r="F86" s="56"/>
      <c r="G86" s="58"/>
      <c r="H86" s="55"/>
      <c r="I86" s="55"/>
      <c r="J86" s="55"/>
      <c r="K86" s="59"/>
      <c r="L86" s="60"/>
      <c r="M86" s="60"/>
      <c r="N86" s="61"/>
    </row>
    <row r="87" customFormat="false" ht="12.75" hidden="false" customHeight="false" outlineLevel="0" collapsed="false">
      <c r="A87" s="61"/>
      <c r="B87" s="61"/>
      <c r="C87" s="56"/>
      <c r="D87" s="55"/>
      <c r="E87" s="57"/>
      <c r="F87" s="56"/>
      <c r="G87" s="58"/>
      <c r="H87" s="55"/>
      <c r="I87" s="55"/>
      <c r="J87" s="55"/>
      <c r="K87" s="59"/>
      <c r="L87" s="60"/>
      <c r="M87" s="60"/>
      <c r="N87" s="61"/>
    </row>
    <row r="88" customFormat="false" ht="12.75" hidden="false" customHeight="false" outlineLevel="0" collapsed="false">
      <c r="A88" s="61"/>
      <c r="B88" s="61"/>
      <c r="C88" s="56"/>
      <c r="D88" s="55"/>
      <c r="E88" s="57"/>
      <c r="F88" s="56"/>
      <c r="G88" s="58"/>
      <c r="H88" s="55"/>
      <c r="I88" s="55"/>
      <c r="J88" s="55"/>
      <c r="K88" s="59"/>
      <c r="L88" s="60"/>
      <c r="M88" s="60"/>
      <c r="N88" s="61"/>
    </row>
    <row r="89" customFormat="false" ht="12.75" hidden="false" customHeight="false" outlineLevel="0" collapsed="false">
      <c r="A89" s="61"/>
      <c r="B89" s="61"/>
      <c r="C89" s="56"/>
      <c r="D89" s="55"/>
      <c r="E89" s="57"/>
      <c r="F89" s="56"/>
      <c r="G89" s="58"/>
      <c r="H89" s="55"/>
      <c r="I89" s="55"/>
      <c r="J89" s="55"/>
      <c r="K89" s="59"/>
      <c r="L89" s="60"/>
      <c r="M89" s="60"/>
      <c r="N89" s="61"/>
    </row>
    <row r="90" customFormat="false" ht="12.75" hidden="false" customHeight="false" outlineLevel="0" collapsed="false">
      <c r="A90" s="61"/>
      <c r="B90" s="61"/>
      <c r="C90" s="56"/>
      <c r="D90" s="55"/>
      <c r="E90" s="57"/>
      <c r="F90" s="56"/>
      <c r="G90" s="58"/>
      <c r="H90" s="55"/>
      <c r="I90" s="55"/>
      <c r="J90" s="55"/>
      <c r="K90" s="59"/>
      <c r="L90" s="60"/>
      <c r="M90" s="60"/>
      <c r="N90" s="61"/>
    </row>
    <row r="91" customFormat="false" ht="12.75" hidden="false" customHeight="false" outlineLevel="0" collapsed="false">
      <c r="A91" s="61"/>
      <c r="B91" s="61"/>
      <c r="C91" s="56"/>
      <c r="D91" s="55"/>
      <c r="E91" s="57"/>
      <c r="F91" s="56"/>
      <c r="G91" s="58"/>
      <c r="H91" s="55"/>
      <c r="I91" s="55"/>
      <c r="J91" s="55"/>
      <c r="K91" s="59"/>
      <c r="L91" s="60"/>
      <c r="M91" s="60"/>
      <c r="N91" s="61"/>
    </row>
    <row r="92" customFormat="false" ht="12.75" hidden="false" customHeight="false" outlineLevel="0" collapsed="false">
      <c r="A92" s="61"/>
      <c r="B92" s="61"/>
      <c r="C92" s="56"/>
      <c r="D92" s="55"/>
      <c r="E92" s="57"/>
      <c r="F92" s="56"/>
      <c r="G92" s="58"/>
      <c r="H92" s="55"/>
      <c r="I92" s="55"/>
      <c r="J92" s="55"/>
      <c r="K92" s="59"/>
      <c r="L92" s="60"/>
      <c r="M92" s="60"/>
      <c r="N92" s="61"/>
    </row>
    <row r="93" customFormat="false" ht="12.75" hidden="false" customHeight="false" outlineLevel="0" collapsed="false">
      <c r="A93" s="61"/>
      <c r="B93" s="61"/>
      <c r="C93" s="56"/>
      <c r="D93" s="55"/>
      <c r="E93" s="57"/>
      <c r="F93" s="56"/>
      <c r="G93" s="58"/>
      <c r="H93" s="55"/>
      <c r="I93" s="55"/>
      <c r="J93" s="55"/>
      <c r="K93" s="59"/>
      <c r="L93" s="60"/>
      <c r="M93" s="60"/>
      <c r="N93" s="61"/>
    </row>
    <row r="94" customFormat="false" ht="12.75" hidden="false" customHeight="false" outlineLevel="0" collapsed="false">
      <c r="A94" s="61"/>
      <c r="B94" s="61"/>
      <c r="C94" s="56"/>
      <c r="D94" s="55"/>
      <c r="E94" s="57"/>
      <c r="F94" s="56"/>
      <c r="G94" s="58"/>
      <c r="H94" s="55"/>
      <c r="I94" s="55"/>
      <c r="J94" s="55"/>
      <c r="K94" s="59"/>
      <c r="L94" s="60"/>
      <c r="M94" s="60"/>
      <c r="N94" s="61"/>
    </row>
    <row r="95" customFormat="false" ht="12.75" hidden="false" customHeight="false" outlineLevel="0" collapsed="false">
      <c r="A95" s="61"/>
      <c r="B95" s="61"/>
      <c r="C95" s="56"/>
      <c r="D95" s="55"/>
      <c r="E95" s="57"/>
      <c r="F95" s="56"/>
      <c r="G95" s="58"/>
      <c r="H95" s="55"/>
      <c r="I95" s="55"/>
      <c r="J95" s="55"/>
      <c r="K95" s="59"/>
      <c r="L95" s="60"/>
      <c r="M95" s="60"/>
      <c r="N95" s="61"/>
    </row>
    <row r="96" customFormat="false" ht="12.75" hidden="false" customHeight="false" outlineLevel="0" collapsed="false">
      <c r="A96" s="61"/>
      <c r="B96" s="61"/>
      <c r="C96" s="56"/>
      <c r="D96" s="55"/>
      <c r="E96" s="57"/>
      <c r="F96" s="56"/>
      <c r="G96" s="58"/>
      <c r="H96" s="55"/>
      <c r="I96" s="55"/>
      <c r="J96" s="55"/>
      <c r="K96" s="59"/>
      <c r="L96" s="60"/>
      <c r="M96" s="60"/>
      <c r="N96" s="61"/>
    </row>
    <row r="97" customFormat="false" ht="12.75" hidden="false" customHeight="false" outlineLevel="0" collapsed="false">
      <c r="A97" s="61"/>
      <c r="B97" s="61"/>
      <c r="C97" s="56"/>
      <c r="D97" s="55"/>
      <c r="E97" s="57"/>
      <c r="F97" s="56"/>
      <c r="G97" s="58"/>
      <c r="H97" s="55"/>
      <c r="I97" s="55"/>
      <c r="J97" s="55"/>
      <c r="K97" s="59"/>
      <c r="L97" s="60"/>
      <c r="M97" s="60"/>
      <c r="N97" s="61"/>
    </row>
    <row r="98" customFormat="false" ht="12.75" hidden="false" customHeight="false" outlineLevel="0" collapsed="false">
      <c r="A98" s="61"/>
      <c r="B98" s="61"/>
      <c r="C98" s="56"/>
      <c r="D98" s="55"/>
      <c r="E98" s="57"/>
      <c r="F98" s="56"/>
      <c r="G98" s="58"/>
      <c r="H98" s="55"/>
      <c r="I98" s="55"/>
      <c r="J98" s="55"/>
      <c r="K98" s="59"/>
      <c r="L98" s="60"/>
      <c r="M98" s="60"/>
      <c r="N98" s="61"/>
    </row>
    <row r="99" customFormat="false" ht="12.75" hidden="false" customHeight="false" outlineLevel="0" collapsed="false">
      <c r="A99" s="61"/>
      <c r="B99" s="61"/>
      <c r="C99" s="56"/>
      <c r="D99" s="55"/>
      <c r="E99" s="57"/>
      <c r="F99" s="56"/>
      <c r="G99" s="58"/>
      <c r="H99" s="55"/>
      <c r="I99" s="55"/>
      <c r="J99" s="55"/>
      <c r="K99" s="59"/>
      <c r="L99" s="60"/>
      <c r="M99" s="60"/>
      <c r="N99" s="61"/>
    </row>
    <row r="100" customFormat="false" ht="12.75" hidden="false" customHeight="false" outlineLevel="0" collapsed="false">
      <c r="A100" s="61"/>
      <c r="B100" s="61"/>
      <c r="C100" s="56"/>
      <c r="D100" s="55"/>
      <c r="E100" s="57"/>
      <c r="F100" s="56"/>
      <c r="G100" s="58"/>
      <c r="H100" s="55"/>
      <c r="I100" s="55"/>
      <c r="J100" s="55"/>
      <c r="K100" s="59"/>
      <c r="L100" s="60"/>
      <c r="M100" s="60"/>
      <c r="N100" s="61"/>
    </row>
    <row r="101" customFormat="false" ht="12.75" hidden="false" customHeight="false" outlineLevel="0" collapsed="false">
      <c r="A101" s="61"/>
      <c r="B101" s="61"/>
      <c r="C101" s="56"/>
      <c r="D101" s="55"/>
      <c r="E101" s="57"/>
      <c r="F101" s="56"/>
      <c r="G101" s="58"/>
      <c r="H101" s="55"/>
      <c r="I101" s="55"/>
      <c r="J101" s="55"/>
      <c r="K101" s="59"/>
      <c r="L101" s="60"/>
      <c r="M101" s="60"/>
      <c r="N101" s="61"/>
    </row>
    <row r="102" customFormat="false" ht="12.75" hidden="false" customHeight="false" outlineLevel="0" collapsed="false">
      <c r="A102" s="61"/>
      <c r="B102" s="61"/>
      <c r="C102" s="56"/>
      <c r="D102" s="55"/>
      <c r="E102" s="57"/>
      <c r="F102" s="56"/>
      <c r="G102" s="58"/>
      <c r="H102" s="55"/>
      <c r="I102" s="55"/>
      <c r="J102" s="55"/>
      <c r="K102" s="59"/>
      <c r="L102" s="60"/>
      <c r="M102" s="60"/>
      <c r="N102" s="61"/>
    </row>
    <row r="103" customFormat="false" ht="12.75" hidden="false" customHeight="false" outlineLevel="0" collapsed="false">
      <c r="A103" s="61"/>
      <c r="B103" s="61"/>
      <c r="C103" s="56"/>
      <c r="D103" s="55"/>
      <c r="E103" s="57"/>
      <c r="F103" s="56"/>
      <c r="G103" s="58"/>
      <c r="H103" s="55"/>
      <c r="I103" s="55"/>
      <c r="J103" s="55"/>
      <c r="K103" s="59"/>
      <c r="L103" s="60"/>
      <c r="M103" s="60"/>
      <c r="N103" s="61"/>
    </row>
    <row r="104" customFormat="false" ht="12.75" hidden="false" customHeight="false" outlineLevel="0" collapsed="false">
      <c r="A104" s="61"/>
      <c r="B104" s="61"/>
      <c r="C104" s="56"/>
      <c r="D104" s="55"/>
      <c r="E104" s="57"/>
      <c r="F104" s="56"/>
      <c r="G104" s="58"/>
      <c r="H104" s="55"/>
      <c r="I104" s="55"/>
      <c r="J104" s="55"/>
      <c r="K104" s="59"/>
      <c r="L104" s="60"/>
      <c r="M104" s="60"/>
      <c r="N104" s="61"/>
    </row>
    <row r="105" customFormat="false" ht="12.75" hidden="false" customHeight="false" outlineLevel="0" collapsed="false">
      <c r="A105" s="61"/>
      <c r="B105" s="61"/>
      <c r="C105" s="56"/>
      <c r="D105" s="55"/>
      <c r="E105" s="57"/>
      <c r="F105" s="56"/>
      <c r="G105" s="58"/>
      <c r="H105" s="55"/>
      <c r="I105" s="55"/>
      <c r="J105" s="55"/>
      <c r="K105" s="59"/>
      <c r="L105" s="60"/>
      <c r="M105" s="60"/>
      <c r="N105" s="61"/>
    </row>
    <row r="106" customFormat="false" ht="12.75" hidden="false" customHeight="false" outlineLevel="0" collapsed="false">
      <c r="A106" s="61"/>
      <c r="B106" s="61"/>
      <c r="C106" s="56"/>
      <c r="D106" s="55"/>
      <c r="E106" s="57"/>
      <c r="F106" s="56"/>
      <c r="G106" s="58"/>
      <c r="H106" s="55"/>
      <c r="I106" s="55"/>
      <c r="J106" s="55"/>
      <c r="K106" s="59"/>
      <c r="L106" s="60"/>
      <c r="M106" s="60"/>
      <c r="N106" s="61"/>
    </row>
    <row r="107" customFormat="false" ht="12.75" hidden="false" customHeight="false" outlineLevel="0" collapsed="false">
      <c r="A107" s="61"/>
      <c r="B107" s="61"/>
      <c r="C107" s="56"/>
      <c r="D107" s="55"/>
      <c r="E107" s="57"/>
      <c r="F107" s="56"/>
      <c r="G107" s="58"/>
      <c r="H107" s="55"/>
      <c r="I107" s="55"/>
      <c r="J107" s="55"/>
      <c r="K107" s="59"/>
      <c r="L107" s="60"/>
      <c r="M107" s="60"/>
      <c r="N107" s="61"/>
    </row>
    <row r="108" customFormat="false" ht="12.75" hidden="false" customHeight="false" outlineLevel="0" collapsed="false">
      <c r="A108" s="61"/>
      <c r="B108" s="61"/>
      <c r="C108" s="56"/>
      <c r="D108" s="55"/>
      <c r="E108" s="57"/>
      <c r="F108" s="56"/>
      <c r="G108" s="58"/>
      <c r="H108" s="55"/>
      <c r="I108" s="55"/>
      <c r="J108" s="55"/>
      <c r="K108" s="59"/>
      <c r="L108" s="60"/>
      <c r="M108" s="60"/>
      <c r="N108" s="61"/>
    </row>
    <row r="109" customFormat="false" ht="12.75" hidden="false" customHeight="false" outlineLevel="0" collapsed="false">
      <c r="A109" s="61"/>
      <c r="B109" s="61"/>
      <c r="C109" s="56"/>
      <c r="D109" s="55"/>
      <c r="E109" s="57"/>
      <c r="F109" s="56"/>
      <c r="G109" s="58"/>
      <c r="H109" s="55"/>
      <c r="I109" s="55"/>
      <c r="J109" s="55"/>
      <c r="K109" s="59"/>
      <c r="L109" s="60"/>
      <c r="M109" s="60"/>
      <c r="N109" s="61"/>
    </row>
    <row r="110" customFormat="false" ht="12.75" hidden="false" customHeight="false" outlineLevel="0" collapsed="false">
      <c r="A110" s="61"/>
      <c r="B110" s="61"/>
      <c r="C110" s="56"/>
      <c r="D110" s="55"/>
      <c r="E110" s="57"/>
      <c r="F110" s="56"/>
      <c r="G110" s="58"/>
      <c r="H110" s="55"/>
      <c r="I110" s="55"/>
      <c r="J110" s="55"/>
      <c r="K110" s="59"/>
      <c r="L110" s="60"/>
      <c r="M110" s="60"/>
      <c r="N110" s="61"/>
    </row>
    <row r="111" customFormat="false" ht="12.75" hidden="false" customHeight="false" outlineLevel="0" collapsed="false">
      <c r="A111" s="61"/>
      <c r="B111" s="61"/>
      <c r="C111" s="56"/>
      <c r="D111" s="55"/>
      <c r="E111" s="57"/>
      <c r="F111" s="56"/>
      <c r="G111" s="58"/>
      <c r="H111" s="55"/>
      <c r="I111" s="55"/>
      <c r="J111" s="55"/>
      <c r="K111" s="59"/>
      <c r="L111" s="60"/>
      <c r="M111" s="60"/>
      <c r="N111" s="61"/>
    </row>
    <row r="112" customFormat="false" ht="12.75" hidden="false" customHeight="false" outlineLevel="0" collapsed="false">
      <c r="A112" s="61"/>
      <c r="B112" s="61"/>
      <c r="C112" s="56"/>
      <c r="D112" s="55"/>
      <c r="E112" s="57"/>
      <c r="F112" s="56"/>
      <c r="G112" s="58"/>
      <c r="H112" s="55"/>
      <c r="I112" s="55"/>
      <c r="J112" s="55"/>
      <c r="K112" s="59"/>
      <c r="L112" s="60"/>
      <c r="M112" s="60"/>
      <c r="N112" s="61"/>
    </row>
    <row r="113" customFormat="false" ht="12.75" hidden="false" customHeight="false" outlineLevel="0" collapsed="false">
      <c r="A113" s="61"/>
      <c r="B113" s="61"/>
      <c r="C113" s="56"/>
      <c r="D113" s="55"/>
      <c r="E113" s="57"/>
      <c r="F113" s="56"/>
      <c r="G113" s="58"/>
      <c r="H113" s="55"/>
      <c r="I113" s="55"/>
      <c r="J113" s="55"/>
      <c r="K113" s="59"/>
      <c r="L113" s="60"/>
      <c r="M113" s="60"/>
      <c r="N113" s="61"/>
    </row>
    <row r="114" customFormat="false" ht="12.75" hidden="false" customHeight="false" outlineLevel="0" collapsed="false">
      <c r="A114" s="61"/>
      <c r="B114" s="61"/>
      <c r="C114" s="56"/>
      <c r="D114" s="55"/>
      <c r="E114" s="57"/>
      <c r="F114" s="56"/>
      <c r="G114" s="58"/>
      <c r="H114" s="55"/>
      <c r="I114" s="55"/>
      <c r="J114" s="55"/>
      <c r="K114" s="59"/>
      <c r="L114" s="60"/>
      <c r="M114" s="60"/>
      <c r="N114" s="61"/>
    </row>
    <row r="115" customFormat="false" ht="12.75" hidden="false" customHeight="false" outlineLevel="0" collapsed="false">
      <c r="A115" s="61"/>
      <c r="B115" s="61"/>
      <c r="C115" s="56"/>
      <c r="D115" s="55"/>
      <c r="E115" s="57"/>
      <c r="F115" s="56"/>
      <c r="G115" s="58"/>
      <c r="H115" s="55"/>
      <c r="I115" s="55"/>
      <c r="J115" s="55"/>
      <c r="K115" s="59"/>
      <c r="L115" s="60"/>
      <c r="M115" s="60"/>
      <c r="N115" s="61"/>
    </row>
    <row r="116" customFormat="false" ht="12.75" hidden="false" customHeight="false" outlineLevel="0" collapsed="false">
      <c r="A116" s="61"/>
      <c r="B116" s="61"/>
      <c r="C116" s="56"/>
      <c r="D116" s="55"/>
      <c r="E116" s="57"/>
      <c r="F116" s="56"/>
      <c r="G116" s="58"/>
      <c r="H116" s="55"/>
      <c r="I116" s="55"/>
      <c r="J116" s="55"/>
      <c r="K116" s="59"/>
      <c r="L116" s="60"/>
      <c r="M116" s="60"/>
      <c r="N116" s="61"/>
    </row>
    <row r="117" customFormat="false" ht="12.75" hidden="false" customHeight="false" outlineLevel="0" collapsed="false">
      <c r="A117" s="61"/>
      <c r="B117" s="61"/>
      <c r="C117" s="56"/>
      <c r="D117" s="55"/>
      <c r="E117" s="57"/>
      <c r="F117" s="56"/>
      <c r="G117" s="58"/>
      <c r="H117" s="55"/>
      <c r="I117" s="55"/>
      <c r="J117" s="55"/>
      <c r="K117" s="59"/>
      <c r="L117" s="60"/>
      <c r="M117" s="60"/>
      <c r="N117" s="61"/>
    </row>
    <row r="118" customFormat="false" ht="12.75" hidden="false" customHeight="false" outlineLevel="0" collapsed="false">
      <c r="A118" s="61"/>
      <c r="B118" s="61"/>
      <c r="C118" s="56"/>
      <c r="D118" s="55"/>
      <c r="E118" s="57"/>
      <c r="F118" s="56"/>
      <c r="G118" s="58"/>
      <c r="H118" s="55"/>
      <c r="I118" s="55"/>
      <c r="J118" s="55"/>
      <c r="K118" s="59"/>
      <c r="L118" s="60"/>
      <c r="M118" s="60"/>
      <c r="N118" s="61"/>
    </row>
    <row r="119" customFormat="false" ht="12.75" hidden="false" customHeight="false" outlineLevel="0" collapsed="false">
      <c r="A119" s="61"/>
      <c r="B119" s="61"/>
      <c r="C119" s="56"/>
      <c r="D119" s="55"/>
      <c r="E119" s="57"/>
      <c r="F119" s="56"/>
      <c r="G119" s="58"/>
      <c r="H119" s="55"/>
      <c r="I119" s="55"/>
      <c r="J119" s="55"/>
      <c r="K119" s="59"/>
      <c r="L119" s="60"/>
      <c r="M119" s="60"/>
      <c r="N119" s="61"/>
    </row>
    <row r="120" customFormat="false" ht="12.75" hidden="false" customHeight="false" outlineLevel="0" collapsed="false">
      <c r="A120" s="61"/>
      <c r="B120" s="61"/>
      <c r="C120" s="56"/>
      <c r="D120" s="55"/>
      <c r="E120" s="57"/>
      <c r="F120" s="56"/>
      <c r="G120" s="58"/>
      <c r="H120" s="55"/>
      <c r="I120" s="55"/>
      <c r="J120" s="55"/>
      <c r="K120" s="59"/>
      <c r="L120" s="60"/>
      <c r="M120" s="60"/>
      <c r="N120" s="61"/>
    </row>
    <row r="121" customFormat="false" ht="12.75" hidden="false" customHeight="false" outlineLevel="0" collapsed="false">
      <c r="A121" s="61"/>
      <c r="B121" s="61"/>
      <c r="C121" s="56"/>
      <c r="D121" s="55"/>
      <c r="E121" s="57"/>
      <c r="F121" s="56"/>
      <c r="G121" s="58"/>
      <c r="H121" s="55"/>
      <c r="I121" s="55"/>
      <c r="J121" s="55"/>
      <c r="K121" s="59"/>
      <c r="L121" s="60"/>
      <c r="M121" s="60"/>
      <c r="N121" s="61"/>
    </row>
    <row r="122" customFormat="false" ht="12.75" hidden="false" customHeight="false" outlineLevel="0" collapsed="false">
      <c r="A122" s="61"/>
      <c r="B122" s="61"/>
      <c r="C122" s="56"/>
      <c r="D122" s="55"/>
      <c r="E122" s="57"/>
      <c r="F122" s="56"/>
      <c r="G122" s="58"/>
      <c r="H122" s="55"/>
      <c r="I122" s="55"/>
      <c r="J122" s="55"/>
      <c r="K122" s="59"/>
      <c r="L122" s="60"/>
      <c r="M122" s="60"/>
      <c r="N122" s="61"/>
    </row>
    <row r="123" customFormat="false" ht="12.75" hidden="false" customHeight="false" outlineLevel="0" collapsed="false">
      <c r="A123" s="61"/>
      <c r="B123" s="61"/>
      <c r="C123" s="56"/>
      <c r="D123" s="55"/>
      <c r="E123" s="57"/>
      <c r="F123" s="56"/>
      <c r="G123" s="58"/>
      <c r="H123" s="55"/>
      <c r="I123" s="55"/>
      <c r="J123" s="55"/>
      <c r="K123" s="59"/>
      <c r="L123" s="60"/>
      <c r="M123" s="60"/>
      <c r="N123" s="61"/>
    </row>
    <row r="124" customFormat="false" ht="12.75" hidden="false" customHeight="false" outlineLevel="0" collapsed="false">
      <c r="A124" s="61"/>
      <c r="B124" s="61"/>
      <c r="C124" s="56"/>
      <c r="D124" s="55"/>
      <c r="E124" s="57"/>
      <c r="F124" s="56"/>
      <c r="G124" s="58"/>
      <c r="H124" s="55"/>
      <c r="I124" s="55"/>
      <c r="J124" s="55"/>
      <c r="K124" s="59"/>
      <c r="L124" s="60"/>
      <c r="M124" s="60"/>
      <c r="N124" s="61"/>
    </row>
    <row r="125" customFormat="false" ht="12.75" hidden="false" customHeight="false" outlineLevel="0" collapsed="false">
      <c r="A125" s="61"/>
      <c r="B125" s="61"/>
      <c r="C125" s="56"/>
      <c r="D125" s="55"/>
      <c r="E125" s="57"/>
      <c r="F125" s="56"/>
      <c r="G125" s="58"/>
      <c r="H125" s="55"/>
      <c r="I125" s="55"/>
      <c r="J125" s="55"/>
      <c r="K125" s="59"/>
      <c r="L125" s="60"/>
      <c r="M125" s="60"/>
      <c r="N125" s="61"/>
    </row>
    <row r="126" customFormat="false" ht="12.75" hidden="false" customHeight="false" outlineLevel="0" collapsed="false">
      <c r="A126" s="61"/>
      <c r="B126" s="61"/>
      <c r="C126" s="56"/>
      <c r="D126" s="55"/>
      <c r="E126" s="57"/>
      <c r="F126" s="56"/>
      <c r="G126" s="58"/>
      <c r="H126" s="55"/>
      <c r="I126" s="55"/>
      <c r="J126" s="55"/>
      <c r="K126" s="59"/>
      <c r="L126" s="60"/>
      <c r="M126" s="60"/>
      <c r="N126" s="61"/>
    </row>
    <row r="127" customFormat="false" ht="12.75" hidden="false" customHeight="false" outlineLevel="0" collapsed="false">
      <c r="A127" s="61"/>
      <c r="B127" s="61"/>
      <c r="C127" s="56"/>
      <c r="D127" s="55"/>
      <c r="E127" s="57"/>
      <c r="F127" s="56"/>
      <c r="G127" s="58"/>
      <c r="H127" s="55"/>
      <c r="I127" s="55"/>
      <c r="J127" s="55"/>
      <c r="K127" s="59"/>
      <c r="L127" s="60"/>
      <c r="M127" s="60"/>
      <c r="N127" s="61"/>
    </row>
    <row r="128" customFormat="false" ht="12.75" hidden="false" customHeight="false" outlineLevel="0" collapsed="false">
      <c r="A128" s="61"/>
      <c r="B128" s="61"/>
      <c r="C128" s="56"/>
      <c r="D128" s="55"/>
      <c r="E128" s="57"/>
      <c r="F128" s="56"/>
      <c r="G128" s="58"/>
      <c r="H128" s="55"/>
      <c r="I128" s="55"/>
      <c r="J128" s="55"/>
      <c r="K128" s="59"/>
      <c r="L128" s="60"/>
      <c r="M128" s="60"/>
      <c r="N128" s="61"/>
    </row>
    <row r="129" customFormat="false" ht="12.75" hidden="false" customHeight="false" outlineLevel="0" collapsed="false">
      <c r="A129" s="61"/>
      <c r="B129" s="61"/>
      <c r="C129" s="56"/>
      <c r="D129" s="55"/>
      <c r="E129" s="57"/>
      <c r="F129" s="56"/>
      <c r="G129" s="58"/>
      <c r="H129" s="55"/>
      <c r="I129" s="55"/>
      <c r="J129" s="55"/>
      <c r="K129" s="59"/>
      <c r="L129" s="60"/>
      <c r="M129" s="60"/>
      <c r="N129" s="61"/>
    </row>
    <row r="130" customFormat="false" ht="12.75" hidden="false" customHeight="false" outlineLevel="0" collapsed="false">
      <c r="A130" s="61"/>
      <c r="B130" s="61"/>
      <c r="C130" s="56"/>
      <c r="D130" s="55"/>
      <c r="E130" s="57"/>
      <c r="F130" s="56"/>
      <c r="G130" s="58"/>
      <c r="H130" s="55"/>
      <c r="I130" s="55"/>
      <c r="J130" s="55"/>
      <c r="K130" s="59"/>
      <c r="L130" s="60"/>
      <c r="M130" s="60"/>
      <c r="N130" s="61"/>
    </row>
    <row r="131" customFormat="false" ht="12.75" hidden="false" customHeight="false" outlineLevel="0" collapsed="false">
      <c r="A131" s="61"/>
      <c r="B131" s="61"/>
      <c r="C131" s="56"/>
      <c r="D131" s="55"/>
      <c r="E131" s="57"/>
      <c r="F131" s="56"/>
      <c r="G131" s="58"/>
      <c r="H131" s="55"/>
      <c r="I131" s="55"/>
      <c r="J131" s="55"/>
      <c r="K131" s="59"/>
      <c r="L131" s="60"/>
      <c r="M131" s="60"/>
      <c r="N131" s="61"/>
    </row>
    <row r="132" customFormat="false" ht="12.75" hidden="false" customHeight="false" outlineLevel="0" collapsed="false">
      <c r="A132" s="61"/>
      <c r="B132" s="61"/>
      <c r="C132" s="56"/>
      <c r="D132" s="55"/>
      <c r="E132" s="57"/>
      <c r="F132" s="56"/>
      <c r="G132" s="58"/>
      <c r="H132" s="55"/>
      <c r="I132" s="55"/>
      <c r="J132" s="55"/>
      <c r="K132" s="59"/>
      <c r="L132" s="60"/>
      <c r="M132" s="60"/>
      <c r="N132" s="61"/>
    </row>
    <row r="133" customFormat="false" ht="12.75" hidden="false" customHeight="false" outlineLevel="0" collapsed="false">
      <c r="A133" s="61"/>
      <c r="B133" s="61"/>
      <c r="C133" s="56"/>
      <c r="D133" s="55"/>
      <c r="E133" s="57"/>
      <c r="F133" s="56"/>
      <c r="G133" s="58"/>
      <c r="H133" s="55"/>
      <c r="I133" s="55"/>
      <c r="J133" s="55"/>
      <c r="K133" s="59"/>
      <c r="L133" s="60"/>
      <c r="M133" s="60"/>
      <c r="N133" s="61"/>
    </row>
    <row r="134" customFormat="false" ht="12.75" hidden="false" customHeight="false" outlineLevel="0" collapsed="false">
      <c r="A134" s="61"/>
      <c r="B134" s="61"/>
      <c r="C134" s="56"/>
      <c r="D134" s="55"/>
      <c r="E134" s="57"/>
      <c r="F134" s="56"/>
      <c r="G134" s="58"/>
      <c r="H134" s="55"/>
      <c r="I134" s="55"/>
      <c r="J134" s="55"/>
      <c r="K134" s="59"/>
      <c r="L134" s="60"/>
      <c r="M134" s="60"/>
      <c r="N134" s="61"/>
    </row>
    <row r="135" customFormat="false" ht="12.75" hidden="false" customHeight="false" outlineLevel="0" collapsed="false">
      <c r="A135" s="61"/>
      <c r="B135" s="61"/>
      <c r="C135" s="56"/>
      <c r="D135" s="55"/>
      <c r="E135" s="57"/>
      <c r="F135" s="56"/>
      <c r="G135" s="58"/>
      <c r="H135" s="55"/>
      <c r="I135" s="55"/>
      <c r="J135" s="55"/>
      <c r="K135" s="59"/>
      <c r="L135" s="60"/>
      <c r="M135" s="60"/>
      <c r="N135" s="61"/>
    </row>
    <row r="136" customFormat="false" ht="12.75" hidden="false" customHeight="false" outlineLevel="0" collapsed="false">
      <c r="A136" s="61"/>
      <c r="B136" s="61"/>
      <c r="C136" s="56"/>
      <c r="D136" s="55"/>
      <c r="E136" s="57"/>
      <c r="F136" s="56"/>
      <c r="G136" s="58"/>
      <c r="H136" s="55"/>
      <c r="I136" s="55"/>
      <c r="J136" s="55"/>
      <c r="K136" s="59"/>
      <c r="L136" s="60"/>
      <c r="M136" s="60"/>
      <c r="N136" s="61"/>
    </row>
    <row r="137" customFormat="false" ht="12.75" hidden="false" customHeight="false" outlineLevel="0" collapsed="false">
      <c r="A137" s="61"/>
      <c r="B137" s="61"/>
      <c r="C137" s="56"/>
      <c r="D137" s="55"/>
      <c r="E137" s="57"/>
      <c r="F137" s="56"/>
      <c r="G137" s="58"/>
      <c r="H137" s="55"/>
      <c r="I137" s="55"/>
      <c r="J137" s="55"/>
      <c r="K137" s="59"/>
      <c r="L137" s="60"/>
      <c r="M137" s="60"/>
      <c r="N137" s="61"/>
    </row>
    <row r="138" customFormat="false" ht="12.75" hidden="false" customHeight="false" outlineLevel="0" collapsed="false">
      <c r="A138" s="61"/>
      <c r="B138" s="61"/>
      <c r="C138" s="56"/>
      <c r="D138" s="55"/>
      <c r="E138" s="57"/>
      <c r="F138" s="56"/>
      <c r="G138" s="58"/>
      <c r="H138" s="55"/>
      <c r="I138" s="55"/>
      <c r="J138" s="55"/>
      <c r="K138" s="59"/>
      <c r="L138" s="60"/>
      <c r="M138" s="60"/>
      <c r="N138" s="61"/>
    </row>
    <row r="139" customFormat="false" ht="12.75" hidden="false" customHeight="false" outlineLevel="0" collapsed="false">
      <c r="A139" s="61"/>
      <c r="B139" s="61"/>
      <c r="C139" s="56"/>
      <c r="D139" s="55"/>
      <c r="E139" s="57"/>
      <c r="F139" s="56"/>
      <c r="G139" s="58"/>
      <c r="H139" s="55"/>
      <c r="I139" s="55"/>
      <c r="J139" s="55"/>
      <c r="K139" s="59"/>
      <c r="L139" s="60"/>
      <c r="M139" s="60"/>
      <c r="N139" s="61"/>
    </row>
    <row r="140" customFormat="false" ht="12.75" hidden="false" customHeight="false" outlineLevel="0" collapsed="false">
      <c r="A140" s="61"/>
      <c r="B140" s="61"/>
      <c r="C140" s="56"/>
      <c r="D140" s="55"/>
      <c r="E140" s="57"/>
      <c r="F140" s="56"/>
      <c r="G140" s="58"/>
      <c r="H140" s="55"/>
      <c r="I140" s="55"/>
      <c r="J140" s="55"/>
      <c r="K140" s="59"/>
      <c r="L140" s="60"/>
      <c r="M140" s="60"/>
      <c r="N140" s="61"/>
    </row>
    <row r="141" customFormat="false" ht="12.75" hidden="false" customHeight="false" outlineLevel="0" collapsed="false">
      <c r="A141" s="61"/>
      <c r="B141" s="61"/>
      <c r="C141" s="56"/>
      <c r="D141" s="55"/>
      <c r="E141" s="57"/>
      <c r="F141" s="56"/>
      <c r="G141" s="58"/>
      <c r="H141" s="55"/>
      <c r="I141" s="55"/>
      <c r="J141" s="55"/>
      <c r="K141" s="59"/>
      <c r="L141" s="60"/>
      <c r="M141" s="60"/>
      <c r="N141" s="61"/>
    </row>
    <row r="142" customFormat="false" ht="12.75" hidden="false" customHeight="false" outlineLevel="0" collapsed="false">
      <c r="A142" s="61"/>
      <c r="B142" s="61"/>
      <c r="C142" s="56"/>
      <c r="D142" s="55"/>
      <c r="E142" s="57"/>
      <c r="F142" s="56"/>
      <c r="G142" s="58"/>
      <c r="H142" s="55"/>
      <c r="I142" s="55"/>
      <c r="J142" s="55"/>
      <c r="K142" s="59"/>
      <c r="L142" s="60"/>
      <c r="M142" s="60"/>
      <c r="N142" s="61"/>
    </row>
    <row r="143" customFormat="false" ht="12.75" hidden="false" customHeight="false" outlineLevel="0" collapsed="false">
      <c r="A143" s="61"/>
      <c r="B143" s="61"/>
      <c r="C143" s="56"/>
      <c r="D143" s="55"/>
      <c r="E143" s="57"/>
      <c r="F143" s="56"/>
      <c r="G143" s="58"/>
      <c r="H143" s="55"/>
      <c r="I143" s="55"/>
      <c r="J143" s="55"/>
      <c r="K143" s="59"/>
      <c r="L143" s="60"/>
      <c r="M143" s="60"/>
      <c r="N143" s="61"/>
    </row>
    <row r="144" customFormat="false" ht="12.75" hidden="false" customHeight="false" outlineLevel="0" collapsed="false">
      <c r="A144" s="61"/>
      <c r="B144" s="61"/>
      <c r="C144" s="56"/>
      <c r="D144" s="55"/>
      <c r="E144" s="57"/>
      <c r="F144" s="56"/>
      <c r="G144" s="58"/>
      <c r="H144" s="55"/>
      <c r="I144" s="55"/>
      <c r="J144" s="55"/>
      <c r="K144" s="59"/>
      <c r="L144" s="60"/>
      <c r="M144" s="60"/>
      <c r="N144" s="61"/>
    </row>
    <row r="145" customFormat="false" ht="12.75" hidden="false" customHeight="false" outlineLevel="0" collapsed="false">
      <c r="A145" s="61"/>
      <c r="B145" s="61"/>
      <c r="C145" s="56"/>
      <c r="D145" s="55"/>
      <c r="E145" s="57"/>
      <c r="F145" s="56"/>
      <c r="G145" s="58"/>
      <c r="H145" s="55"/>
      <c r="I145" s="55"/>
      <c r="J145" s="55"/>
      <c r="K145" s="59"/>
      <c r="L145" s="60"/>
      <c r="M145" s="60"/>
      <c r="N145" s="61"/>
    </row>
    <row r="146" customFormat="false" ht="12.75" hidden="false" customHeight="false" outlineLevel="0" collapsed="false">
      <c r="A146" s="61"/>
      <c r="B146" s="61"/>
      <c r="C146" s="56"/>
      <c r="D146" s="55"/>
      <c r="E146" s="57"/>
      <c r="F146" s="56"/>
      <c r="G146" s="58"/>
      <c r="H146" s="55"/>
      <c r="I146" s="55"/>
      <c r="J146" s="55"/>
      <c r="K146" s="59"/>
      <c r="L146" s="60"/>
      <c r="M146" s="60"/>
      <c r="N146" s="61"/>
    </row>
    <row r="147" customFormat="false" ht="12.75" hidden="false" customHeight="false" outlineLevel="0" collapsed="false">
      <c r="A147" s="61"/>
      <c r="B147" s="61"/>
      <c r="C147" s="56"/>
      <c r="D147" s="55"/>
      <c r="E147" s="57"/>
      <c r="F147" s="56"/>
      <c r="G147" s="58"/>
      <c r="H147" s="55"/>
      <c r="I147" s="55"/>
      <c r="J147" s="55"/>
      <c r="K147" s="59"/>
      <c r="L147" s="60"/>
      <c r="M147" s="60"/>
      <c r="N147" s="61"/>
    </row>
    <row r="148" customFormat="false" ht="12.75" hidden="false" customHeight="false" outlineLevel="0" collapsed="false">
      <c r="A148" s="61"/>
      <c r="B148" s="61"/>
      <c r="C148" s="56"/>
      <c r="D148" s="55"/>
      <c r="E148" s="57"/>
      <c r="F148" s="56"/>
      <c r="G148" s="58"/>
      <c r="H148" s="55"/>
      <c r="I148" s="55"/>
      <c r="J148" s="55"/>
      <c r="K148" s="59"/>
      <c r="L148" s="60"/>
      <c r="M148" s="60"/>
      <c r="N148" s="61"/>
    </row>
    <row r="149" customFormat="false" ht="12.75" hidden="false" customHeight="false" outlineLevel="0" collapsed="false">
      <c r="A149" s="61"/>
      <c r="B149" s="61"/>
      <c r="C149" s="56"/>
      <c r="D149" s="55"/>
      <c r="E149" s="57"/>
      <c r="F149" s="56"/>
      <c r="G149" s="58"/>
      <c r="H149" s="55"/>
      <c r="I149" s="55"/>
      <c r="J149" s="55"/>
      <c r="K149" s="59"/>
      <c r="L149" s="60"/>
      <c r="M149" s="60"/>
      <c r="N149" s="61"/>
    </row>
    <row r="150" customFormat="false" ht="12.75" hidden="false" customHeight="false" outlineLevel="0" collapsed="false">
      <c r="A150" s="61"/>
      <c r="B150" s="61"/>
      <c r="C150" s="56"/>
      <c r="D150" s="55"/>
      <c r="E150" s="57"/>
      <c r="F150" s="56"/>
      <c r="G150" s="58"/>
      <c r="H150" s="55"/>
      <c r="I150" s="55"/>
      <c r="J150" s="55"/>
      <c r="K150" s="59"/>
      <c r="L150" s="60"/>
      <c r="M150" s="60"/>
      <c r="N150" s="61"/>
    </row>
    <row r="151" customFormat="false" ht="12.75" hidden="false" customHeight="false" outlineLevel="0" collapsed="false">
      <c r="A151" s="61"/>
      <c r="B151" s="61"/>
      <c r="C151" s="56"/>
      <c r="D151" s="55"/>
      <c r="E151" s="57"/>
      <c r="F151" s="56"/>
      <c r="G151" s="58"/>
      <c r="H151" s="55"/>
      <c r="I151" s="55"/>
      <c r="J151" s="55"/>
      <c r="K151" s="59"/>
      <c r="L151" s="60"/>
      <c r="M151" s="60"/>
      <c r="N151" s="61"/>
    </row>
    <row r="152" customFormat="false" ht="12.75" hidden="false" customHeight="false" outlineLevel="0" collapsed="false">
      <c r="A152" s="61"/>
      <c r="B152" s="61"/>
      <c r="C152" s="56"/>
      <c r="D152" s="55"/>
      <c r="E152" s="57"/>
      <c r="F152" s="56"/>
      <c r="G152" s="58"/>
      <c r="H152" s="55"/>
      <c r="I152" s="55"/>
      <c r="J152" s="55"/>
      <c r="K152" s="59"/>
      <c r="L152" s="60"/>
      <c r="M152" s="60"/>
      <c r="N152" s="61"/>
    </row>
    <row r="153" customFormat="false" ht="12.75" hidden="false" customHeight="false" outlineLevel="0" collapsed="false">
      <c r="A153" s="61"/>
      <c r="B153" s="61"/>
      <c r="C153" s="56"/>
      <c r="D153" s="55"/>
      <c r="E153" s="57"/>
      <c r="F153" s="56"/>
      <c r="G153" s="58"/>
      <c r="H153" s="55"/>
      <c r="I153" s="55"/>
      <c r="J153" s="55"/>
      <c r="K153" s="59"/>
      <c r="L153" s="60"/>
      <c r="M153" s="60"/>
      <c r="N153" s="61"/>
    </row>
    <row r="154" customFormat="false" ht="12.75" hidden="false" customHeight="false" outlineLevel="0" collapsed="false">
      <c r="A154" s="61"/>
      <c r="B154" s="61"/>
      <c r="C154" s="56"/>
      <c r="D154" s="55"/>
      <c r="E154" s="57"/>
      <c r="F154" s="56"/>
      <c r="G154" s="58"/>
      <c r="H154" s="55"/>
      <c r="I154" s="55"/>
      <c r="J154" s="55"/>
      <c r="K154" s="59"/>
      <c r="L154" s="60"/>
      <c r="M154" s="60"/>
      <c r="N154" s="61"/>
    </row>
    <row r="155" customFormat="false" ht="12.75" hidden="false" customHeight="false" outlineLevel="0" collapsed="false">
      <c r="A155" s="61"/>
      <c r="B155" s="61"/>
      <c r="C155" s="56"/>
      <c r="D155" s="55"/>
      <c r="E155" s="57"/>
      <c r="F155" s="56"/>
      <c r="G155" s="58"/>
      <c r="H155" s="55"/>
      <c r="I155" s="55"/>
      <c r="J155" s="55"/>
      <c r="K155" s="59"/>
      <c r="L155" s="60"/>
      <c r="M155" s="60"/>
      <c r="N155" s="61"/>
    </row>
    <row r="156" customFormat="false" ht="12.75" hidden="false" customHeight="false" outlineLevel="0" collapsed="false">
      <c r="A156" s="61"/>
      <c r="B156" s="61"/>
      <c r="C156" s="56"/>
      <c r="D156" s="55"/>
      <c r="E156" s="57"/>
      <c r="F156" s="56"/>
      <c r="G156" s="58"/>
      <c r="H156" s="55"/>
      <c r="I156" s="55"/>
      <c r="J156" s="55"/>
      <c r="K156" s="59"/>
      <c r="L156" s="60"/>
      <c r="M156" s="60"/>
      <c r="N156" s="61"/>
    </row>
    <row r="157" customFormat="false" ht="12.75" hidden="false" customHeight="false" outlineLevel="0" collapsed="false">
      <c r="A157" s="61"/>
      <c r="B157" s="61"/>
      <c r="C157" s="56"/>
      <c r="D157" s="55"/>
      <c r="E157" s="57"/>
      <c r="F157" s="56"/>
      <c r="G157" s="58"/>
      <c r="H157" s="55"/>
      <c r="I157" s="55"/>
      <c r="J157" s="55"/>
      <c r="K157" s="59"/>
      <c r="L157" s="60"/>
      <c r="M157" s="60"/>
      <c r="N157" s="61"/>
    </row>
    <row r="158" customFormat="false" ht="12.75" hidden="false" customHeight="false" outlineLevel="0" collapsed="false">
      <c r="A158" s="61"/>
      <c r="B158" s="61"/>
      <c r="C158" s="56"/>
      <c r="D158" s="55"/>
      <c r="E158" s="57"/>
      <c r="F158" s="56"/>
      <c r="G158" s="58"/>
      <c r="H158" s="55"/>
      <c r="I158" s="55"/>
      <c r="J158" s="55"/>
      <c r="K158" s="59"/>
      <c r="L158" s="60"/>
      <c r="M158" s="60"/>
      <c r="N158" s="61"/>
    </row>
    <row r="159" customFormat="false" ht="12.75" hidden="false" customHeight="false" outlineLevel="0" collapsed="false">
      <c r="A159" s="61"/>
      <c r="B159" s="61"/>
      <c r="C159" s="56"/>
      <c r="D159" s="55"/>
      <c r="E159" s="57"/>
      <c r="F159" s="56"/>
      <c r="G159" s="58"/>
      <c r="H159" s="55"/>
      <c r="I159" s="55"/>
      <c r="J159" s="55"/>
      <c r="K159" s="59"/>
      <c r="L159" s="60"/>
      <c r="M159" s="60"/>
      <c r="N159" s="61"/>
    </row>
    <row r="160" customFormat="false" ht="12.75" hidden="false" customHeight="false" outlineLevel="0" collapsed="false">
      <c r="A160" s="61"/>
      <c r="B160" s="61"/>
      <c r="C160" s="56"/>
      <c r="D160" s="55"/>
      <c r="E160" s="57"/>
      <c r="F160" s="56"/>
      <c r="G160" s="58"/>
      <c r="H160" s="55"/>
      <c r="I160" s="55"/>
      <c r="J160" s="55"/>
      <c r="K160" s="59"/>
      <c r="L160" s="60"/>
      <c r="M160" s="60"/>
      <c r="N160" s="61"/>
    </row>
    <row r="161" customFormat="false" ht="12.75" hidden="false" customHeight="false" outlineLevel="0" collapsed="false">
      <c r="A161" s="61"/>
      <c r="B161" s="61"/>
      <c r="C161" s="56"/>
      <c r="D161" s="55"/>
      <c r="E161" s="57"/>
      <c r="F161" s="56"/>
      <c r="G161" s="58"/>
      <c r="H161" s="55"/>
      <c r="I161" s="55"/>
      <c r="J161" s="55"/>
      <c r="K161" s="59"/>
      <c r="L161" s="60"/>
      <c r="M161" s="60"/>
      <c r="N161" s="61"/>
    </row>
    <row r="162" customFormat="false" ht="12.75" hidden="false" customHeight="false" outlineLevel="0" collapsed="false">
      <c r="A162" s="61"/>
      <c r="B162" s="61"/>
      <c r="C162" s="56"/>
      <c r="D162" s="55"/>
      <c r="E162" s="57"/>
      <c r="F162" s="56"/>
      <c r="G162" s="58"/>
      <c r="H162" s="55"/>
      <c r="I162" s="55"/>
      <c r="J162" s="55"/>
      <c r="K162" s="59"/>
      <c r="L162" s="60"/>
      <c r="M162" s="60"/>
      <c r="N162" s="61"/>
    </row>
    <row r="163" customFormat="false" ht="12.75" hidden="false" customHeight="false" outlineLevel="0" collapsed="false">
      <c r="A163" s="61"/>
      <c r="B163" s="61"/>
      <c r="C163" s="56"/>
      <c r="D163" s="55"/>
      <c r="E163" s="57"/>
      <c r="F163" s="56"/>
      <c r="G163" s="58"/>
      <c r="H163" s="55"/>
      <c r="I163" s="55"/>
      <c r="J163" s="55"/>
      <c r="K163" s="59"/>
      <c r="L163" s="60"/>
      <c r="M163" s="60"/>
      <c r="N163" s="61"/>
    </row>
    <row r="164" customFormat="false" ht="12.75" hidden="false" customHeight="false" outlineLevel="0" collapsed="false">
      <c r="A164" s="61"/>
      <c r="B164" s="61"/>
      <c r="C164" s="56"/>
      <c r="D164" s="55"/>
      <c r="E164" s="57"/>
      <c r="F164" s="56"/>
      <c r="G164" s="58"/>
      <c r="H164" s="55"/>
      <c r="I164" s="55"/>
      <c r="J164" s="55"/>
      <c r="K164" s="59"/>
      <c r="L164" s="60"/>
      <c r="M164" s="60"/>
      <c r="N164" s="61"/>
    </row>
    <row r="165" customFormat="false" ht="12.75" hidden="false" customHeight="false" outlineLevel="0" collapsed="false">
      <c r="A165" s="61"/>
      <c r="B165" s="61"/>
      <c r="C165" s="56"/>
      <c r="D165" s="55"/>
      <c r="E165" s="57"/>
      <c r="F165" s="56"/>
      <c r="G165" s="58"/>
      <c r="H165" s="55"/>
      <c r="I165" s="55"/>
      <c r="J165" s="55"/>
      <c r="K165" s="59"/>
      <c r="L165" s="60"/>
      <c r="M165" s="60"/>
      <c r="N165" s="61"/>
    </row>
    <row r="166" customFormat="false" ht="12.75" hidden="false" customHeight="false" outlineLevel="0" collapsed="false">
      <c r="A166" s="61"/>
      <c r="B166" s="61"/>
      <c r="C166" s="56"/>
      <c r="D166" s="55"/>
      <c r="E166" s="57"/>
      <c r="F166" s="56"/>
      <c r="G166" s="58"/>
      <c r="H166" s="55"/>
      <c r="I166" s="55"/>
      <c r="J166" s="55"/>
      <c r="K166" s="59"/>
      <c r="L166" s="60"/>
      <c r="M166" s="60"/>
      <c r="N166" s="61"/>
    </row>
    <row r="167" customFormat="false" ht="12.75" hidden="false" customHeight="false" outlineLevel="0" collapsed="false">
      <c r="A167" s="61"/>
      <c r="B167" s="61"/>
      <c r="C167" s="56"/>
      <c r="D167" s="55"/>
      <c r="E167" s="57"/>
      <c r="F167" s="56"/>
      <c r="G167" s="58"/>
      <c r="H167" s="55"/>
      <c r="I167" s="55"/>
      <c r="J167" s="55"/>
      <c r="K167" s="59"/>
      <c r="L167" s="60"/>
      <c r="M167" s="60"/>
      <c r="N167" s="61"/>
    </row>
    <row r="168" customFormat="false" ht="12.75" hidden="false" customHeight="false" outlineLevel="0" collapsed="false">
      <c r="A168" s="61"/>
      <c r="B168" s="61"/>
      <c r="C168" s="56"/>
      <c r="D168" s="55"/>
      <c r="E168" s="57"/>
      <c r="F168" s="56"/>
      <c r="G168" s="58"/>
      <c r="H168" s="55"/>
      <c r="I168" s="55"/>
      <c r="J168" s="55"/>
      <c r="K168" s="59"/>
      <c r="L168" s="60"/>
      <c r="M168" s="60"/>
      <c r="N168" s="61"/>
    </row>
    <row r="169" customFormat="false" ht="12.75" hidden="false" customHeight="false" outlineLevel="0" collapsed="false">
      <c r="A169" s="61"/>
      <c r="B169" s="61"/>
      <c r="C169" s="56"/>
      <c r="D169" s="55"/>
      <c r="E169" s="57"/>
      <c r="F169" s="56"/>
      <c r="G169" s="58"/>
      <c r="H169" s="55"/>
      <c r="I169" s="55"/>
      <c r="J169" s="55"/>
      <c r="K169" s="59"/>
      <c r="L169" s="60"/>
      <c r="M169" s="60"/>
      <c r="N169" s="61"/>
    </row>
    <row r="170" customFormat="false" ht="12.75" hidden="false" customHeight="false" outlineLevel="0" collapsed="false">
      <c r="A170" s="61"/>
      <c r="B170" s="61"/>
      <c r="C170" s="56"/>
      <c r="D170" s="55"/>
      <c r="E170" s="57"/>
      <c r="F170" s="56"/>
      <c r="G170" s="58"/>
      <c r="H170" s="55"/>
      <c r="I170" s="55"/>
      <c r="J170" s="55"/>
      <c r="K170" s="59"/>
      <c r="L170" s="60"/>
      <c r="M170" s="60"/>
      <c r="N170" s="61"/>
    </row>
    <row r="171" customFormat="false" ht="12.75" hidden="false" customHeight="false" outlineLevel="0" collapsed="false">
      <c r="A171" s="61"/>
      <c r="B171" s="61"/>
      <c r="C171" s="56"/>
      <c r="D171" s="55"/>
      <c r="E171" s="57"/>
      <c r="F171" s="56"/>
      <c r="G171" s="58"/>
      <c r="H171" s="55"/>
      <c r="I171" s="55"/>
      <c r="J171" s="55"/>
      <c r="K171" s="59"/>
      <c r="L171" s="60"/>
      <c r="M171" s="60"/>
      <c r="N171" s="61"/>
    </row>
    <row r="172" customFormat="false" ht="12.75" hidden="false" customHeight="false" outlineLevel="0" collapsed="false">
      <c r="A172" s="61"/>
      <c r="B172" s="61"/>
      <c r="C172" s="56"/>
      <c r="D172" s="55"/>
      <c r="E172" s="57"/>
      <c r="F172" s="56"/>
      <c r="G172" s="58"/>
      <c r="H172" s="55"/>
      <c r="I172" s="55"/>
      <c r="J172" s="55"/>
      <c r="K172" s="59"/>
      <c r="L172" s="60"/>
      <c r="M172" s="60"/>
      <c r="N172" s="61"/>
    </row>
    <row r="173" customFormat="false" ht="12.75" hidden="false" customHeight="false" outlineLevel="0" collapsed="false">
      <c r="A173" s="61"/>
      <c r="B173" s="61"/>
      <c r="C173" s="56"/>
      <c r="D173" s="55"/>
      <c r="E173" s="57"/>
      <c r="F173" s="56"/>
      <c r="G173" s="58"/>
      <c r="H173" s="55"/>
      <c r="I173" s="55"/>
      <c r="J173" s="55"/>
      <c r="K173" s="59"/>
      <c r="L173" s="60"/>
      <c r="M173" s="60"/>
      <c r="N173" s="61"/>
    </row>
    <row r="174" customFormat="false" ht="12.75" hidden="false" customHeight="false" outlineLevel="0" collapsed="false">
      <c r="A174" s="61"/>
      <c r="B174" s="61"/>
      <c r="C174" s="56"/>
      <c r="D174" s="55"/>
      <c r="E174" s="57"/>
      <c r="F174" s="56"/>
      <c r="G174" s="58"/>
      <c r="H174" s="55"/>
      <c r="I174" s="55"/>
      <c r="J174" s="55"/>
      <c r="K174" s="59"/>
      <c r="L174" s="60"/>
      <c r="M174" s="60"/>
      <c r="N174" s="61"/>
    </row>
    <row r="175" customFormat="false" ht="12.75" hidden="false" customHeight="false" outlineLevel="0" collapsed="false">
      <c r="A175" s="61"/>
      <c r="B175" s="61"/>
      <c r="C175" s="56"/>
      <c r="D175" s="55"/>
      <c r="E175" s="57"/>
      <c r="F175" s="56"/>
      <c r="G175" s="58"/>
      <c r="H175" s="55"/>
      <c r="I175" s="55"/>
      <c r="J175" s="55"/>
      <c r="K175" s="59"/>
      <c r="L175" s="60"/>
      <c r="M175" s="60"/>
      <c r="N175" s="61"/>
    </row>
    <row r="176" customFormat="false" ht="12.75" hidden="false" customHeight="false" outlineLevel="0" collapsed="false">
      <c r="A176" s="61"/>
      <c r="B176" s="61"/>
      <c r="C176" s="56"/>
      <c r="D176" s="55"/>
      <c r="E176" s="57"/>
      <c r="F176" s="56"/>
      <c r="G176" s="58"/>
      <c r="H176" s="55"/>
      <c r="I176" s="55"/>
      <c r="J176" s="55"/>
      <c r="K176" s="59"/>
      <c r="L176" s="60"/>
      <c r="M176" s="60"/>
      <c r="N176" s="61"/>
    </row>
    <row r="177" customFormat="false" ht="12.75" hidden="false" customHeight="false" outlineLevel="0" collapsed="false">
      <c r="A177" s="61"/>
      <c r="B177" s="61"/>
      <c r="C177" s="56"/>
      <c r="D177" s="55"/>
      <c r="E177" s="57"/>
      <c r="F177" s="56"/>
      <c r="G177" s="58"/>
      <c r="H177" s="55"/>
      <c r="I177" s="55"/>
      <c r="J177" s="55"/>
      <c r="K177" s="59"/>
      <c r="L177" s="60"/>
      <c r="M177" s="60"/>
      <c r="N177" s="61"/>
    </row>
    <row r="178" customFormat="false" ht="12.75" hidden="false" customHeight="false" outlineLevel="0" collapsed="false">
      <c r="A178" s="61"/>
      <c r="B178" s="61"/>
      <c r="C178" s="56"/>
      <c r="D178" s="55"/>
      <c r="E178" s="57"/>
      <c r="F178" s="56"/>
      <c r="G178" s="58"/>
      <c r="H178" s="55"/>
      <c r="I178" s="55"/>
      <c r="J178" s="55"/>
      <c r="K178" s="59"/>
      <c r="L178" s="60"/>
      <c r="M178" s="60"/>
      <c r="N178" s="61"/>
    </row>
    <row r="179" customFormat="false" ht="12.75" hidden="false" customHeight="false" outlineLevel="0" collapsed="false">
      <c r="A179" s="61"/>
      <c r="B179" s="61"/>
      <c r="C179" s="56"/>
      <c r="D179" s="55"/>
      <c r="E179" s="57"/>
      <c r="F179" s="56"/>
      <c r="G179" s="58"/>
      <c r="H179" s="55"/>
      <c r="I179" s="55"/>
      <c r="J179" s="55"/>
      <c r="K179" s="59"/>
      <c r="L179" s="60"/>
      <c r="M179" s="60"/>
      <c r="N179" s="61"/>
    </row>
    <row r="180" customFormat="false" ht="12.75" hidden="false" customHeight="false" outlineLevel="0" collapsed="false">
      <c r="A180" s="61"/>
      <c r="B180" s="61"/>
      <c r="C180" s="56"/>
      <c r="D180" s="55"/>
      <c r="E180" s="57"/>
      <c r="F180" s="56"/>
      <c r="G180" s="58"/>
      <c r="H180" s="55"/>
      <c r="I180" s="55"/>
      <c r="J180" s="55"/>
      <c r="K180" s="59"/>
      <c r="L180" s="60"/>
      <c r="M180" s="60"/>
      <c r="N180" s="61"/>
    </row>
    <row r="181" customFormat="false" ht="12.75" hidden="false" customHeight="false" outlineLevel="0" collapsed="false">
      <c r="A181" s="61"/>
      <c r="B181" s="61"/>
      <c r="C181" s="56"/>
      <c r="D181" s="55"/>
      <c r="E181" s="57"/>
      <c r="F181" s="56"/>
      <c r="G181" s="58"/>
      <c r="H181" s="55"/>
      <c r="I181" s="55"/>
      <c r="J181" s="55"/>
      <c r="K181" s="59"/>
      <c r="L181" s="60"/>
      <c r="M181" s="60"/>
      <c r="N181" s="61"/>
    </row>
    <row r="182" customFormat="false" ht="12.75" hidden="false" customHeight="false" outlineLevel="0" collapsed="false">
      <c r="A182" s="61"/>
      <c r="B182" s="61"/>
      <c r="C182" s="56"/>
      <c r="D182" s="55"/>
      <c r="E182" s="57"/>
      <c r="F182" s="56"/>
      <c r="G182" s="58"/>
      <c r="H182" s="55"/>
      <c r="I182" s="55"/>
      <c r="J182" s="55"/>
      <c r="K182" s="59"/>
      <c r="L182" s="60"/>
      <c r="M182" s="60"/>
      <c r="N182" s="61"/>
    </row>
    <row r="183" customFormat="false" ht="12.75" hidden="false" customHeight="false" outlineLevel="0" collapsed="false">
      <c r="A183" s="61"/>
      <c r="B183" s="61"/>
      <c r="C183" s="56"/>
      <c r="D183" s="55"/>
      <c r="E183" s="57"/>
      <c r="F183" s="56"/>
      <c r="G183" s="58"/>
      <c r="H183" s="55"/>
      <c r="I183" s="55"/>
      <c r="J183" s="55"/>
      <c r="K183" s="59"/>
      <c r="L183" s="60"/>
      <c r="M183" s="60"/>
      <c r="N183" s="61"/>
    </row>
    <row r="184" customFormat="false" ht="12.75" hidden="false" customHeight="false" outlineLevel="0" collapsed="false">
      <c r="A184" s="61"/>
      <c r="B184" s="61"/>
      <c r="C184" s="56"/>
      <c r="D184" s="55"/>
      <c r="E184" s="57"/>
      <c r="F184" s="56"/>
      <c r="G184" s="58"/>
      <c r="H184" s="55"/>
      <c r="I184" s="55"/>
      <c r="J184" s="55"/>
      <c r="K184" s="59"/>
      <c r="L184" s="60"/>
      <c r="M184" s="60"/>
      <c r="N184" s="61"/>
    </row>
    <row r="185" customFormat="false" ht="12.75" hidden="false" customHeight="false" outlineLevel="0" collapsed="false">
      <c r="A185" s="61"/>
      <c r="B185" s="61"/>
      <c r="C185" s="56"/>
      <c r="D185" s="55"/>
      <c r="E185" s="57"/>
      <c r="F185" s="56"/>
      <c r="G185" s="58"/>
      <c r="H185" s="55"/>
      <c r="I185" s="55"/>
      <c r="J185" s="55"/>
      <c r="K185" s="59"/>
      <c r="L185" s="60"/>
      <c r="M185" s="60"/>
      <c r="N185" s="61"/>
    </row>
    <row r="186" customFormat="false" ht="12.75" hidden="false" customHeight="false" outlineLevel="0" collapsed="false">
      <c r="A186" s="61"/>
      <c r="B186" s="61"/>
      <c r="C186" s="56"/>
      <c r="D186" s="55"/>
      <c r="E186" s="57"/>
      <c r="F186" s="56"/>
      <c r="G186" s="58"/>
      <c r="H186" s="55"/>
      <c r="I186" s="55"/>
      <c r="J186" s="55"/>
      <c r="K186" s="59"/>
      <c r="L186" s="60"/>
      <c r="M186" s="60"/>
      <c r="N186" s="61"/>
    </row>
    <row r="187" customFormat="false" ht="12.75" hidden="false" customHeight="false" outlineLevel="0" collapsed="false">
      <c r="A187" s="61"/>
      <c r="B187" s="61"/>
      <c r="C187" s="56"/>
      <c r="D187" s="55"/>
      <c r="E187" s="57"/>
      <c r="F187" s="56"/>
      <c r="G187" s="58"/>
      <c r="H187" s="55"/>
      <c r="I187" s="55"/>
      <c r="J187" s="55"/>
      <c r="K187" s="59"/>
      <c r="L187" s="60"/>
      <c r="M187" s="60"/>
      <c r="N187" s="61"/>
    </row>
    <row r="188" customFormat="false" ht="12.75" hidden="false" customHeight="false" outlineLevel="0" collapsed="false">
      <c r="A188" s="61"/>
      <c r="B188" s="61"/>
      <c r="C188" s="56"/>
      <c r="D188" s="55"/>
      <c r="E188" s="57"/>
      <c r="F188" s="56"/>
      <c r="G188" s="58"/>
      <c r="H188" s="55"/>
      <c r="I188" s="55"/>
      <c r="J188" s="55"/>
      <c r="K188" s="59"/>
      <c r="L188" s="60"/>
      <c r="M188" s="60"/>
      <c r="N188" s="61"/>
    </row>
    <row r="189" customFormat="false" ht="12.75" hidden="false" customHeight="false" outlineLevel="0" collapsed="false">
      <c r="A189" s="61"/>
      <c r="B189" s="61"/>
      <c r="C189" s="56"/>
      <c r="D189" s="55"/>
      <c r="E189" s="57"/>
      <c r="F189" s="56"/>
      <c r="G189" s="58"/>
      <c r="H189" s="55"/>
      <c r="I189" s="55"/>
      <c r="J189" s="55"/>
      <c r="K189" s="59"/>
      <c r="L189" s="60"/>
      <c r="M189" s="60"/>
      <c r="N189" s="61"/>
    </row>
    <row r="190" customFormat="false" ht="12.75" hidden="false" customHeight="false" outlineLevel="0" collapsed="false">
      <c r="A190" s="61"/>
      <c r="B190" s="61"/>
      <c r="C190" s="56"/>
      <c r="D190" s="55"/>
      <c r="E190" s="57"/>
      <c r="F190" s="56"/>
      <c r="G190" s="58"/>
      <c r="H190" s="55"/>
      <c r="I190" s="55"/>
      <c r="J190" s="55"/>
      <c r="K190" s="59"/>
      <c r="L190" s="60"/>
      <c r="M190" s="60"/>
      <c r="N190" s="61"/>
    </row>
    <row r="191" customFormat="false" ht="12.75" hidden="false" customHeight="false" outlineLevel="0" collapsed="false">
      <c r="A191" s="61"/>
      <c r="B191" s="61"/>
      <c r="C191" s="56"/>
      <c r="D191" s="55"/>
      <c r="E191" s="57"/>
      <c r="F191" s="56"/>
      <c r="G191" s="58"/>
      <c r="H191" s="55"/>
      <c r="I191" s="55"/>
      <c r="J191" s="55"/>
      <c r="K191" s="59"/>
      <c r="L191" s="60"/>
      <c r="M191" s="60"/>
      <c r="N191" s="61"/>
    </row>
    <row r="192" customFormat="false" ht="12.75" hidden="false" customHeight="false" outlineLevel="0" collapsed="false">
      <c r="A192" s="61"/>
      <c r="B192" s="61"/>
      <c r="C192" s="56"/>
      <c r="D192" s="55"/>
      <c r="E192" s="57"/>
      <c r="F192" s="56"/>
      <c r="G192" s="58"/>
      <c r="H192" s="55"/>
      <c r="I192" s="55"/>
      <c r="J192" s="55"/>
      <c r="K192" s="59"/>
      <c r="L192" s="60"/>
      <c r="M192" s="60"/>
      <c r="N192" s="61"/>
    </row>
    <row r="193" customFormat="false" ht="12.75" hidden="false" customHeight="false" outlineLevel="0" collapsed="false">
      <c r="A193" s="61"/>
      <c r="B193" s="61"/>
      <c r="C193" s="56"/>
      <c r="D193" s="55"/>
      <c r="E193" s="57"/>
      <c r="F193" s="56"/>
      <c r="G193" s="58"/>
      <c r="H193" s="55"/>
      <c r="I193" s="55"/>
      <c r="J193" s="55"/>
      <c r="K193" s="59"/>
      <c r="L193" s="60"/>
      <c r="M193" s="60"/>
      <c r="N193" s="61"/>
    </row>
    <row r="194" customFormat="false" ht="12.75" hidden="false" customHeight="false" outlineLevel="0" collapsed="false">
      <c r="A194" s="61"/>
      <c r="B194" s="61"/>
      <c r="C194" s="56"/>
      <c r="D194" s="55"/>
      <c r="E194" s="57"/>
      <c r="F194" s="56"/>
      <c r="G194" s="58"/>
      <c r="H194" s="55"/>
      <c r="I194" s="55"/>
      <c r="J194" s="55"/>
      <c r="K194" s="59"/>
      <c r="L194" s="60"/>
      <c r="M194" s="60"/>
      <c r="N194" s="61"/>
    </row>
    <row r="195" customFormat="false" ht="12.75" hidden="false" customHeight="false" outlineLevel="0" collapsed="false">
      <c r="A195" s="61"/>
      <c r="B195" s="61"/>
      <c r="C195" s="56"/>
      <c r="D195" s="55"/>
      <c r="E195" s="57"/>
      <c r="F195" s="56"/>
      <c r="G195" s="58"/>
      <c r="H195" s="55"/>
      <c r="I195" s="55"/>
      <c r="J195" s="55"/>
      <c r="K195" s="59"/>
      <c r="L195" s="60"/>
      <c r="M195" s="60"/>
      <c r="N195" s="61"/>
    </row>
    <row r="196" customFormat="false" ht="12.75" hidden="false" customHeight="false" outlineLevel="0" collapsed="false">
      <c r="A196" s="61"/>
      <c r="B196" s="61"/>
      <c r="C196" s="56"/>
      <c r="D196" s="55"/>
      <c r="E196" s="57"/>
      <c r="F196" s="56"/>
      <c r="G196" s="58"/>
      <c r="H196" s="55"/>
      <c r="I196" s="55"/>
      <c r="J196" s="55"/>
      <c r="K196" s="59"/>
      <c r="L196" s="60"/>
      <c r="M196" s="60"/>
      <c r="N196" s="61"/>
    </row>
    <row r="197" customFormat="false" ht="12.75" hidden="false" customHeight="false" outlineLevel="0" collapsed="false">
      <c r="A197" s="61"/>
      <c r="B197" s="61"/>
      <c r="C197" s="56"/>
      <c r="D197" s="55"/>
      <c r="E197" s="57"/>
      <c r="F197" s="56"/>
      <c r="G197" s="58"/>
      <c r="H197" s="55"/>
      <c r="I197" s="55"/>
      <c r="J197" s="55"/>
      <c r="K197" s="59"/>
      <c r="L197" s="60"/>
      <c r="M197" s="60"/>
      <c r="N197" s="61"/>
    </row>
    <row r="198" customFormat="false" ht="12.75" hidden="false" customHeight="false" outlineLevel="0" collapsed="false">
      <c r="A198" s="61"/>
      <c r="B198" s="61"/>
      <c r="C198" s="56"/>
      <c r="D198" s="55"/>
      <c r="E198" s="57"/>
      <c r="F198" s="56"/>
      <c r="G198" s="58"/>
      <c r="H198" s="55"/>
      <c r="I198" s="55"/>
      <c r="J198" s="55"/>
      <c r="K198" s="59"/>
      <c r="L198" s="60"/>
      <c r="M198" s="60"/>
      <c r="N198" s="61"/>
    </row>
    <row r="199" customFormat="false" ht="12.75" hidden="false" customHeight="false" outlineLevel="0" collapsed="false">
      <c r="A199" s="61"/>
      <c r="B199" s="61"/>
      <c r="C199" s="56"/>
      <c r="D199" s="55"/>
      <c r="E199" s="57"/>
      <c r="F199" s="56"/>
      <c r="G199" s="58"/>
      <c r="H199" s="55"/>
      <c r="I199" s="55"/>
      <c r="J199" s="55"/>
      <c r="K199" s="59"/>
      <c r="L199" s="60"/>
      <c r="M199" s="60"/>
      <c r="N199" s="61"/>
    </row>
    <row r="200" customFormat="false" ht="12.75" hidden="false" customHeight="false" outlineLevel="0" collapsed="false">
      <c r="A200" s="61"/>
      <c r="B200" s="61"/>
      <c r="C200" s="56"/>
      <c r="D200" s="55"/>
      <c r="E200" s="57"/>
      <c r="F200" s="56"/>
      <c r="G200" s="58"/>
      <c r="H200" s="55"/>
      <c r="I200" s="55"/>
      <c r="J200" s="55"/>
      <c r="K200" s="59"/>
      <c r="L200" s="60"/>
      <c r="M200" s="60"/>
      <c r="N200" s="61"/>
    </row>
    <row r="201" customFormat="false" ht="12.75" hidden="false" customHeight="false" outlineLevel="0" collapsed="false">
      <c r="A201" s="61"/>
      <c r="B201" s="61"/>
      <c r="C201" s="56"/>
      <c r="D201" s="55"/>
      <c r="E201" s="57"/>
      <c r="F201" s="56"/>
      <c r="G201" s="58"/>
      <c r="H201" s="55"/>
      <c r="I201" s="55"/>
      <c r="J201" s="55"/>
      <c r="K201" s="59"/>
      <c r="L201" s="60"/>
      <c r="M201" s="60"/>
      <c r="N201" s="61"/>
    </row>
    <row r="202" customFormat="false" ht="12.75" hidden="false" customHeight="false" outlineLevel="0" collapsed="false">
      <c r="A202" s="61"/>
      <c r="B202" s="61"/>
      <c r="C202" s="56"/>
      <c r="D202" s="55"/>
      <c r="E202" s="57"/>
      <c r="F202" s="56"/>
      <c r="G202" s="58"/>
      <c r="H202" s="55"/>
      <c r="I202" s="55"/>
      <c r="J202" s="55"/>
      <c r="K202" s="59"/>
      <c r="L202" s="60"/>
      <c r="M202" s="60"/>
      <c r="N202" s="61"/>
    </row>
    <row r="203" customFormat="false" ht="12.75" hidden="false" customHeight="false" outlineLevel="0" collapsed="false">
      <c r="A203" s="61"/>
      <c r="B203" s="61"/>
      <c r="C203" s="56"/>
      <c r="D203" s="55"/>
      <c r="E203" s="57"/>
      <c r="F203" s="56"/>
      <c r="G203" s="58"/>
      <c r="H203" s="55"/>
      <c r="I203" s="55"/>
      <c r="J203" s="55"/>
      <c r="K203" s="59"/>
      <c r="L203" s="60"/>
      <c r="M203" s="60"/>
      <c r="N203" s="61"/>
    </row>
    <row r="204" customFormat="false" ht="12.75" hidden="false" customHeight="false" outlineLevel="0" collapsed="false">
      <c r="A204" s="61"/>
      <c r="B204" s="61"/>
      <c r="C204" s="56"/>
      <c r="D204" s="55"/>
      <c r="E204" s="57"/>
      <c r="F204" s="56"/>
      <c r="G204" s="58"/>
      <c r="H204" s="55"/>
      <c r="I204" s="55"/>
      <c r="J204" s="55"/>
      <c r="K204" s="59"/>
      <c r="L204" s="60"/>
      <c r="M204" s="60"/>
      <c r="N204" s="61"/>
    </row>
    <row r="205" customFormat="false" ht="12.75" hidden="false" customHeight="false" outlineLevel="0" collapsed="false">
      <c r="A205" s="61"/>
      <c r="B205" s="61"/>
      <c r="C205" s="56"/>
      <c r="D205" s="55"/>
      <c r="E205" s="57"/>
      <c r="F205" s="56"/>
      <c r="G205" s="58"/>
      <c r="H205" s="55"/>
      <c r="I205" s="55"/>
      <c r="J205" s="55"/>
      <c r="K205" s="59"/>
      <c r="L205" s="60"/>
      <c r="M205" s="60"/>
      <c r="N205" s="61"/>
    </row>
    <row r="206" customFormat="false" ht="12.75" hidden="false" customHeight="false" outlineLevel="0" collapsed="false">
      <c r="A206" s="61"/>
      <c r="B206" s="61"/>
      <c r="C206" s="56"/>
      <c r="D206" s="55"/>
      <c r="E206" s="57"/>
      <c r="F206" s="56"/>
      <c r="G206" s="58"/>
      <c r="H206" s="55"/>
      <c r="I206" s="55"/>
      <c r="J206" s="55"/>
      <c r="K206" s="59"/>
      <c r="L206" s="60"/>
      <c r="M206" s="60"/>
      <c r="N206" s="61"/>
    </row>
    <row r="207" customFormat="false" ht="12.75" hidden="false" customHeight="false" outlineLevel="0" collapsed="false">
      <c r="A207" s="61"/>
      <c r="B207" s="61"/>
      <c r="C207" s="56"/>
      <c r="D207" s="55"/>
      <c r="E207" s="57"/>
      <c r="F207" s="56"/>
      <c r="G207" s="58"/>
      <c r="H207" s="55"/>
      <c r="I207" s="55"/>
      <c r="J207" s="55"/>
      <c r="K207" s="59"/>
      <c r="L207" s="60"/>
      <c r="M207" s="60"/>
      <c r="N207" s="61"/>
    </row>
    <row r="208" customFormat="false" ht="12.75" hidden="false" customHeight="false" outlineLevel="0" collapsed="false">
      <c r="A208" s="61"/>
      <c r="B208" s="61"/>
      <c r="C208" s="56"/>
      <c r="D208" s="55"/>
      <c r="E208" s="57"/>
      <c r="F208" s="56"/>
      <c r="G208" s="58"/>
      <c r="H208" s="55"/>
      <c r="I208" s="55"/>
      <c r="J208" s="55"/>
      <c r="K208" s="59"/>
      <c r="L208" s="60"/>
      <c r="M208" s="60"/>
      <c r="N208" s="61"/>
    </row>
    <row r="209" customFormat="false" ht="12.75" hidden="false" customHeight="false" outlineLevel="0" collapsed="false">
      <c r="A209" s="61"/>
      <c r="B209" s="61"/>
      <c r="C209" s="56"/>
      <c r="D209" s="55"/>
      <c r="E209" s="57"/>
      <c r="F209" s="56"/>
      <c r="G209" s="58"/>
      <c r="H209" s="55"/>
      <c r="I209" s="55"/>
      <c r="J209" s="55"/>
      <c r="K209" s="59"/>
      <c r="L209" s="60"/>
      <c r="M209" s="60"/>
      <c r="N209" s="61"/>
    </row>
    <row r="210" customFormat="false" ht="12.75" hidden="false" customHeight="false" outlineLevel="0" collapsed="false">
      <c r="A210" s="61"/>
      <c r="B210" s="61"/>
      <c r="C210" s="56"/>
      <c r="D210" s="55"/>
      <c r="E210" s="57"/>
      <c r="F210" s="56"/>
      <c r="G210" s="58"/>
      <c r="H210" s="55"/>
      <c r="I210" s="55"/>
      <c r="J210" s="55"/>
      <c r="K210" s="59"/>
      <c r="L210" s="60"/>
      <c r="M210" s="60"/>
      <c r="N210" s="61"/>
    </row>
    <row r="211" customFormat="false" ht="12.75" hidden="false" customHeight="false" outlineLevel="0" collapsed="false">
      <c r="A211" s="61"/>
      <c r="B211" s="61"/>
      <c r="C211" s="56"/>
      <c r="D211" s="55"/>
      <c r="E211" s="57"/>
      <c r="F211" s="56"/>
      <c r="G211" s="58"/>
      <c r="H211" s="55"/>
      <c r="I211" s="55"/>
      <c r="J211" s="55"/>
      <c r="K211" s="59"/>
      <c r="L211" s="60"/>
      <c r="M211" s="60"/>
      <c r="N211" s="61"/>
    </row>
    <row r="212" customFormat="false" ht="12.75" hidden="false" customHeight="false" outlineLevel="0" collapsed="false">
      <c r="A212" s="61"/>
      <c r="B212" s="61"/>
      <c r="C212" s="56"/>
      <c r="D212" s="55"/>
      <c r="E212" s="57"/>
      <c r="F212" s="56"/>
      <c r="G212" s="58"/>
      <c r="H212" s="55"/>
      <c r="I212" s="55"/>
      <c r="J212" s="55"/>
      <c r="K212" s="59"/>
      <c r="L212" s="60"/>
      <c r="M212" s="60"/>
      <c r="N212" s="61"/>
    </row>
    <row r="213" customFormat="false" ht="12.75" hidden="false" customHeight="false" outlineLevel="0" collapsed="false">
      <c r="A213" s="61"/>
      <c r="B213" s="61"/>
      <c r="C213" s="56"/>
      <c r="D213" s="55"/>
      <c r="E213" s="57"/>
      <c r="F213" s="56"/>
      <c r="G213" s="58"/>
      <c r="H213" s="55"/>
      <c r="I213" s="55"/>
      <c r="J213" s="55"/>
      <c r="K213" s="59"/>
      <c r="L213" s="60"/>
      <c r="M213" s="60"/>
      <c r="N213" s="61"/>
    </row>
    <row r="214" customFormat="false" ht="12.75" hidden="false" customHeight="false" outlineLevel="0" collapsed="false">
      <c r="A214" s="61"/>
      <c r="B214" s="61"/>
      <c r="C214" s="56"/>
      <c r="D214" s="55"/>
      <c r="E214" s="57"/>
      <c r="F214" s="56"/>
      <c r="G214" s="58"/>
      <c r="H214" s="55"/>
      <c r="I214" s="55"/>
      <c r="J214" s="55"/>
      <c r="K214" s="59"/>
      <c r="L214" s="60"/>
      <c r="M214" s="60"/>
      <c r="N214" s="61"/>
    </row>
    <row r="215" customFormat="false" ht="12.75" hidden="false" customHeight="false" outlineLevel="0" collapsed="false">
      <c r="A215" s="61"/>
      <c r="B215" s="61"/>
      <c r="C215" s="56"/>
      <c r="D215" s="55"/>
      <c r="E215" s="57"/>
      <c r="F215" s="56"/>
      <c r="G215" s="58"/>
      <c r="H215" s="55"/>
      <c r="I215" s="55"/>
      <c r="J215" s="55"/>
      <c r="K215" s="59"/>
      <c r="L215" s="60"/>
      <c r="M215" s="60"/>
      <c r="N215" s="61"/>
    </row>
    <row r="216" customFormat="false" ht="12.75" hidden="false" customHeight="false" outlineLevel="0" collapsed="false">
      <c r="A216" s="61"/>
      <c r="B216" s="61"/>
      <c r="C216" s="56"/>
      <c r="D216" s="55"/>
      <c r="E216" s="57"/>
      <c r="F216" s="56"/>
      <c r="G216" s="58"/>
      <c r="H216" s="55"/>
      <c r="I216" s="55"/>
      <c r="J216" s="55"/>
      <c r="K216" s="59"/>
      <c r="L216" s="60"/>
      <c r="M216" s="60"/>
      <c r="N216" s="61"/>
    </row>
    <row r="217" customFormat="false" ht="12.75" hidden="false" customHeight="false" outlineLevel="0" collapsed="false">
      <c r="A217" s="61"/>
      <c r="B217" s="61"/>
      <c r="C217" s="56"/>
      <c r="D217" s="55"/>
      <c r="E217" s="57"/>
      <c r="F217" s="56"/>
      <c r="G217" s="58"/>
      <c r="H217" s="55"/>
      <c r="I217" s="55"/>
      <c r="J217" s="55"/>
      <c r="K217" s="59"/>
      <c r="L217" s="60"/>
      <c r="M217" s="60"/>
      <c r="N217" s="61"/>
    </row>
    <row r="218" customFormat="false" ht="12.75" hidden="false" customHeight="false" outlineLevel="0" collapsed="false">
      <c r="A218" s="61"/>
      <c r="B218" s="61"/>
      <c r="C218" s="56"/>
      <c r="D218" s="55"/>
      <c r="E218" s="57"/>
      <c r="F218" s="56"/>
      <c r="G218" s="58"/>
      <c r="H218" s="55"/>
      <c r="I218" s="55"/>
      <c r="J218" s="55"/>
      <c r="K218" s="59"/>
      <c r="L218" s="60"/>
      <c r="M218" s="60"/>
      <c r="N218" s="61"/>
    </row>
    <row r="219" customFormat="false" ht="12.75" hidden="false" customHeight="false" outlineLevel="0" collapsed="false">
      <c r="A219" s="61"/>
      <c r="B219" s="61"/>
      <c r="C219" s="56"/>
      <c r="D219" s="55"/>
      <c r="E219" s="57"/>
      <c r="F219" s="56"/>
      <c r="G219" s="58"/>
      <c r="H219" s="55"/>
      <c r="I219" s="55"/>
      <c r="J219" s="55"/>
      <c r="K219" s="59"/>
      <c r="L219" s="60"/>
      <c r="M219" s="60"/>
      <c r="N219" s="61"/>
    </row>
    <row r="220" customFormat="false" ht="12.75" hidden="false" customHeight="false" outlineLevel="0" collapsed="false">
      <c r="A220" s="61"/>
      <c r="B220" s="61"/>
      <c r="C220" s="56"/>
      <c r="D220" s="55"/>
      <c r="E220" s="57"/>
      <c r="F220" s="56"/>
      <c r="G220" s="58"/>
      <c r="H220" s="55"/>
      <c r="I220" s="55"/>
      <c r="J220" s="55"/>
      <c r="K220" s="59"/>
      <c r="L220" s="60"/>
      <c r="M220" s="60"/>
      <c r="N220" s="61"/>
    </row>
    <row r="221" customFormat="false" ht="12.75" hidden="false" customHeight="false" outlineLevel="0" collapsed="false">
      <c r="A221" s="61"/>
      <c r="B221" s="61"/>
      <c r="C221" s="56"/>
      <c r="D221" s="55"/>
      <c r="E221" s="57"/>
      <c r="F221" s="56"/>
      <c r="G221" s="58"/>
      <c r="H221" s="55"/>
      <c r="I221" s="55"/>
      <c r="J221" s="55"/>
      <c r="K221" s="59"/>
      <c r="L221" s="60"/>
      <c r="M221" s="60"/>
      <c r="N221" s="61"/>
    </row>
    <row r="222" customFormat="false" ht="12.75" hidden="false" customHeight="false" outlineLevel="0" collapsed="false">
      <c r="A222" s="61"/>
      <c r="B222" s="61"/>
      <c r="C222" s="56"/>
      <c r="D222" s="55"/>
      <c r="E222" s="57"/>
      <c r="F222" s="56"/>
      <c r="G222" s="58"/>
      <c r="H222" s="55"/>
      <c r="I222" s="55"/>
      <c r="J222" s="55"/>
      <c r="K222" s="59"/>
      <c r="L222" s="60"/>
      <c r="M222" s="60"/>
      <c r="N222" s="61"/>
    </row>
    <row r="223" customFormat="false" ht="12.75" hidden="false" customHeight="false" outlineLevel="0" collapsed="false">
      <c r="A223" s="61"/>
      <c r="B223" s="61"/>
      <c r="C223" s="56"/>
      <c r="D223" s="55"/>
      <c r="E223" s="57"/>
      <c r="F223" s="56"/>
      <c r="G223" s="58"/>
      <c r="H223" s="55"/>
      <c r="I223" s="55"/>
      <c r="J223" s="55"/>
      <c r="K223" s="59"/>
      <c r="L223" s="60"/>
      <c r="M223" s="60"/>
      <c r="N223" s="61"/>
    </row>
    <row r="224" customFormat="false" ht="12.75" hidden="false" customHeight="false" outlineLevel="0" collapsed="false">
      <c r="A224" s="61"/>
      <c r="B224" s="61"/>
      <c r="C224" s="56"/>
      <c r="D224" s="55"/>
      <c r="E224" s="57"/>
      <c r="F224" s="56"/>
      <c r="G224" s="58"/>
      <c r="H224" s="55"/>
      <c r="I224" s="55"/>
      <c r="J224" s="55"/>
      <c r="K224" s="59"/>
      <c r="L224" s="60"/>
      <c r="M224" s="60"/>
      <c r="N224" s="61"/>
    </row>
    <row r="225" customFormat="false" ht="12.75" hidden="false" customHeight="false" outlineLevel="0" collapsed="false">
      <c r="A225" s="61"/>
      <c r="B225" s="61"/>
      <c r="C225" s="56"/>
      <c r="D225" s="55"/>
      <c r="E225" s="57"/>
      <c r="F225" s="56"/>
      <c r="G225" s="58"/>
      <c r="H225" s="55"/>
      <c r="I225" s="55"/>
      <c r="J225" s="55"/>
      <c r="K225" s="59"/>
      <c r="L225" s="60"/>
      <c r="M225" s="60"/>
      <c r="N225" s="61"/>
    </row>
    <row r="226" customFormat="false" ht="12.75" hidden="false" customHeight="false" outlineLevel="0" collapsed="false">
      <c r="A226" s="61"/>
      <c r="B226" s="61"/>
      <c r="C226" s="56"/>
      <c r="D226" s="55"/>
      <c r="E226" s="57"/>
      <c r="F226" s="56"/>
      <c r="G226" s="58"/>
      <c r="H226" s="55"/>
      <c r="I226" s="55"/>
      <c r="J226" s="55"/>
      <c r="K226" s="59"/>
      <c r="L226" s="60"/>
      <c r="M226" s="60"/>
      <c r="N226" s="61"/>
    </row>
    <row r="227" customFormat="false" ht="12.75" hidden="false" customHeight="false" outlineLevel="0" collapsed="false">
      <c r="A227" s="61"/>
      <c r="B227" s="61"/>
      <c r="C227" s="56"/>
      <c r="D227" s="55"/>
      <c r="E227" s="57"/>
      <c r="F227" s="56"/>
      <c r="G227" s="58"/>
      <c r="H227" s="55"/>
      <c r="I227" s="55"/>
      <c r="J227" s="55"/>
      <c r="K227" s="59"/>
      <c r="L227" s="60"/>
      <c r="M227" s="60"/>
      <c r="N227" s="61"/>
    </row>
    <row r="228" customFormat="false" ht="12.75" hidden="false" customHeight="false" outlineLevel="0" collapsed="false">
      <c r="A228" s="61"/>
      <c r="B228" s="61"/>
      <c r="C228" s="56"/>
      <c r="D228" s="55"/>
      <c r="E228" s="57"/>
      <c r="F228" s="56"/>
      <c r="G228" s="58"/>
      <c r="H228" s="55"/>
      <c r="I228" s="55"/>
      <c r="J228" s="55"/>
      <c r="K228" s="59"/>
      <c r="L228" s="60"/>
      <c r="M228" s="60"/>
      <c r="N228" s="61"/>
    </row>
    <row r="229" customFormat="false" ht="12.75" hidden="false" customHeight="false" outlineLevel="0" collapsed="false">
      <c r="A229" s="61"/>
      <c r="B229" s="61"/>
      <c r="C229" s="56"/>
      <c r="D229" s="55"/>
      <c r="E229" s="57"/>
      <c r="F229" s="56"/>
      <c r="G229" s="58"/>
      <c r="H229" s="55"/>
      <c r="I229" s="55"/>
      <c r="J229" s="55"/>
      <c r="K229" s="59"/>
      <c r="L229" s="60"/>
      <c r="M229" s="60"/>
      <c r="N229" s="61"/>
    </row>
    <row r="230" customFormat="false" ht="12.75" hidden="false" customHeight="false" outlineLevel="0" collapsed="false">
      <c r="A230" s="61"/>
      <c r="B230" s="61"/>
      <c r="C230" s="56"/>
      <c r="D230" s="55"/>
      <c r="E230" s="57"/>
      <c r="F230" s="56"/>
      <c r="G230" s="58"/>
      <c r="H230" s="55"/>
      <c r="I230" s="55"/>
      <c r="J230" s="55"/>
      <c r="K230" s="59"/>
      <c r="L230" s="60"/>
      <c r="M230" s="60"/>
      <c r="N230" s="61"/>
    </row>
    <row r="231" customFormat="false" ht="12.75" hidden="false" customHeight="false" outlineLevel="0" collapsed="false">
      <c r="A231" s="61"/>
      <c r="B231" s="61"/>
      <c r="C231" s="56"/>
      <c r="D231" s="55"/>
      <c r="E231" s="57"/>
      <c r="F231" s="56"/>
      <c r="G231" s="58"/>
      <c r="H231" s="55"/>
      <c r="I231" s="55"/>
      <c r="J231" s="55"/>
      <c r="K231" s="59"/>
      <c r="L231" s="60"/>
      <c r="M231" s="60"/>
      <c r="N231" s="61"/>
    </row>
    <row r="232" customFormat="false" ht="12.75" hidden="false" customHeight="false" outlineLevel="0" collapsed="false">
      <c r="A232" s="61"/>
      <c r="B232" s="61"/>
      <c r="C232" s="56"/>
      <c r="D232" s="55"/>
      <c r="E232" s="57"/>
      <c r="F232" s="56"/>
      <c r="G232" s="58"/>
      <c r="H232" s="55"/>
      <c r="I232" s="55"/>
      <c r="J232" s="55"/>
      <c r="K232" s="59"/>
      <c r="L232" s="60"/>
      <c r="M232" s="60"/>
      <c r="N232" s="61"/>
    </row>
    <row r="233" customFormat="false" ht="12.75" hidden="false" customHeight="false" outlineLevel="0" collapsed="false">
      <c r="A233" s="61"/>
      <c r="B233" s="61"/>
      <c r="C233" s="56"/>
      <c r="D233" s="55"/>
      <c r="E233" s="57"/>
      <c r="F233" s="56"/>
      <c r="G233" s="58"/>
      <c r="H233" s="55"/>
      <c r="I233" s="55"/>
      <c r="J233" s="55"/>
      <c r="K233" s="59"/>
      <c r="L233" s="60"/>
      <c r="M233" s="60"/>
      <c r="N233" s="61"/>
    </row>
    <row r="234" customFormat="false" ht="12.75" hidden="false" customHeight="false" outlineLevel="0" collapsed="false">
      <c r="A234" s="61"/>
      <c r="B234" s="61"/>
      <c r="C234" s="56"/>
      <c r="D234" s="55"/>
      <c r="E234" s="57"/>
      <c r="F234" s="56"/>
      <c r="G234" s="58"/>
      <c r="H234" s="55"/>
      <c r="I234" s="55"/>
      <c r="J234" s="55"/>
      <c r="K234" s="59"/>
      <c r="L234" s="60"/>
      <c r="M234" s="60"/>
      <c r="N234" s="61"/>
    </row>
    <row r="235" customFormat="false" ht="12.75" hidden="false" customHeight="false" outlineLevel="0" collapsed="false">
      <c r="A235" s="61"/>
      <c r="B235" s="61"/>
      <c r="C235" s="56"/>
      <c r="D235" s="55"/>
      <c r="E235" s="57"/>
      <c r="F235" s="56"/>
      <c r="G235" s="58"/>
      <c r="H235" s="55"/>
      <c r="I235" s="55"/>
      <c r="J235" s="55"/>
      <c r="K235" s="59"/>
      <c r="L235" s="60"/>
      <c r="M235" s="60"/>
      <c r="N235" s="61"/>
    </row>
    <row r="236" customFormat="false" ht="12.75" hidden="false" customHeight="false" outlineLevel="0" collapsed="false">
      <c r="A236" s="61"/>
      <c r="B236" s="61"/>
      <c r="C236" s="56"/>
      <c r="D236" s="55"/>
      <c r="E236" s="57"/>
      <c r="F236" s="56"/>
      <c r="G236" s="58"/>
      <c r="H236" s="55"/>
      <c r="I236" s="55"/>
      <c r="J236" s="55"/>
      <c r="K236" s="59"/>
      <c r="L236" s="60"/>
      <c r="M236" s="60"/>
      <c r="N236" s="61"/>
    </row>
    <row r="237" customFormat="false" ht="12.75" hidden="false" customHeight="false" outlineLevel="0" collapsed="false">
      <c r="A237" s="61"/>
      <c r="B237" s="61"/>
      <c r="C237" s="56"/>
      <c r="D237" s="55"/>
      <c r="E237" s="57"/>
      <c r="F237" s="56"/>
      <c r="G237" s="58"/>
      <c r="H237" s="55"/>
      <c r="I237" s="55"/>
      <c r="J237" s="55"/>
      <c r="K237" s="59"/>
      <c r="L237" s="60"/>
      <c r="M237" s="60"/>
      <c r="N237" s="61"/>
    </row>
    <row r="238" customFormat="false" ht="12.75" hidden="false" customHeight="false" outlineLevel="0" collapsed="false">
      <c r="A238" s="61"/>
      <c r="B238" s="61"/>
      <c r="C238" s="56"/>
      <c r="D238" s="55"/>
      <c r="E238" s="57"/>
      <c r="F238" s="56"/>
      <c r="G238" s="58"/>
      <c r="H238" s="55"/>
      <c r="I238" s="55"/>
      <c r="J238" s="55"/>
      <c r="K238" s="59"/>
      <c r="L238" s="60"/>
      <c r="M238" s="60"/>
      <c r="N238" s="61"/>
    </row>
    <row r="239" customFormat="false" ht="12.75" hidden="false" customHeight="false" outlineLevel="0" collapsed="false">
      <c r="A239" s="61"/>
      <c r="B239" s="61"/>
      <c r="C239" s="56"/>
      <c r="D239" s="55"/>
      <c r="E239" s="57"/>
      <c r="F239" s="56"/>
      <c r="G239" s="58"/>
      <c r="H239" s="55"/>
      <c r="I239" s="55"/>
      <c r="J239" s="55"/>
      <c r="K239" s="59"/>
      <c r="L239" s="60"/>
      <c r="M239" s="60"/>
      <c r="N239" s="61"/>
    </row>
    <row r="240" customFormat="false" ht="12.75" hidden="false" customHeight="false" outlineLevel="0" collapsed="false">
      <c r="A240" s="61"/>
      <c r="B240" s="61"/>
      <c r="C240" s="56"/>
      <c r="D240" s="55"/>
      <c r="E240" s="57"/>
      <c r="F240" s="56"/>
      <c r="G240" s="58"/>
      <c r="H240" s="55"/>
      <c r="I240" s="55"/>
      <c r="J240" s="55"/>
      <c r="K240" s="59"/>
      <c r="L240" s="60"/>
      <c r="M240" s="60"/>
      <c r="N240" s="61"/>
    </row>
    <row r="241" customFormat="false" ht="12.75" hidden="false" customHeight="false" outlineLevel="0" collapsed="false">
      <c r="A241" s="61"/>
      <c r="B241" s="61"/>
      <c r="C241" s="56"/>
      <c r="D241" s="55"/>
      <c r="E241" s="57"/>
      <c r="F241" s="56"/>
      <c r="G241" s="58"/>
      <c r="H241" s="55"/>
      <c r="I241" s="55"/>
      <c r="J241" s="55"/>
      <c r="K241" s="59"/>
      <c r="L241" s="60"/>
      <c r="M241" s="60"/>
      <c r="N241" s="61"/>
    </row>
    <row r="242" customFormat="false" ht="12.75" hidden="false" customHeight="false" outlineLevel="0" collapsed="false">
      <c r="A242" s="61"/>
      <c r="B242" s="61"/>
      <c r="C242" s="56"/>
      <c r="D242" s="55"/>
      <c r="E242" s="57"/>
      <c r="F242" s="56"/>
      <c r="G242" s="58"/>
      <c r="H242" s="55"/>
      <c r="I242" s="55"/>
      <c r="J242" s="55"/>
      <c r="K242" s="59"/>
      <c r="L242" s="60"/>
      <c r="M242" s="60"/>
      <c r="N242" s="61"/>
    </row>
    <row r="243" customFormat="false" ht="12.75" hidden="false" customHeight="false" outlineLevel="0" collapsed="false">
      <c r="A243" s="61"/>
      <c r="B243" s="61"/>
      <c r="C243" s="56"/>
      <c r="D243" s="55"/>
      <c r="E243" s="57"/>
      <c r="F243" s="56"/>
      <c r="G243" s="58"/>
      <c r="H243" s="55"/>
      <c r="I243" s="55"/>
      <c r="J243" s="55"/>
      <c r="K243" s="59"/>
      <c r="L243" s="60"/>
      <c r="M243" s="60"/>
      <c r="N243" s="61"/>
    </row>
    <row r="244" customFormat="false" ht="12.75" hidden="false" customHeight="false" outlineLevel="0" collapsed="false">
      <c r="A244" s="61"/>
      <c r="B244" s="61"/>
      <c r="C244" s="56"/>
      <c r="D244" s="55"/>
      <c r="E244" s="57"/>
      <c r="F244" s="56"/>
      <c r="G244" s="58"/>
      <c r="H244" s="55"/>
      <c r="I244" s="55"/>
      <c r="J244" s="55"/>
      <c r="K244" s="59"/>
      <c r="L244" s="60"/>
      <c r="M244" s="60"/>
      <c r="N244" s="61"/>
    </row>
    <row r="245" customFormat="false" ht="12.75" hidden="false" customHeight="false" outlineLevel="0" collapsed="false">
      <c r="A245" s="61"/>
      <c r="B245" s="61"/>
      <c r="C245" s="56"/>
      <c r="D245" s="55"/>
      <c r="E245" s="57"/>
      <c r="F245" s="56"/>
      <c r="G245" s="58"/>
      <c r="H245" s="55"/>
      <c r="I245" s="55"/>
      <c r="J245" s="55"/>
      <c r="K245" s="59"/>
      <c r="L245" s="60"/>
      <c r="M245" s="60"/>
      <c r="N245" s="61"/>
    </row>
    <row r="246" customFormat="false" ht="12.75" hidden="false" customHeight="false" outlineLevel="0" collapsed="false">
      <c r="A246" s="61"/>
      <c r="B246" s="61"/>
      <c r="C246" s="56"/>
      <c r="D246" s="55"/>
      <c r="E246" s="57"/>
      <c r="F246" s="56"/>
      <c r="G246" s="58"/>
      <c r="H246" s="55"/>
      <c r="I246" s="55"/>
      <c r="J246" s="55"/>
      <c r="K246" s="59"/>
      <c r="L246" s="60"/>
      <c r="M246" s="60"/>
      <c r="N246" s="61"/>
    </row>
    <row r="247" customFormat="false" ht="12.75" hidden="false" customHeight="false" outlineLevel="0" collapsed="false">
      <c r="A247" s="61"/>
      <c r="B247" s="61"/>
      <c r="C247" s="56"/>
      <c r="D247" s="55"/>
      <c r="E247" s="57"/>
      <c r="F247" s="56"/>
      <c r="G247" s="58"/>
      <c r="H247" s="55"/>
      <c r="I247" s="55"/>
      <c r="J247" s="55"/>
      <c r="K247" s="59"/>
      <c r="L247" s="60"/>
      <c r="M247" s="60"/>
      <c r="N247" s="61"/>
    </row>
    <row r="248" customFormat="false" ht="12.75" hidden="false" customHeight="false" outlineLevel="0" collapsed="false">
      <c r="A248" s="61"/>
      <c r="B248" s="61"/>
      <c r="C248" s="56"/>
      <c r="D248" s="55"/>
      <c r="E248" s="57"/>
      <c r="F248" s="56"/>
      <c r="G248" s="58"/>
      <c r="H248" s="55"/>
      <c r="I248" s="55"/>
      <c r="J248" s="55"/>
      <c r="K248" s="59"/>
      <c r="L248" s="60"/>
      <c r="M248" s="60"/>
      <c r="N248" s="61"/>
    </row>
    <row r="249" customFormat="false" ht="12.75" hidden="false" customHeight="false" outlineLevel="0" collapsed="false">
      <c r="A249" s="61"/>
      <c r="B249" s="61"/>
      <c r="C249" s="56"/>
      <c r="D249" s="55"/>
      <c r="E249" s="57"/>
      <c r="F249" s="56"/>
      <c r="G249" s="58"/>
      <c r="H249" s="55"/>
      <c r="I249" s="55"/>
      <c r="J249" s="55"/>
      <c r="K249" s="59"/>
      <c r="L249" s="60"/>
      <c r="M249" s="60"/>
      <c r="N249" s="61"/>
    </row>
    <row r="250" customFormat="false" ht="12.75" hidden="false" customHeight="false" outlineLevel="0" collapsed="false">
      <c r="A250" s="61"/>
      <c r="B250" s="61"/>
      <c r="C250" s="56"/>
      <c r="D250" s="55"/>
      <c r="E250" s="57"/>
      <c r="F250" s="56"/>
      <c r="G250" s="58"/>
      <c r="H250" s="55"/>
      <c r="I250" s="55"/>
      <c r="J250" s="55"/>
      <c r="K250" s="59"/>
      <c r="L250" s="60"/>
      <c r="M250" s="60"/>
      <c r="N250" s="61"/>
    </row>
    <row r="251" customFormat="false" ht="12.75" hidden="false" customHeight="false" outlineLevel="0" collapsed="false">
      <c r="A251" s="61"/>
      <c r="B251" s="61"/>
      <c r="C251" s="56"/>
      <c r="D251" s="55"/>
      <c r="E251" s="57"/>
      <c r="F251" s="56"/>
      <c r="G251" s="58"/>
      <c r="H251" s="55"/>
      <c r="I251" s="55"/>
      <c r="J251" s="55"/>
      <c r="K251" s="59"/>
      <c r="L251" s="60"/>
      <c r="M251" s="60"/>
      <c r="N251" s="61"/>
    </row>
    <row r="252" customFormat="false" ht="12.75" hidden="false" customHeight="false" outlineLevel="0" collapsed="false">
      <c r="A252" s="61"/>
      <c r="B252" s="61"/>
      <c r="C252" s="56"/>
      <c r="D252" s="55"/>
      <c r="E252" s="57"/>
      <c r="F252" s="56"/>
      <c r="G252" s="58"/>
      <c r="H252" s="55"/>
      <c r="I252" s="55"/>
      <c r="J252" s="55"/>
      <c r="K252" s="59"/>
      <c r="L252" s="60"/>
      <c r="M252" s="60"/>
      <c r="N252" s="61"/>
    </row>
    <row r="253" customFormat="false" ht="12.75" hidden="false" customHeight="false" outlineLevel="0" collapsed="false">
      <c r="A253" s="61"/>
      <c r="B253" s="61"/>
      <c r="C253" s="56"/>
      <c r="D253" s="55"/>
      <c r="E253" s="57"/>
      <c r="F253" s="56"/>
      <c r="G253" s="58"/>
      <c r="H253" s="55"/>
      <c r="I253" s="55"/>
      <c r="J253" s="55"/>
      <c r="K253" s="59"/>
      <c r="L253" s="60"/>
      <c r="M253" s="60"/>
      <c r="N253" s="61"/>
    </row>
    <row r="254" customFormat="false" ht="12.75" hidden="false" customHeight="false" outlineLevel="0" collapsed="false">
      <c r="A254" s="61"/>
      <c r="B254" s="61"/>
      <c r="C254" s="56"/>
      <c r="D254" s="55"/>
      <c r="E254" s="57"/>
      <c r="F254" s="56"/>
      <c r="G254" s="58"/>
      <c r="H254" s="55"/>
      <c r="I254" s="55"/>
      <c r="J254" s="55"/>
      <c r="K254" s="59"/>
      <c r="L254" s="60"/>
      <c r="M254" s="60"/>
      <c r="N254" s="61"/>
    </row>
    <row r="255" customFormat="false" ht="12.75" hidden="false" customHeight="false" outlineLevel="0" collapsed="false">
      <c r="A255" s="61"/>
      <c r="B255" s="61"/>
      <c r="C255" s="56"/>
      <c r="D255" s="55"/>
      <c r="E255" s="57"/>
      <c r="F255" s="56"/>
      <c r="G255" s="58"/>
      <c r="H255" s="55"/>
      <c r="I255" s="55"/>
      <c r="J255" s="55"/>
      <c r="K255" s="59"/>
      <c r="L255" s="60"/>
      <c r="M255" s="60"/>
      <c r="N255" s="61"/>
    </row>
    <row r="256" customFormat="false" ht="12.75" hidden="false" customHeight="false" outlineLevel="0" collapsed="false">
      <c r="A256" s="61"/>
      <c r="B256" s="61"/>
      <c r="C256" s="56"/>
      <c r="D256" s="55"/>
      <c r="E256" s="57"/>
      <c r="F256" s="56"/>
      <c r="G256" s="58"/>
      <c r="H256" s="55"/>
      <c r="I256" s="55"/>
      <c r="J256" s="55"/>
      <c r="K256" s="59"/>
      <c r="L256" s="60"/>
      <c r="M256" s="60"/>
      <c r="N256" s="61"/>
    </row>
    <row r="257" customFormat="false" ht="12.75" hidden="false" customHeight="false" outlineLevel="0" collapsed="false">
      <c r="A257" s="61"/>
      <c r="B257" s="61"/>
      <c r="C257" s="56"/>
      <c r="D257" s="55"/>
      <c r="E257" s="57"/>
      <c r="F257" s="56"/>
      <c r="G257" s="58"/>
      <c r="H257" s="55"/>
      <c r="I257" s="55"/>
      <c r="J257" s="55"/>
      <c r="K257" s="59"/>
      <c r="L257" s="60"/>
      <c r="M257" s="60"/>
      <c r="N257" s="61"/>
    </row>
    <row r="258" customFormat="false" ht="12.75" hidden="false" customHeight="false" outlineLevel="0" collapsed="false">
      <c r="A258" s="61"/>
      <c r="B258" s="61"/>
      <c r="C258" s="56"/>
      <c r="D258" s="55"/>
      <c r="E258" s="57"/>
      <c r="F258" s="56"/>
      <c r="G258" s="58"/>
      <c r="H258" s="55"/>
      <c r="I258" s="55"/>
      <c r="J258" s="55"/>
      <c r="K258" s="59"/>
      <c r="L258" s="60"/>
      <c r="M258" s="60"/>
      <c r="N258" s="61"/>
    </row>
    <row r="259" customFormat="false" ht="12.75" hidden="false" customHeight="false" outlineLevel="0" collapsed="false">
      <c r="A259" s="61"/>
      <c r="B259" s="61"/>
      <c r="C259" s="56"/>
      <c r="D259" s="55"/>
      <c r="E259" s="57"/>
      <c r="F259" s="56"/>
      <c r="G259" s="58"/>
      <c r="H259" s="55"/>
      <c r="I259" s="55"/>
      <c r="J259" s="55"/>
      <c r="K259" s="59"/>
      <c r="L259" s="60"/>
      <c r="M259" s="60"/>
      <c r="N259" s="61"/>
    </row>
    <row r="260" customFormat="false" ht="12.75" hidden="false" customHeight="false" outlineLevel="0" collapsed="false">
      <c r="A260" s="61"/>
      <c r="B260" s="61"/>
      <c r="C260" s="56"/>
      <c r="D260" s="55"/>
      <c r="E260" s="57"/>
      <c r="F260" s="56"/>
      <c r="G260" s="58"/>
      <c r="H260" s="55"/>
      <c r="I260" s="55"/>
      <c r="J260" s="55"/>
      <c r="K260" s="59"/>
      <c r="L260" s="60"/>
      <c r="M260" s="60"/>
      <c r="N260" s="61"/>
    </row>
    <row r="261" customFormat="false" ht="12.75" hidden="false" customHeight="false" outlineLevel="0" collapsed="false">
      <c r="A261" s="61"/>
      <c r="B261" s="61"/>
      <c r="C261" s="56"/>
      <c r="D261" s="55"/>
      <c r="E261" s="57"/>
      <c r="F261" s="56"/>
      <c r="G261" s="58"/>
      <c r="H261" s="55"/>
      <c r="I261" s="55"/>
      <c r="J261" s="55"/>
      <c r="K261" s="59"/>
      <c r="L261" s="60"/>
      <c r="M261" s="60"/>
      <c r="N261" s="61"/>
    </row>
    <row r="262" customFormat="false" ht="12.75" hidden="false" customHeight="false" outlineLevel="0" collapsed="false">
      <c r="A262" s="61"/>
      <c r="B262" s="61"/>
      <c r="C262" s="56"/>
      <c r="D262" s="55"/>
      <c r="E262" s="57"/>
      <c r="F262" s="56"/>
      <c r="G262" s="58"/>
      <c r="H262" s="55"/>
      <c r="I262" s="55"/>
      <c r="J262" s="55"/>
      <c r="K262" s="59"/>
      <c r="L262" s="60"/>
      <c r="M262" s="60"/>
      <c r="N262" s="61"/>
    </row>
    <row r="263" customFormat="false" ht="12.75" hidden="false" customHeight="false" outlineLevel="0" collapsed="false">
      <c r="A263" s="61"/>
      <c r="B263" s="61"/>
      <c r="C263" s="56"/>
      <c r="D263" s="55"/>
      <c r="E263" s="57"/>
      <c r="F263" s="56"/>
      <c r="G263" s="58"/>
      <c r="H263" s="55"/>
      <c r="I263" s="55"/>
      <c r="J263" s="55"/>
      <c r="K263" s="59"/>
      <c r="L263" s="60"/>
      <c r="M263" s="60"/>
      <c r="N263" s="61"/>
    </row>
    <row r="264" customFormat="false" ht="12.75" hidden="false" customHeight="false" outlineLevel="0" collapsed="false">
      <c r="A264" s="61"/>
      <c r="B264" s="61"/>
      <c r="C264" s="56"/>
      <c r="D264" s="55"/>
      <c r="E264" s="57"/>
      <c r="F264" s="56"/>
      <c r="G264" s="58"/>
      <c r="H264" s="55"/>
      <c r="I264" s="55"/>
      <c r="J264" s="55"/>
      <c r="K264" s="59"/>
      <c r="L264" s="60"/>
      <c r="M264" s="60"/>
      <c r="N264" s="61"/>
    </row>
    <row r="265" customFormat="false" ht="12.75" hidden="false" customHeight="false" outlineLevel="0" collapsed="false">
      <c r="A265" s="61"/>
      <c r="B265" s="61"/>
      <c r="C265" s="56"/>
      <c r="D265" s="55"/>
      <c r="E265" s="57"/>
      <c r="F265" s="56"/>
      <c r="G265" s="58"/>
      <c r="H265" s="55"/>
      <c r="I265" s="55"/>
      <c r="J265" s="55"/>
      <c r="K265" s="59"/>
      <c r="L265" s="60"/>
      <c r="M265" s="60"/>
      <c r="N265" s="61"/>
    </row>
    <row r="266" customFormat="false" ht="12.75" hidden="false" customHeight="false" outlineLevel="0" collapsed="false">
      <c r="A266" s="61"/>
      <c r="B266" s="61"/>
      <c r="C266" s="56"/>
      <c r="D266" s="55"/>
      <c r="E266" s="57"/>
      <c r="F266" s="56"/>
      <c r="G266" s="58"/>
      <c r="H266" s="55"/>
      <c r="I266" s="55"/>
      <c r="J266" s="55"/>
      <c r="K266" s="59"/>
      <c r="L266" s="60"/>
      <c r="M266" s="60"/>
      <c r="N266" s="61"/>
    </row>
    <row r="267" customFormat="false" ht="12.75" hidden="false" customHeight="false" outlineLevel="0" collapsed="false">
      <c r="A267" s="61"/>
      <c r="B267" s="61"/>
      <c r="C267" s="56"/>
      <c r="D267" s="55"/>
      <c r="E267" s="57"/>
      <c r="F267" s="56"/>
      <c r="G267" s="58"/>
      <c r="H267" s="55"/>
      <c r="I267" s="55"/>
      <c r="J267" s="55"/>
      <c r="K267" s="59"/>
      <c r="L267" s="60"/>
      <c r="M267" s="60"/>
      <c r="N267" s="61"/>
    </row>
    <row r="268" customFormat="false" ht="12.75" hidden="false" customHeight="false" outlineLevel="0" collapsed="false">
      <c r="A268" s="61"/>
      <c r="B268" s="61"/>
      <c r="C268" s="56"/>
      <c r="D268" s="55"/>
      <c r="E268" s="57"/>
      <c r="F268" s="56"/>
      <c r="G268" s="58"/>
      <c r="H268" s="55"/>
      <c r="I268" s="55"/>
      <c r="J268" s="55"/>
      <c r="K268" s="59"/>
      <c r="L268" s="60"/>
      <c r="M268" s="60"/>
      <c r="N268" s="61"/>
    </row>
    <row r="269" customFormat="false" ht="12.75" hidden="false" customHeight="false" outlineLevel="0" collapsed="false">
      <c r="A269" s="61"/>
      <c r="B269" s="61"/>
      <c r="C269" s="56"/>
      <c r="D269" s="55"/>
      <c r="E269" s="57"/>
      <c r="F269" s="56"/>
      <c r="G269" s="58"/>
      <c r="H269" s="55"/>
      <c r="I269" s="55"/>
      <c r="J269" s="55"/>
      <c r="K269" s="59"/>
      <c r="L269" s="60"/>
      <c r="M269" s="60"/>
      <c r="N269" s="61"/>
    </row>
    <row r="270" customFormat="false" ht="12.75" hidden="false" customHeight="false" outlineLevel="0" collapsed="false">
      <c r="A270" s="61"/>
      <c r="B270" s="61"/>
      <c r="C270" s="56"/>
      <c r="D270" s="55"/>
      <c r="E270" s="57"/>
      <c r="F270" s="56"/>
      <c r="G270" s="58"/>
      <c r="H270" s="55"/>
      <c r="I270" s="55"/>
      <c r="J270" s="55"/>
      <c r="K270" s="59"/>
      <c r="L270" s="60"/>
      <c r="M270" s="60"/>
      <c r="N270" s="61"/>
    </row>
    <row r="271" customFormat="false" ht="12.75" hidden="false" customHeight="false" outlineLevel="0" collapsed="false">
      <c r="A271" s="61"/>
      <c r="B271" s="61"/>
      <c r="C271" s="56"/>
      <c r="D271" s="55"/>
      <c r="E271" s="57"/>
      <c r="F271" s="56"/>
      <c r="G271" s="58"/>
      <c r="H271" s="55"/>
      <c r="I271" s="55"/>
      <c r="J271" s="55"/>
      <c r="K271" s="59"/>
      <c r="L271" s="60"/>
      <c r="M271" s="60"/>
      <c r="N271" s="61"/>
    </row>
    <row r="272" customFormat="false" ht="12.75" hidden="false" customHeight="false" outlineLevel="0" collapsed="false">
      <c r="A272" s="61"/>
      <c r="B272" s="61"/>
      <c r="C272" s="56"/>
      <c r="D272" s="55"/>
      <c r="E272" s="57"/>
      <c r="F272" s="56"/>
      <c r="G272" s="58"/>
      <c r="H272" s="55"/>
      <c r="I272" s="55"/>
      <c r="J272" s="55"/>
      <c r="K272" s="59"/>
      <c r="L272" s="60"/>
      <c r="M272" s="60"/>
      <c r="N272" s="61"/>
    </row>
    <row r="273" customFormat="false" ht="12.75" hidden="false" customHeight="false" outlineLevel="0" collapsed="false">
      <c r="A273" s="61"/>
      <c r="B273" s="61"/>
      <c r="C273" s="56"/>
      <c r="D273" s="55"/>
      <c r="E273" s="57"/>
      <c r="F273" s="56"/>
      <c r="G273" s="58"/>
      <c r="H273" s="55"/>
      <c r="I273" s="55"/>
      <c r="J273" s="55"/>
      <c r="K273" s="59"/>
      <c r="L273" s="60"/>
      <c r="M273" s="60"/>
      <c r="N273" s="61"/>
    </row>
    <row r="274" customFormat="false" ht="12.75" hidden="false" customHeight="false" outlineLevel="0" collapsed="false">
      <c r="A274" s="61"/>
      <c r="B274" s="61"/>
      <c r="C274" s="56"/>
      <c r="D274" s="55"/>
      <c r="E274" s="57"/>
      <c r="F274" s="56"/>
      <c r="G274" s="58"/>
      <c r="H274" s="55"/>
      <c r="I274" s="55"/>
      <c r="J274" s="55"/>
      <c r="K274" s="59"/>
      <c r="L274" s="60"/>
      <c r="M274" s="60"/>
      <c r="N274" s="61"/>
    </row>
    <row r="275" customFormat="false" ht="12.75" hidden="false" customHeight="false" outlineLevel="0" collapsed="false">
      <c r="A275" s="61"/>
      <c r="B275" s="61"/>
      <c r="C275" s="56"/>
      <c r="D275" s="55"/>
      <c r="E275" s="57"/>
      <c r="F275" s="56"/>
      <c r="G275" s="58"/>
      <c r="H275" s="55"/>
      <c r="I275" s="55"/>
      <c r="J275" s="55"/>
      <c r="K275" s="59"/>
      <c r="L275" s="60"/>
      <c r="M275" s="60"/>
      <c r="N275" s="61"/>
    </row>
    <row r="276" customFormat="false" ht="12.75" hidden="false" customHeight="false" outlineLevel="0" collapsed="false">
      <c r="A276" s="61"/>
      <c r="B276" s="61"/>
      <c r="C276" s="56"/>
      <c r="D276" s="55"/>
      <c r="E276" s="57"/>
      <c r="F276" s="56"/>
      <c r="G276" s="58"/>
      <c r="H276" s="55"/>
      <c r="I276" s="55"/>
      <c r="J276" s="55"/>
      <c r="K276" s="59"/>
      <c r="L276" s="60"/>
      <c r="M276" s="60"/>
      <c r="N276" s="61"/>
    </row>
    <row r="277" customFormat="false" ht="12.75" hidden="false" customHeight="false" outlineLevel="0" collapsed="false">
      <c r="A277" s="61"/>
      <c r="B277" s="61"/>
      <c r="C277" s="56"/>
      <c r="D277" s="55"/>
      <c r="E277" s="57"/>
      <c r="F277" s="56"/>
      <c r="G277" s="58"/>
      <c r="H277" s="55"/>
      <c r="I277" s="55"/>
      <c r="J277" s="55"/>
      <c r="K277" s="59"/>
      <c r="L277" s="60"/>
      <c r="M277" s="60"/>
      <c r="N277" s="61"/>
    </row>
    <row r="278" customFormat="false" ht="12.75" hidden="false" customHeight="false" outlineLevel="0" collapsed="false">
      <c r="A278" s="61"/>
      <c r="B278" s="61"/>
      <c r="C278" s="56"/>
      <c r="D278" s="55"/>
      <c r="E278" s="57"/>
      <c r="F278" s="56"/>
      <c r="G278" s="58"/>
      <c r="H278" s="55"/>
      <c r="I278" s="55"/>
      <c r="J278" s="55"/>
      <c r="K278" s="59"/>
      <c r="L278" s="60"/>
      <c r="M278" s="60"/>
      <c r="N278" s="61"/>
    </row>
    <row r="279" customFormat="false" ht="12.75" hidden="false" customHeight="false" outlineLevel="0" collapsed="false">
      <c r="A279" s="61"/>
      <c r="B279" s="61"/>
      <c r="C279" s="56"/>
      <c r="D279" s="55"/>
      <c r="E279" s="57"/>
      <c r="F279" s="56"/>
      <c r="G279" s="58"/>
      <c r="H279" s="55"/>
      <c r="I279" s="55"/>
      <c r="J279" s="55"/>
      <c r="K279" s="59"/>
      <c r="L279" s="60"/>
      <c r="M279" s="60"/>
      <c r="N279" s="61"/>
    </row>
    <row r="280" customFormat="false" ht="12.75" hidden="false" customHeight="false" outlineLevel="0" collapsed="false">
      <c r="A280" s="61"/>
      <c r="B280" s="61"/>
      <c r="C280" s="56"/>
      <c r="D280" s="55"/>
      <c r="E280" s="57"/>
      <c r="F280" s="56"/>
      <c r="G280" s="58"/>
      <c r="H280" s="55"/>
      <c r="I280" s="55"/>
      <c r="J280" s="55"/>
      <c r="K280" s="59"/>
      <c r="L280" s="60"/>
      <c r="M280" s="60"/>
      <c r="N280" s="61"/>
    </row>
    <row r="281" customFormat="false" ht="12.75" hidden="false" customHeight="false" outlineLevel="0" collapsed="false">
      <c r="A281" s="61"/>
      <c r="B281" s="61"/>
      <c r="C281" s="56"/>
      <c r="D281" s="55"/>
      <c r="E281" s="57"/>
      <c r="F281" s="56"/>
      <c r="G281" s="58"/>
      <c r="H281" s="55"/>
      <c r="I281" s="55"/>
      <c r="J281" s="55"/>
      <c r="K281" s="59"/>
      <c r="L281" s="60"/>
      <c r="M281" s="60"/>
      <c r="N281" s="61"/>
    </row>
    <row r="282" customFormat="false" ht="12.75" hidden="false" customHeight="false" outlineLevel="0" collapsed="false">
      <c r="A282" s="61"/>
      <c r="B282" s="61"/>
      <c r="C282" s="56"/>
      <c r="D282" s="55"/>
      <c r="E282" s="57"/>
      <c r="F282" s="56"/>
      <c r="G282" s="58"/>
      <c r="H282" s="55"/>
      <c r="I282" s="55"/>
      <c r="J282" s="55"/>
      <c r="K282" s="59"/>
      <c r="L282" s="60"/>
      <c r="M282" s="60"/>
      <c r="N282" s="61"/>
    </row>
    <row r="283" customFormat="false" ht="12.75" hidden="false" customHeight="false" outlineLevel="0" collapsed="false">
      <c r="A283" s="61"/>
      <c r="B283" s="61"/>
      <c r="C283" s="56"/>
      <c r="D283" s="55"/>
      <c r="E283" s="57"/>
      <c r="F283" s="56"/>
      <c r="G283" s="58"/>
      <c r="H283" s="55"/>
      <c r="I283" s="55"/>
      <c r="J283" s="55"/>
      <c r="K283" s="59"/>
      <c r="L283" s="60"/>
      <c r="M283" s="60"/>
      <c r="N283" s="61"/>
    </row>
    <row r="284" customFormat="false" ht="12.75" hidden="false" customHeight="false" outlineLevel="0" collapsed="false">
      <c r="A284" s="61"/>
      <c r="B284" s="61"/>
      <c r="C284" s="56"/>
      <c r="D284" s="55"/>
      <c r="E284" s="57"/>
      <c r="F284" s="56"/>
      <c r="G284" s="58"/>
      <c r="H284" s="55"/>
      <c r="I284" s="55"/>
      <c r="J284" s="55"/>
      <c r="K284" s="59"/>
      <c r="L284" s="60"/>
      <c r="M284" s="60"/>
      <c r="N284" s="61"/>
    </row>
    <row r="285" customFormat="false" ht="12.75" hidden="false" customHeight="false" outlineLevel="0" collapsed="false">
      <c r="A285" s="61"/>
      <c r="B285" s="61"/>
      <c r="C285" s="56"/>
      <c r="D285" s="55"/>
      <c r="E285" s="57"/>
      <c r="F285" s="56"/>
      <c r="G285" s="58"/>
      <c r="H285" s="55"/>
      <c r="I285" s="55"/>
      <c r="J285" s="55"/>
      <c r="K285" s="59"/>
      <c r="L285" s="60"/>
      <c r="M285" s="60"/>
      <c r="N285" s="61"/>
    </row>
    <row r="286" customFormat="false" ht="12.75" hidden="false" customHeight="false" outlineLevel="0" collapsed="false">
      <c r="A286" s="61"/>
      <c r="B286" s="61"/>
      <c r="C286" s="56"/>
      <c r="D286" s="55"/>
      <c r="E286" s="57"/>
      <c r="F286" s="56"/>
      <c r="G286" s="58"/>
      <c r="H286" s="55"/>
      <c r="I286" s="55"/>
      <c r="J286" s="55"/>
      <c r="K286" s="59"/>
      <c r="L286" s="60"/>
      <c r="M286" s="60"/>
      <c r="N286" s="61"/>
    </row>
    <row r="287" customFormat="false" ht="12.75" hidden="false" customHeight="false" outlineLevel="0" collapsed="false">
      <c r="A287" s="61"/>
      <c r="B287" s="61"/>
      <c r="C287" s="56"/>
      <c r="D287" s="55"/>
      <c r="E287" s="57"/>
      <c r="F287" s="56"/>
      <c r="G287" s="58"/>
      <c r="H287" s="55"/>
      <c r="I287" s="55"/>
      <c r="J287" s="55"/>
      <c r="K287" s="59"/>
      <c r="L287" s="60"/>
      <c r="M287" s="60"/>
      <c r="N287" s="61"/>
    </row>
    <row r="288" customFormat="false" ht="12.75" hidden="false" customHeight="false" outlineLevel="0" collapsed="false">
      <c r="A288" s="61"/>
      <c r="B288" s="61"/>
      <c r="C288" s="56"/>
      <c r="D288" s="55"/>
      <c r="E288" s="57"/>
      <c r="F288" s="56"/>
      <c r="G288" s="58"/>
      <c r="H288" s="55"/>
      <c r="I288" s="55"/>
      <c r="J288" s="55"/>
      <c r="K288" s="59"/>
      <c r="L288" s="60"/>
      <c r="M288" s="60"/>
      <c r="N288" s="61"/>
    </row>
    <row r="289" customFormat="false" ht="12.75" hidden="false" customHeight="false" outlineLevel="0" collapsed="false">
      <c r="A289" s="61"/>
      <c r="B289" s="61"/>
      <c r="C289" s="56"/>
      <c r="D289" s="55"/>
      <c r="E289" s="57"/>
      <c r="F289" s="56"/>
      <c r="G289" s="58"/>
      <c r="H289" s="55"/>
      <c r="I289" s="55"/>
      <c r="J289" s="55"/>
      <c r="K289" s="59"/>
      <c r="L289" s="60"/>
      <c r="M289" s="60"/>
      <c r="N289" s="61"/>
    </row>
    <row r="290" customFormat="false" ht="12.75" hidden="false" customHeight="false" outlineLevel="0" collapsed="false">
      <c r="A290" s="61"/>
      <c r="B290" s="61"/>
      <c r="C290" s="56"/>
      <c r="D290" s="55"/>
      <c r="E290" s="57"/>
      <c r="F290" s="56"/>
      <c r="G290" s="58"/>
      <c r="H290" s="55"/>
      <c r="I290" s="55"/>
      <c r="J290" s="55"/>
      <c r="K290" s="59"/>
      <c r="L290" s="60"/>
      <c r="M290" s="60"/>
      <c r="N290" s="61"/>
    </row>
    <row r="291" customFormat="false" ht="12.75" hidden="false" customHeight="false" outlineLevel="0" collapsed="false">
      <c r="A291" s="61"/>
      <c r="B291" s="61"/>
      <c r="C291" s="56"/>
      <c r="D291" s="55"/>
      <c r="E291" s="57"/>
      <c r="F291" s="56"/>
      <c r="G291" s="58"/>
      <c r="H291" s="55"/>
      <c r="I291" s="55"/>
      <c r="J291" s="55"/>
      <c r="K291" s="59"/>
      <c r="L291" s="60"/>
      <c r="M291" s="60"/>
      <c r="N291" s="61"/>
    </row>
    <row r="292" customFormat="false" ht="12.75" hidden="false" customHeight="false" outlineLevel="0" collapsed="false">
      <c r="A292" s="61"/>
      <c r="B292" s="61"/>
      <c r="C292" s="56"/>
      <c r="D292" s="55"/>
      <c r="E292" s="57"/>
      <c r="F292" s="56"/>
      <c r="G292" s="58"/>
      <c r="H292" s="55"/>
      <c r="I292" s="55"/>
      <c r="J292" s="55"/>
      <c r="K292" s="59"/>
      <c r="L292" s="60"/>
      <c r="M292" s="60"/>
      <c r="N292" s="61"/>
    </row>
    <row r="293" customFormat="false" ht="12.75" hidden="false" customHeight="false" outlineLevel="0" collapsed="false">
      <c r="A293" s="61"/>
      <c r="B293" s="61"/>
      <c r="C293" s="56"/>
      <c r="D293" s="55"/>
      <c r="E293" s="57"/>
      <c r="F293" s="56"/>
      <c r="G293" s="58"/>
      <c r="H293" s="55"/>
      <c r="I293" s="55"/>
      <c r="J293" s="55"/>
      <c r="K293" s="59"/>
      <c r="L293" s="60"/>
      <c r="M293" s="60"/>
      <c r="N293" s="61"/>
    </row>
    <row r="294" customFormat="false" ht="12.75" hidden="false" customHeight="false" outlineLevel="0" collapsed="false">
      <c r="A294" s="61"/>
      <c r="B294" s="61"/>
      <c r="C294" s="56"/>
      <c r="D294" s="55"/>
      <c r="E294" s="57"/>
      <c r="F294" s="56"/>
      <c r="G294" s="58"/>
      <c r="H294" s="55"/>
      <c r="I294" s="55"/>
      <c r="J294" s="55"/>
      <c r="K294" s="59"/>
      <c r="L294" s="60"/>
      <c r="M294" s="60"/>
      <c r="N294" s="61"/>
    </row>
    <row r="295" customFormat="false" ht="12.75" hidden="false" customHeight="false" outlineLevel="0" collapsed="false">
      <c r="A295" s="61"/>
      <c r="B295" s="61"/>
      <c r="C295" s="56"/>
      <c r="D295" s="55"/>
      <c r="E295" s="57"/>
      <c r="F295" s="56"/>
      <c r="G295" s="58"/>
      <c r="H295" s="55"/>
      <c r="I295" s="55"/>
      <c r="J295" s="55"/>
      <c r="K295" s="59"/>
      <c r="L295" s="60"/>
      <c r="M295" s="60"/>
      <c r="N295" s="61"/>
    </row>
    <row r="296" customFormat="false" ht="12.75" hidden="false" customHeight="false" outlineLevel="0" collapsed="false">
      <c r="A296" s="61"/>
      <c r="B296" s="61"/>
      <c r="C296" s="56"/>
      <c r="D296" s="55"/>
      <c r="E296" s="57"/>
      <c r="F296" s="56"/>
      <c r="G296" s="58"/>
      <c r="H296" s="55"/>
      <c r="I296" s="55"/>
      <c r="J296" s="55"/>
      <c r="K296" s="59"/>
      <c r="L296" s="60"/>
      <c r="M296" s="60"/>
      <c r="N296" s="61"/>
    </row>
    <row r="297" customFormat="false" ht="12.75" hidden="false" customHeight="false" outlineLevel="0" collapsed="false">
      <c r="A297" s="61"/>
      <c r="B297" s="61"/>
      <c r="C297" s="56"/>
      <c r="D297" s="55"/>
      <c r="E297" s="57"/>
      <c r="F297" s="56"/>
      <c r="G297" s="58"/>
      <c r="H297" s="55"/>
      <c r="I297" s="55"/>
      <c r="J297" s="55"/>
      <c r="K297" s="59"/>
      <c r="L297" s="60"/>
      <c r="M297" s="60"/>
      <c r="N297" s="61"/>
    </row>
    <row r="298" customFormat="false" ht="12.75" hidden="false" customHeight="false" outlineLevel="0" collapsed="false">
      <c r="A298" s="61"/>
      <c r="B298" s="61"/>
      <c r="C298" s="56"/>
      <c r="D298" s="55"/>
      <c r="E298" s="57"/>
      <c r="F298" s="56"/>
      <c r="G298" s="58"/>
      <c r="H298" s="55"/>
      <c r="I298" s="55"/>
      <c r="J298" s="55"/>
      <c r="K298" s="59"/>
      <c r="L298" s="60"/>
      <c r="M298" s="60"/>
      <c r="N298" s="61"/>
    </row>
    <row r="299" customFormat="false" ht="12.75" hidden="false" customHeight="false" outlineLevel="0" collapsed="false">
      <c r="A299" s="61"/>
      <c r="B299" s="61"/>
      <c r="C299" s="56"/>
      <c r="D299" s="55"/>
      <c r="E299" s="57"/>
      <c r="F299" s="56"/>
      <c r="G299" s="58"/>
      <c r="H299" s="55"/>
      <c r="I299" s="55"/>
      <c r="J299" s="55"/>
      <c r="K299" s="59"/>
      <c r="L299" s="60"/>
      <c r="M299" s="60"/>
      <c r="N299" s="61"/>
    </row>
    <row r="300" customFormat="false" ht="12.75" hidden="false" customHeight="false" outlineLevel="0" collapsed="false">
      <c r="A300" s="61"/>
      <c r="B300" s="61"/>
      <c r="C300" s="56"/>
      <c r="D300" s="55"/>
      <c r="E300" s="57"/>
      <c r="F300" s="56"/>
      <c r="G300" s="58"/>
      <c r="H300" s="55"/>
      <c r="I300" s="55"/>
      <c r="J300" s="55"/>
      <c r="K300" s="59"/>
      <c r="L300" s="60"/>
      <c r="M300" s="60"/>
      <c r="N300" s="61"/>
    </row>
    <row r="301" customFormat="false" ht="12.75" hidden="false" customHeight="false" outlineLevel="0" collapsed="false">
      <c r="A301" s="61"/>
      <c r="B301" s="61"/>
      <c r="C301" s="56"/>
      <c r="D301" s="55"/>
      <c r="E301" s="57"/>
      <c r="F301" s="56"/>
      <c r="G301" s="58"/>
      <c r="H301" s="55"/>
      <c r="I301" s="55"/>
      <c r="J301" s="55"/>
      <c r="K301" s="59"/>
      <c r="L301" s="60"/>
      <c r="M301" s="60"/>
      <c r="N301" s="61"/>
    </row>
    <row r="302" customFormat="false" ht="12.75" hidden="false" customHeight="false" outlineLevel="0" collapsed="false">
      <c r="A302" s="61"/>
      <c r="B302" s="61"/>
      <c r="C302" s="56"/>
      <c r="D302" s="55"/>
      <c r="E302" s="57"/>
      <c r="F302" s="56"/>
      <c r="G302" s="58"/>
      <c r="H302" s="55"/>
      <c r="I302" s="55"/>
      <c r="J302" s="55"/>
      <c r="K302" s="59"/>
      <c r="L302" s="60"/>
      <c r="M302" s="60"/>
      <c r="N302" s="61"/>
    </row>
    <row r="303" customFormat="false" ht="12.75" hidden="false" customHeight="false" outlineLevel="0" collapsed="false">
      <c r="A303" s="61"/>
      <c r="B303" s="61"/>
      <c r="C303" s="56"/>
      <c r="D303" s="55"/>
      <c r="E303" s="57"/>
      <c r="F303" s="56"/>
      <c r="G303" s="58"/>
      <c r="H303" s="55"/>
      <c r="I303" s="55"/>
      <c r="J303" s="55"/>
      <c r="K303" s="59"/>
      <c r="L303" s="60"/>
      <c r="M303" s="60"/>
      <c r="N303" s="61"/>
    </row>
    <row r="304" customFormat="false" ht="12.75" hidden="false" customHeight="false" outlineLevel="0" collapsed="false">
      <c r="A304" s="61"/>
      <c r="B304" s="61"/>
      <c r="C304" s="56"/>
      <c r="D304" s="55"/>
      <c r="E304" s="57"/>
      <c r="F304" s="56"/>
      <c r="G304" s="58"/>
      <c r="H304" s="55"/>
      <c r="I304" s="55"/>
      <c r="J304" s="55"/>
      <c r="K304" s="59"/>
      <c r="L304" s="60"/>
      <c r="M304" s="60"/>
      <c r="N304" s="61"/>
    </row>
    <row r="305" customFormat="false" ht="12.75" hidden="false" customHeight="false" outlineLevel="0" collapsed="false">
      <c r="A305" s="61"/>
      <c r="B305" s="61"/>
      <c r="C305" s="56"/>
      <c r="D305" s="55"/>
      <c r="E305" s="57"/>
      <c r="F305" s="56"/>
      <c r="G305" s="58"/>
      <c r="H305" s="55"/>
      <c r="I305" s="55"/>
      <c r="J305" s="55"/>
      <c r="K305" s="59"/>
      <c r="L305" s="60"/>
      <c r="M305" s="60"/>
      <c r="N305" s="61"/>
    </row>
    <row r="306" customFormat="false" ht="12.75" hidden="false" customHeight="false" outlineLevel="0" collapsed="false">
      <c r="A306" s="61"/>
      <c r="B306" s="61"/>
      <c r="C306" s="56"/>
      <c r="D306" s="55"/>
      <c r="E306" s="57"/>
      <c r="F306" s="56"/>
      <c r="G306" s="58"/>
      <c r="H306" s="55"/>
      <c r="I306" s="55"/>
      <c r="J306" s="55"/>
      <c r="K306" s="59"/>
      <c r="L306" s="60"/>
      <c r="M306" s="60"/>
      <c r="N306" s="61"/>
    </row>
    <row r="307" customFormat="false" ht="12.75" hidden="false" customHeight="false" outlineLevel="0" collapsed="false">
      <c r="A307" s="61"/>
      <c r="B307" s="61"/>
      <c r="C307" s="56"/>
      <c r="D307" s="55"/>
      <c r="E307" s="57"/>
      <c r="F307" s="56"/>
      <c r="G307" s="58"/>
      <c r="H307" s="55"/>
      <c r="I307" s="55"/>
      <c r="J307" s="55"/>
      <c r="K307" s="59"/>
      <c r="L307" s="60"/>
      <c r="M307" s="60"/>
      <c r="N307" s="61"/>
    </row>
    <row r="308" customFormat="false" ht="12.75" hidden="false" customHeight="false" outlineLevel="0" collapsed="false">
      <c r="A308" s="61"/>
      <c r="B308" s="61"/>
      <c r="C308" s="56"/>
      <c r="D308" s="55"/>
      <c r="E308" s="57"/>
      <c r="F308" s="56"/>
      <c r="G308" s="58"/>
      <c r="H308" s="55"/>
      <c r="I308" s="55"/>
      <c r="J308" s="55"/>
      <c r="K308" s="59"/>
      <c r="L308" s="60"/>
      <c r="M308" s="60"/>
      <c r="N308" s="61"/>
    </row>
    <row r="309" customFormat="false" ht="12.75" hidden="false" customHeight="false" outlineLevel="0" collapsed="false">
      <c r="A309" s="61"/>
      <c r="B309" s="61"/>
      <c r="C309" s="56"/>
      <c r="D309" s="55"/>
      <c r="E309" s="57"/>
      <c r="F309" s="56"/>
      <c r="G309" s="58"/>
      <c r="H309" s="55"/>
      <c r="I309" s="55"/>
      <c r="J309" s="55"/>
      <c r="K309" s="59"/>
      <c r="L309" s="60"/>
      <c r="M309" s="60"/>
      <c r="N309" s="61"/>
    </row>
    <row r="310" customFormat="false" ht="12.75" hidden="false" customHeight="false" outlineLevel="0" collapsed="false">
      <c r="A310" s="61"/>
      <c r="B310" s="61"/>
      <c r="C310" s="56"/>
      <c r="D310" s="55"/>
      <c r="E310" s="57"/>
      <c r="F310" s="56"/>
      <c r="G310" s="58"/>
      <c r="H310" s="55"/>
      <c r="I310" s="55"/>
      <c r="J310" s="55"/>
      <c r="K310" s="59"/>
      <c r="L310" s="60"/>
      <c r="M310" s="60"/>
      <c r="N310" s="61"/>
    </row>
    <row r="311" customFormat="false" ht="12.75" hidden="false" customHeight="false" outlineLevel="0" collapsed="false">
      <c r="A311" s="61"/>
      <c r="B311" s="61"/>
      <c r="C311" s="56"/>
      <c r="D311" s="55"/>
      <c r="E311" s="57"/>
      <c r="F311" s="56"/>
      <c r="G311" s="58"/>
      <c r="H311" s="55"/>
      <c r="I311" s="55"/>
      <c r="J311" s="55"/>
      <c r="K311" s="59"/>
      <c r="L311" s="60"/>
      <c r="M311" s="60"/>
      <c r="N311" s="61"/>
    </row>
    <row r="312" customFormat="false" ht="12.75" hidden="false" customHeight="false" outlineLevel="0" collapsed="false">
      <c r="A312" s="61"/>
      <c r="B312" s="61"/>
      <c r="C312" s="56"/>
      <c r="D312" s="55"/>
      <c r="E312" s="57"/>
      <c r="F312" s="56"/>
      <c r="G312" s="58"/>
      <c r="H312" s="55"/>
      <c r="I312" s="55"/>
      <c r="J312" s="55"/>
      <c r="K312" s="59"/>
      <c r="L312" s="60"/>
      <c r="M312" s="60"/>
      <c r="N312" s="61"/>
    </row>
    <row r="313" customFormat="false" ht="12.75" hidden="false" customHeight="false" outlineLevel="0" collapsed="false">
      <c r="A313" s="61"/>
      <c r="B313" s="61"/>
      <c r="C313" s="56"/>
      <c r="D313" s="55"/>
      <c r="E313" s="57"/>
      <c r="F313" s="56"/>
      <c r="G313" s="58"/>
      <c r="H313" s="55"/>
      <c r="I313" s="55"/>
      <c r="J313" s="55"/>
      <c r="K313" s="59"/>
      <c r="L313" s="60"/>
      <c r="M313" s="60"/>
      <c r="N313" s="61"/>
    </row>
    <row r="314" customFormat="false" ht="12.75" hidden="false" customHeight="false" outlineLevel="0" collapsed="false">
      <c r="A314" s="61"/>
      <c r="B314" s="61"/>
      <c r="C314" s="56"/>
      <c r="D314" s="55"/>
      <c r="E314" s="57"/>
      <c r="F314" s="56"/>
      <c r="G314" s="58"/>
      <c r="H314" s="55"/>
      <c r="I314" s="55"/>
      <c r="J314" s="55"/>
      <c r="K314" s="59"/>
      <c r="L314" s="60"/>
      <c r="M314" s="60"/>
      <c r="N314" s="61"/>
    </row>
    <row r="315" customFormat="false" ht="12.75" hidden="false" customHeight="false" outlineLevel="0" collapsed="false">
      <c r="A315" s="61"/>
      <c r="B315" s="61"/>
      <c r="C315" s="56"/>
      <c r="D315" s="55"/>
      <c r="E315" s="57"/>
      <c r="F315" s="56"/>
      <c r="G315" s="58"/>
      <c r="H315" s="55"/>
      <c r="I315" s="55"/>
      <c r="J315" s="55"/>
      <c r="K315" s="59"/>
      <c r="L315" s="60"/>
      <c r="M315" s="60"/>
      <c r="N315" s="61"/>
    </row>
    <row r="316" customFormat="false" ht="12.75" hidden="false" customHeight="false" outlineLevel="0" collapsed="false">
      <c r="A316" s="61"/>
      <c r="B316" s="61"/>
      <c r="C316" s="56"/>
      <c r="D316" s="55"/>
      <c r="E316" s="57"/>
      <c r="F316" s="56"/>
      <c r="G316" s="58"/>
      <c r="H316" s="55"/>
      <c r="I316" s="55"/>
      <c r="J316" s="55"/>
      <c r="K316" s="59"/>
      <c r="L316" s="60"/>
      <c r="M316" s="60"/>
      <c r="N316" s="61"/>
    </row>
    <row r="317" customFormat="false" ht="12.75" hidden="false" customHeight="false" outlineLevel="0" collapsed="false">
      <c r="A317" s="61"/>
      <c r="B317" s="61"/>
      <c r="C317" s="56"/>
      <c r="D317" s="55"/>
      <c r="E317" s="57"/>
      <c r="F317" s="56"/>
      <c r="G317" s="58"/>
      <c r="H317" s="55"/>
      <c r="I317" s="55"/>
      <c r="J317" s="55"/>
      <c r="K317" s="59"/>
      <c r="L317" s="60"/>
      <c r="M317" s="60"/>
      <c r="N317" s="61"/>
    </row>
    <row r="318" customFormat="false" ht="12.75" hidden="false" customHeight="false" outlineLevel="0" collapsed="false">
      <c r="A318" s="61"/>
      <c r="B318" s="61"/>
      <c r="C318" s="56"/>
      <c r="D318" s="55"/>
      <c r="E318" s="57"/>
      <c r="F318" s="56"/>
      <c r="G318" s="58"/>
      <c r="H318" s="55"/>
      <c r="I318" s="55"/>
      <c r="J318" s="55"/>
      <c r="K318" s="59"/>
      <c r="L318" s="60"/>
      <c r="M318" s="60"/>
      <c r="N318" s="61"/>
    </row>
    <row r="319" customFormat="false" ht="12.75" hidden="false" customHeight="false" outlineLevel="0" collapsed="false">
      <c r="A319" s="61"/>
      <c r="B319" s="61"/>
      <c r="C319" s="56"/>
      <c r="D319" s="55"/>
      <c r="E319" s="57"/>
      <c r="F319" s="56"/>
      <c r="G319" s="58"/>
      <c r="H319" s="55"/>
      <c r="I319" s="55"/>
      <c r="J319" s="55"/>
      <c r="K319" s="59"/>
      <c r="L319" s="60"/>
      <c r="M319" s="60"/>
      <c r="N319" s="61"/>
    </row>
    <row r="320" customFormat="false" ht="12.75" hidden="false" customHeight="false" outlineLevel="0" collapsed="false">
      <c r="A320" s="61"/>
      <c r="B320" s="61"/>
      <c r="C320" s="56"/>
      <c r="D320" s="55"/>
      <c r="E320" s="57"/>
      <c r="F320" s="56"/>
      <c r="G320" s="58"/>
      <c r="H320" s="55"/>
      <c r="I320" s="55"/>
      <c r="J320" s="55"/>
      <c r="K320" s="59"/>
      <c r="L320" s="60"/>
      <c r="M320" s="60"/>
      <c r="N320" s="61"/>
    </row>
    <row r="321" customFormat="false" ht="12.75" hidden="false" customHeight="false" outlineLevel="0" collapsed="false">
      <c r="A321" s="61"/>
      <c r="B321" s="61"/>
      <c r="C321" s="56"/>
      <c r="D321" s="55"/>
      <c r="E321" s="57"/>
      <c r="F321" s="56"/>
      <c r="G321" s="58"/>
      <c r="H321" s="55"/>
      <c r="I321" s="55"/>
      <c r="J321" s="55"/>
      <c r="K321" s="59"/>
      <c r="L321" s="60"/>
      <c r="M321" s="60"/>
      <c r="N321" s="61"/>
    </row>
    <row r="322" customFormat="false" ht="12.75" hidden="false" customHeight="false" outlineLevel="0" collapsed="false">
      <c r="A322" s="61"/>
      <c r="B322" s="61"/>
      <c r="C322" s="56"/>
      <c r="D322" s="55"/>
      <c r="E322" s="57"/>
      <c r="F322" s="56"/>
      <c r="G322" s="58"/>
      <c r="H322" s="55"/>
      <c r="I322" s="55"/>
      <c r="J322" s="55"/>
      <c r="K322" s="59"/>
      <c r="L322" s="60"/>
      <c r="M322" s="60"/>
      <c r="N322" s="61"/>
    </row>
    <row r="323" customFormat="false" ht="12.75" hidden="false" customHeight="false" outlineLevel="0" collapsed="false">
      <c r="A323" s="61"/>
      <c r="B323" s="61"/>
      <c r="C323" s="56"/>
      <c r="D323" s="55"/>
      <c r="E323" s="57"/>
      <c r="F323" s="56"/>
      <c r="G323" s="58"/>
      <c r="H323" s="55"/>
      <c r="I323" s="55"/>
      <c r="J323" s="55"/>
      <c r="K323" s="59"/>
      <c r="L323" s="60"/>
      <c r="M323" s="60"/>
      <c r="N323" s="61"/>
    </row>
    <row r="324" customFormat="false" ht="12.75" hidden="false" customHeight="false" outlineLevel="0" collapsed="false">
      <c r="A324" s="61"/>
      <c r="B324" s="61"/>
      <c r="C324" s="56"/>
      <c r="D324" s="55"/>
      <c r="E324" s="57"/>
      <c r="F324" s="56"/>
      <c r="G324" s="58"/>
      <c r="H324" s="55"/>
      <c r="I324" s="55"/>
      <c r="J324" s="55"/>
      <c r="K324" s="59"/>
      <c r="L324" s="60"/>
      <c r="M324" s="60"/>
      <c r="N324" s="61"/>
    </row>
    <row r="325" customFormat="false" ht="12.75" hidden="false" customHeight="false" outlineLevel="0" collapsed="false">
      <c r="A325" s="61"/>
      <c r="B325" s="61"/>
      <c r="C325" s="56"/>
      <c r="D325" s="55"/>
      <c r="E325" s="57"/>
      <c r="F325" s="56"/>
      <c r="G325" s="58"/>
      <c r="H325" s="55"/>
      <c r="I325" s="55"/>
      <c r="J325" s="55"/>
      <c r="K325" s="59"/>
      <c r="L325" s="60"/>
      <c r="M325" s="60"/>
      <c r="N325" s="61"/>
    </row>
    <row r="326" customFormat="false" ht="12.75" hidden="false" customHeight="false" outlineLevel="0" collapsed="false">
      <c r="A326" s="61"/>
      <c r="B326" s="61"/>
      <c r="C326" s="56"/>
      <c r="D326" s="55"/>
      <c r="E326" s="57"/>
      <c r="F326" s="56"/>
      <c r="G326" s="58"/>
      <c r="H326" s="55"/>
      <c r="I326" s="55"/>
      <c r="J326" s="55"/>
      <c r="K326" s="59"/>
      <c r="L326" s="60"/>
      <c r="M326" s="60"/>
      <c r="N326" s="61"/>
    </row>
    <row r="327" customFormat="false" ht="12.75" hidden="false" customHeight="false" outlineLevel="0" collapsed="false">
      <c r="A327" s="61"/>
      <c r="B327" s="61"/>
      <c r="C327" s="56"/>
      <c r="D327" s="55"/>
      <c r="E327" s="57"/>
      <c r="F327" s="56"/>
      <c r="G327" s="58"/>
      <c r="H327" s="55"/>
      <c r="I327" s="55"/>
      <c r="J327" s="55"/>
      <c r="K327" s="59"/>
      <c r="L327" s="60"/>
      <c r="M327" s="60"/>
      <c r="N327" s="61"/>
    </row>
    <row r="328" customFormat="false" ht="12.75" hidden="false" customHeight="false" outlineLevel="0" collapsed="false">
      <c r="A328" s="61"/>
      <c r="B328" s="61"/>
      <c r="C328" s="56"/>
      <c r="D328" s="55"/>
      <c r="E328" s="57"/>
      <c r="F328" s="56"/>
      <c r="G328" s="58"/>
      <c r="H328" s="55"/>
      <c r="I328" s="55"/>
      <c r="J328" s="55"/>
      <c r="K328" s="59"/>
      <c r="L328" s="60"/>
      <c r="M328" s="60"/>
      <c r="N328" s="61"/>
    </row>
    <row r="329" customFormat="false" ht="12.75" hidden="false" customHeight="false" outlineLevel="0" collapsed="false">
      <c r="A329" s="61"/>
      <c r="B329" s="61"/>
      <c r="C329" s="56"/>
      <c r="D329" s="55"/>
      <c r="E329" s="57"/>
      <c r="F329" s="56"/>
      <c r="G329" s="58"/>
      <c r="H329" s="55"/>
      <c r="I329" s="55"/>
      <c r="J329" s="55"/>
      <c r="K329" s="59"/>
      <c r="L329" s="60"/>
      <c r="M329" s="60"/>
      <c r="N329" s="61"/>
    </row>
    <row r="330" customFormat="false" ht="12.75" hidden="false" customHeight="false" outlineLevel="0" collapsed="false">
      <c r="A330" s="61"/>
      <c r="B330" s="61"/>
      <c r="C330" s="56"/>
      <c r="D330" s="55"/>
      <c r="E330" s="57"/>
      <c r="F330" s="56"/>
      <c r="G330" s="58"/>
      <c r="H330" s="55"/>
      <c r="I330" s="55"/>
      <c r="J330" s="55"/>
      <c r="K330" s="59"/>
      <c r="L330" s="60"/>
      <c r="M330" s="60"/>
      <c r="N330" s="61"/>
    </row>
    <row r="331" customFormat="false" ht="12.75" hidden="false" customHeight="false" outlineLevel="0" collapsed="false">
      <c r="A331" s="61"/>
      <c r="B331" s="61"/>
      <c r="C331" s="56"/>
      <c r="D331" s="55"/>
      <c r="E331" s="57"/>
      <c r="F331" s="56"/>
      <c r="G331" s="58"/>
      <c r="H331" s="55"/>
      <c r="I331" s="55"/>
      <c r="J331" s="55"/>
      <c r="K331" s="59"/>
      <c r="L331" s="60"/>
      <c r="M331" s="60"/>
      <c r="N331" s="61"/>
    </row>
    <row r="332" customFormat="false" ht="12.75" hidden="false" customHeight="false" outlineLevel="0" collapsed="false">
      <c r="A332" s="61"/>
      <c r="B332" s="61"/>
      <c r="C332" s="56"/>
      <c r="D332" s="55"/>
      <c r="E332" s="57"/>
      <c r="F332" s="56"/>
      <c r="G332" s="58"/>
      <c r="H332" s="55"/>
      <c r="I332" s="55"/>
      <c r="J332" s="55"/>
      <c r="K332" s="59"/>
      <c r="L332" s="60"/>
      <c r="M332" s="60"/>
      <c r="N332" s="61"/>
    </row>
    <row r="333" customFormat="false" ht="12.75" hidden="false" customHeight="false" outlineLevel="0" collapsed="false">
      <c r="A333" s="61"/>
      <c r="B333" s="61"/>
      <c r="C333" s="56"/>
      <c r="D333" s="55"/>
      <c r="E333" s="57"/>
      <c r="F333" s="56"/>
      <c r="G333" s="58"/>
      <c r="H333" s="55"/>
      <c r="I333" s="55"/>
      <c r="J333" s="55"/>
      <c r="K333" s="59"/>
      <c r="L333" s="60"/>
      <c r="M333" s="60"/>
      <c r="N333" s="61"/>
    </row>
    <row r="334" customFormat="false" ht="12.75" hidden="false" customHeight="false" outlineLevel="0" collapsed="false">
      <c r="A334" s="61"/>
      <c r="B334" s="61"/>
      <c r="C334" s="56"/>
      <c r="D334" s="55"/>
      <c r="E334" s="57"/>
      <c r="F334" s="56"/>
      <c r="G334" s="58"/>
      <c r="H334" s="55"/>
      <c r="I334" s="55"/>
      <c r="J334" s="55"/>
      <c r="K334" s="59"/>
      <c r="L334" s="60"/>
      <c r="M334" s="60"/>
      <c r="N334" s="61"/>
    </row>
    <row r="335" customFormat="false" ht="12.75" hidden="false" customHeight="false" outlineLevel="0" collapsed="false">
      <c r="A335" s="61"/>
      <c r="B335" s="61"/>
      <c r="C335" s="56"/>
      <c r="D335" s="55"/>
      <c r="E335" s="57"/>
      <c r="F335" s="56"/>
      <c r="G335" s="58"/>
      <c r="H335" s="55"/>
      <c r="I335" s="55"/>
      <c r="J335" s="55"/>
      <c r="K335" s="59"/>
      <c r="L335" s="60"/>
      <c r="M335" s="60"/>
      <c r="N335" s="61"/>
    </row>
    <row r="336" customFormat="false" ht="12.75" hidden="false" customHeight="false" outlineLevel="0" collapsed="false">
      <c r="A336" s="61"/>
      <c r="B336" s="61"/>
      <c r="C336" s="56"/>
      <c r="D336" s="55"/>
      <c r="E336" s="57"/>
      <c r="F336" s="56"/>
      <c r="G336" s="58"/>
      <c r="H336" s="55"/>
      <c r="I336" s="55"/>
      <c r="J336" s="55"/>
      <c r="K336" s="59"/>
      <c r="L336" s="60"/>
      <c r="M336" s="60"/>
      <c r="N336" s="61"/>
    </row>
    <row r="337" customFormat="false" ht="12.75" hidden="false" customHeight="false" outlineLevel="0" collapsed="false">
      <c r="A337" s="61"/>
      <c r="B337" s="61"/>
      <c r="C337" s="56"/>
      <c r="D337" s="55"/>
      <c r="E337" s="57"/>
      <c r="F337" s="56"/>
      <c r="G337" s="58"/>
      <c r="H337" s="55"/>
      <c r="I337" s="55"/>
      <c r="J337" s="55"/>
      <c r="K337" s="59"/>
      <c r="L337" s="60"/>
      <c r="M337" s="60"/>
      <c r="N337" s="61"/>
    </row>
    <row r="338" customFormat="false" ht="12.75" hidden="false" customHeight="false" outlineLevel="0" collapsed="false">
      <c r="A338" s="61"/>
      <c r="B338" s="61"/>
      <c r="C338" s="56"/>
      <c r="D338" s="55"/>
      <c r="E338" s="57"/>
      <c r="F338" s="56"/>
      <c r="G338" s="58"/>
      <c r="H338" s="55"/>
      <c r="I338" s="55"/>
      <c r="J338" s="55"/>
      <c r="K338" s="59"/>
      <c r="L338" s="60"/>
      <c r="M338" s="60"/>
      <c r="N338" s="61"/>
    </row>
    <row r="339" customFormat="false" ht="12.75" hidden="false" customHeight="false" outlineLevel="0" collapsed="false">
      <c r="A339" s="61"/>
      <c r="B339" s="61"/>
      <c r="C339" s="56"/>
      <c r="D339" s="55"/>
      <c r="E339" s="57"/>
      <c r="F339" s="56"/>
      <c r="G339" s="58"/>
      <c r="H339" s="55"/>
      <c r="I339" s="55"/>
      <c r="J339" s="55"/>
      <c r="K339" s="59"/>
      <c r="L339" s="60"/>
      <c r="M339" s="60"/>
      <c r="N339" s="61"/>
    </row>
    <row r="340" customFormat="false" ht="12.75" hidden="false" customHeight="false" outlineLevel="0" collapsed="false">
      <c r="A340" s="61"/>
      <c r="B340" s="61"/>
      <c r="C340" s="56"/>
      <c r="D340" s="55"/>
      <c r="E340" s="57"/>
      <c r="F340" s="56"/>
      <c r="G340" s="58"/>
      <c r="H340" s="55"/>
      <c r="I340" s="55"/>
      <c r="J340" s="55"/>
      <c r="K340" s="59"/>
      <c r="L340" s="60"/>
      <c r="M340" s="60"/>
      <c r="N340" s="61"/>
    </row>
    <row r="341" customFormat="false" ht="12.75" hidden="false" customHeight="false" outlineLevel="0" collapsed="false">
      <c r="A341" s="61"/>
      <c r="B341" s="61"/>
      <c r="C341" s="56"/>
      <c r="D341" s="55"/>
      <c r="E341" s="57"/>
      <c r="F341" s="56"/>
      <c r="G341" s="58"/>
      <c r="H341" s="55"/>
      <c r="I341" s="55"/>
      <c r="J341" s="55"/>
      <c r="K341" s="59"/>
      <c r="L341" s="60"/>
      <c r="M341" s="60"/>
      <c r="N341" s="61"/>
    </row>
    <row r="342" customFormat="false" ht="12.75" hidden="false" customHeight="false" outlineLevel="0" collapsed="false">
      <c r="A342" s="61"/>
      <c r="B342" s="61"/>
      <c r="C342" s="56"/>
      <c r="D342" s="55"/>
      <c r="E342" s="57"/>
      <c r="F342" s="56"/>
      <c r="G342" s="58"/>
      <c r="H342" s="55"/>
      <c r="I342" s="55"/>
      <c r="J342" s="55"/>
      <c r="K342" s="59"/>
      <c r="L342" s="60"/>
      <c r="M342" s="60"/>
      <c r="N342" s="61"/>
    </row>
    <row r="343" customFormat="false" ht="12.75" hidden="false" customHeight="false" outlineLevel="0" collapsed="false">
      <c r="A343" s="61"/>
      <c r="B343" s="61"/>
      <c r="C343" s="56"/>
      <c r="D343" s="55"/>
      <c r="E343" s="57"/>
      <c r="F343" s="56"/>
      <c r="G343" s="58"/>
      <c r="H343" s="55"/>
      <c r="I343" s="55"/>
      <c r="J343" s="55"/>
      <c r="K343" s="59"/>
      <c r="L343" s="60"/>
      <c r="M343" s="60"/>
      <c r="N343" s="61"/>
    </row>
    <row r="344" customFormat="false" ht="12.75" hidden="false" customHeight="false" outlineLevel="0" collapsed="false">
      <c r="A344" s="61"/>
      <c r="B344" s="61"/>
      <c r="C344" s="56"/>
      <c r="D344" s="55"/>
      <c r="E344" s="57"/>
      <c r="F344" s="56"/>
      <c r="G344" s="58"/>
      <c r="H344" s="55"/>
      <c r="I344" s="55"/>
      <c r="J344" s="55"/>
      <c r="K344" s="59"/>
      <c r="L344" s="60"/>
      <c r="M344" s="60"/>
      <c r="N344" s="61"/>
    </row>
    <row r="345" customFormat="false" ht="12.75" hidden="false" customHeight="false" outlineLevel="0" collapsed="false">
      <c r="A345" s="61"/>
      <c r="B345" s="61"/>
      <c r="C345" s="56"/>
      <c r="D345" s="55"/>
      <c r="E345" s="57"/>
      <c r="F345" s="56"/>
      <c r="G345" s="58"/>
      <c r="H345" s="55"/>
      <c r="I345" s="55"/>
      <c r="J345" s="55"/>
      <c r="K345" s="59"/>
      <c r="L345" s="60"/>
      <c r="M345" s="60"/>
      <c r="N345" s="61"/>
    </row>
    <row r="346" customFormat="false" ht="12.75" hidden="false" customHeight="false" outlineLevel="0" collapsed="false">
      <c r="A346" s="61"/>
      <c r="B346" s="61"/>
      <c r="C346" s="56"/>
      <c r="D346" s="55"/>
      <c r="E346" s="57"/>
      <c r="F346" s="56"/>
      <c r="G346" s="58"/>
      <c r="H346" s="55"/>
      <c r="I346" s="55"/>
      <c r="J346" s="55"/>
      <c r="K346" s="59"/>
      <c r="L346" s="60"/>
      <c r="M346" s="60"/>
      <c r="N346" s="61"/>
    </row>
    <row r="347" customFormat="false" ht="12.75" hidden="false" customHeight="false" outlineLevel="0" collapsed="false">
      <c r="A347" s="61"/>
      <c r="B347" s="61"/>
      <c r="C347" s="56"/>
      <c r="D347" s="55"/>
      <c r="E347" s="57"/>
      <c r="F347" s="56"/>
      <c r="G347" s="58"/>
      <c r="H347" s="55"/>
      <c r="I347" s="55"/>
      <c r="J347" s="55"/>
      <c r="K347" s="59"/>
      <c r="L347" s="60"/>
      <c r="M347" s="60"/>
      <c r="N347" s="61"/>
    </row>
    <row r="348" customFormat="false" ht="12.75" hidden="false" customHeight="false" outlineLevel="0" collapsed="false">
      <c r="A348" s="61"/>
      <c r="B348" s="61"/>
      <c r="C348" s="56"/>
      <c r="D348" s="55"/>
      <c r="E348" s="57"/>
      <c r="F348" s="56"/>
      <c r="G348" s="58"/>
      <c r="H348" s="55"/>
      <c r="I348" s="55"/>
      <c r="J348" s="55"/>
      <c r="K348" s="59"/>
      <c r="L348" s="60"/>
      <c r="M348" s="60"/>
      <c r="N348" s="61"/>
    </row>
    <row r="349" customFormat="false" ht="12.75" hidden="false" customHeight="false" outlineLevel="0" collapsed="false">
      <c r="A349" s="61"/>
      <c r="B349" s="61"/>
      <c r="C349" s="56"/>
      <c r="D349" s="55"/>
      <c r="E349" s="57"/>
      <c r="F349" s="56"/>
      <c r="G349" s="58"/>
      <c r="H349" s="55"/>
      <c r="I349" s="55"/>
      <c r="J349" s="55"/>
      <c r="K349" s="59"/>
      <c r="L349" s="60"/>
      <c r="M349" s="60"/>
      <c r="N349" s="61"/>
    </row>
    <row r="350" customFormat="false" ht="12.75" hidden="false" customHeight="false" outlineLevel="0" collapsed="false">
      <c r="A350" s="61"/>
      <c r="B350" s="61"/>
      <c r="C350" s="56"/>
      <c r="D350" s="55"/>
      <c r="E350" s="57"/>
      <c r="F350" s="56"/>
      <c r="G350" s="58"/>
      <c r="H350" s="55"/>
      <c r="I350" s="55"/>
      <c r="J350" s="55"/>
      <c r="K350" s="59"/>
      <c r="L350" s="60"/>
      <c r="M350" s="60"/>
      <c r="N350" s="61"/>
    </row>
    <row r="351" customFormat="false" ht="12.75" hidden="false" customHeight="false" outlineLevel="0" collapsed="false">
      <c r="A351" s="61"/>
      <c r="B351" s="61"/>
      <c r="C351" s="56"/>
      <c r="D351" s="55"/>
      <c r="E351" s="57"/>
      <c r="F351" s="56"/>
      <c r="G351" s="58"/>
      <c r="H351" s="55"/>
      <c r="I351" s="55"/>
      <c r="J351" s="55"/>
      <c r="K351" s="59"/>
      <c r="L351" s="60"/>
      <c r="M351" s="60"/>
      <c r="N351" s="61"/>
    </row>
    <row r="352" customFormat="false" ht="12.75" hidden="false" customHeight="false" outlineLevel="0" collapsed="false">
      <c r="A352" s="61"/>
      <c r="B352" s="61"/>
      <c r="C352" s="56"/>
      <c r="D352" s="55"/>
      <c r="E352" s="57"/>
      <c r="F352" s="56"/>
      <c r="G352" s="58"/>
      <c r="H352" s="55"/>
      <c r="I352" s="55"/>
      <c r="J352" s="55"/>
      <c r="K352" s="59"/>
      <c r="L352" s="60"/>
      <c r="M352" s="60"/>
      <c r="N352" s="61"/>
    </row>
    <row r="353" customFormat="false" ht="12.75" hidden="false" customHeight="false" outlineLevel="0" collapsed="false">
      <c r="A353" s="61"/>
      <c r="B353" s="61"/>
      <c r="C353" s="56"/>
      <c r="D353" s="55"/>
      <c r="E353" s="57"/>
      <c r="F353" s="56"/>
      <c r="G353" s="58"/>
      <c r="H353" s="55"/>
      <c r="I353" s="55"/>
      <c r="J353" s="55"/>
      <c r="K353" s="59"/>
      <c r="L353" s="60"/>
      <c r="M353" s="60"/>
      <c r="N353" s="61"/>
    </row>
    <row r="354" customFormat="false" ht="12.75" hidden="false" customHeight="false" outlineLevel="0" collapsed="false">
      <c r="A354" s="61"/>
      <c r="B354" s="61"/>
      <c r="C354" s="56"/>
      <c r="D354" s="55"/>
      <c r="E354" s="57"/>
      <c r="F354" s="56"/>
      <c r="G354" s="58"/>
      <c r="H354" s="55"/>
      <c r="I354" s="55"/>
      <c r="J354" s="55"/>
      <c r="K354" s="59"/>
      <c r="L354" s="60"/>
      <c r="M354" s="60"/>
      <c r="N354" s="61"/>
    </row>
    <row r="355" customFormat="false" ht="12.75" hidden="false" customHeight="false" outlineLevel="0" collapsed="false">
      <c r="A355" s="61"/>
      <c r="B355" s="61"/>
      <c r="C355" s="56"/>
      <c r="D355" s="55"/>
      <c r="E355" s="57"/>
      <c r="F355" s="56"/>
      <c r="G355" s="58"/>
      <c r="H355" s="55"/>
      <c r="I355" s="55"/>
      <c r="J355" s="55"/>
      <c r="K355" s="59"/>
      <c r="L355" s="60"/>
      <c r="M355" s="60"/>
      <c r="N355" s="61"/>
    </row>
    <row r="356" customFormat="false" ht="12.75" hidden="false" customHeight="false" outlineLevel="0" collapsed="false">
      <c r="A356" s="61"/>
      <c r="B356" s="61"/>
      <c r="C356" s="56"/>
      <c r="D356" s="55"/>
      <c r="E356" s="57"/>
      <c r="F356" s="56"/>
      <c r="G356" s="58"/>
      <c r="H356" s="55"/>
      <c r="I356" s="55"/>
      <c r="J356" s="55"/>
      <c r="K356" s="59"/>
      <c r="L356" s="60"/>
      <c r="M356" s="60"/>
      <c r="N356" s="61"/>
    </row>
    <row r="357" customFormat="false" ht="12.75" hidden="false" customHeight="false" outlineLevel="0" collapsed="false">
      <c r="A357" s="61"/>
      <c r="B357" s="61"/>
      <c r="C357" s="56"/>
      <c r="D357" s="55"/>
      <c r="E357" s="57"/>
      <c r="F357" s="56"/>
      <c r="G357" s="58"/>
      <c r="H357" s="55"/>
      <c r="I357" s="55"/>
      <c r="J357" s="55"/>
      <c r="K357" s="59"/>
      <c r="L357" s="60"/>
      <c r="M357" s="60"/>
      <c r="N357" s="61"/>
    </row>
    <row r="358" customFormat="false" ht="12.75" hidden="false" customHeight="false" outlineLevel="0" collapsed="false">
      <c r="A358" s="61"/>
      <c r="B358" s="61"/>
      <c r="C358" s="56"/>
      <c r="D358" s="55"/>
      <c r="E358" s="57"/>
      <c r="F358" s="56"/>
      <c r="G358" s="58"/>
      <c r="H358" s="55"/>
      <c r="I358" s="55"/>
      <c r="J358" s="55"/>
      <c r="K358" s="59"/>
      <c r="L358" s="60"/>
      <c r="M358" s="60"/>
      <c r="N358" s="61"/>
    </row>
    <row r="359" customFormat="false" ht="12.75" hidden="false" customHeight="false" outlineLevel="0" collapsed="false">
      <c r="A359" s="61"/>
      <c r="B359" s="61"/>
      <c r="C359" s="56"/>
      <c r="D359" s="55"/>
      <c r="E359" s="57"/>
      <c r="F359" s="56"/>
      <c r="G359" s="58"/>
      <c r="H359" s="55"/>
      <c r="I359" s="55"/>
      <c r="J359" s="55"/>
      <c r="K359" s="59"/>
      <c r="L359" s="60"/>
      <c r="M359" s="60"/>
      <c r="N359" s="61"/>
    </row>
    <row r="360" customFormat="false" ht="12.75" hidden="false" customHeight="false" outlineLevel="0" collapsed="false">
      <c r="A360" s="61"/>
      <c r="B360" s="61"/>
      <c r="C360" s="56"/>
      <c r="D360" s="55"/>
      <c r="E360" s="57"/>
      <c r="F360" s="56"/>
      <c r="G360" s="58"/>
      <c r="H360" s="55"/>
      <c r="I360" s="55"/>
      <c r="J360" s="55"/>
      <c r="K360" s="59"/>
      <c r="L360" s="60"/>
      <c r="M360" s="60"/>
      <c r="N360" s="61"/>
    </row>
    <row r="361" customFormat="false" ht="12.75" hidden="false" customHeight="false" outlineLevel="0" collapsed="false">
      <c r="A361" s="61"/>
      <c r="B361" s="61"/>
      <c r="C361" s="56"/>
      <c r="D361" s="55"/>
      <c r="E361" s="57"/>
      <c r="F361" s="56"/>
      <c r="G361" s="58"/>
      <c r="H361" s="55"/>
      <c r="I361" s="55"/>
      <c r="J361" s="55"/>
      <c r="K361" s="59"/>
      <c r="L361" s="60"/>
      <c r="M361" s="60"/>
      <c r="N361" s="61"/>
    </row>
    <row r="362" customFormat="false" ht="12.75" hidden="false" customHeight="false" outlineLevel="0" collapsed="false">
      <c r="A362" s="61"/>
      <c r="B362" s="61"/>
      <c r="C362" s="56"/>
      <c r="D362" s="55"/>
      <c r="E362" s="57"/>
      <c r="F362" s="56"/>
      <c r="G362" s="58"/>
      <c r="H362" s="55"/>
      <c r="I362" s="55"/>
      <c r="J362" s="55"/>
      <c r="K362" s="59"/>
      <c r="L362" s="60"/>
      <c r="M362" s="60"/>
      <c r="N362" s="61"/>
    </row>
    <row r="363" customFormat="false" ht="12.75" hidden="false" customHeight="false" outlineLevel="0" collapsed="false">
      <c r="A363" s="61"/>
      <c r="B363" s="61"/>
      <c r="C363" s="56"/>
      <c r="D363" s="55"/>
      <c r="E363" s="57"/>
      <c r="F363" s="56"/>
      <c r="G363" s="58"/>
      <c r="H363" s="55"/>
      <c r="I363" s="55"/>
      <c r="J363" s="55"/>
      <c r="K363" s="59"/>
      <c r="L363" s="60"/>
      <c r="M363" s="60"/>
      <c r="N363" s="61"/>
    </row>
    <row r="364" customFormat="false" ht="12.75" hidden="false" customHeight="false" outlineLevel="0" collapsed="false">
      <c r="A364" s="61"/>
      <c r="B364" s="61"/>
      <c r="C364" s="56"/>
      <c r="D364" s="55"/>
      <c r="E364" s="57"/>
      <c r="F364" s="56"/>
      <c r="G364" s="58"/>
      <c r="H364" s="55"/>
      <c r="I364" s="55"/>
      <c r="J364" s="55"/>
      <c r="K364" s="59"/>
      <c r="L364" s="60"/>
      <c r="M364" s="60"/>
      <c r="N364" s="61"/>
    </row>
    <row r="365" customFormat="false" ht="12.75" hidden="false" customHeight="false" outlineLevel="0" collapsed="false">
      <c r="A365" s="61"/>
      <c r="B365" s="61"/>
      <c r="C365" s="56"/>
      <c r="D365" s="55"/>
      <c r="E365" s="57"/>
      <c r="F365" s="56"/>
      <c r="G365" s="58"/>
      <c r="H365" s="55"/>
      <c r="I365" s="55"/>
      <c r="J365" s="55"/>
      <c r="K365" s="59"/>
      <c r="L365" s="60"/>
      <c r="M365" s="60"/>
      <c r="N365" s="61"/>
    </row>
    <row r="366" customFormat="false" ht="12.75" hidden="false" customHeight="false" outlineLevel="0" collapsed="false">
      <c r="A366" s="61"/>
      <c r="B366" s="61"/>
      <c r="C366" s="56"/>
      <c r="D366" s="55"/>
      <c r="E366" s="57"/>
      <c r="F366" s="56"/>
      <c r="G366" s="58"/>
      <c r="H366" s="55"/>
      <c r="I366" s="55"/>
      <c r="J366" s="55"/>
      <c r="K366" s="59"/>
      <c r="L366" s="60"/>
      <c r="M366" s="60"/>
      <c r="N366" s="61"/>
    </row>
    <row r="367" customFormat="false" ht="12.75" hidden="false" customHeight="false" outlineLevel="0" collapsed="false">
      <c r="A367" s="61"/>
      <c r="B367" s="61"/>
      <c r="C367" s="56"/>
      <c r="D367" s="55"/>
      <c r="E367" s="57"/>
      <c r="F367" s="56"/>
      <c r="G367" s="58"/>
      <c r="H367" s="55"/>
      <c r="I367" s="55"/>
      <c r="J367" s="55"/>
      <c r="K367" s="59"/>
      <c r="L367" s="60"/>
      <c r="M367" s="60"/>
      <c r="N367" s="61"/>
    </row>
    <row r="368" customFormat="false" ht="12.75" hidden="false" customHeight="false" outlineLevel="0" collapsed="false">
      <c r="A368" s="61"/>
      <c r="B368" s="61"/>
      <c r="C368" s="56"/>
      <c r="D368" s="55"/>
      <c r="E368" s="57"/>
      <c r="F368" s="56"/>
      <c r="G368" s="58"/>
      <c r="H368" s="55"/>
      <c r="I368" s="55"/>
      <c r="J368" s="55"/>
      <c r="K368" s="59"/>
      <c r="L368" s="60"/>
      <c r="M368" s="60"/>
      <c r="N368" s="61"/>
    </row>
    <row r="369" customFormat="false" ht="12.75" hidden="false" customHeight="false" outlineLevel="0" collapsed="false">
      <c r="A369" s="61"/>
      <c r="B369" s="61"/>
      <c r="C369" s="56"/>
      <c r="D369" s="55"/>
      <c r="E369" s="57"/>
      <c r="F369" s="56"/>
      <c r="G369" s="58"/>
      <c r="H369" s="55"/>
      <c r="I369" s="55"/>
      <c r="J369" s="55"/>
      <c r="K369" s="59"/>
      <c r="L369" s="60"/>
      <c r="M369" s="60"/>
      <c r="N369" s="61"/>
    </row>
    <row r="370" customFormat="false" ht="12.75" hidden="false" customHeight="false" outlineLevel="0" collapsed="false">
      <c r="A370" s="61"/>
      <c r="B370" s="61"/>
      <c r="C370" s="56"/>
      <c r="D370" s="55"/>
      <c r="E370" s="57"/>
      <c r="F370" s="56"/>
      <c r="G370" s="58"/>
      <c r="H370" s="55"/>
      <c r="I370" s="55"/>
      <c r="J370" s="55"/>
      <c r="K370" s="59"/>
      <c r="L370" s="60"/>
      <c r="M370" s="60"/>
      <c r="N370" s="61"/>
    </row>
    <row r="371" customFormat="false" ht="12.75" hidden="false" customHeight="false" outlineLevel="0" collapsed="false">
      <c r="A371" s="61"/>
      <c r="B371" s="61"/>
      <c r="C371" s="56"/>
      <c r="D371" s="55"/>
      <c r="E371" s="57"/>
      <c r="F371" s="56"/>
      <c r="G371" s="58"/>
      <c r="H371" s="55"/>
      <c r="I371" s="55"/>
      <c r="J371" s="55"/>
      <c r="K371" s="59"/>
      <c r="L371" s="60"/>
      <c r="M371" s="60"/>
      <c r="N371" s="61"/>
    </row>
    <row r="372" customFormat="false" ht="12.75" hidden="false" customHeight="false" outlineLevel="0" collapsed="false">
      <c r="A372" s="61"/>
      <c r="B372" s="61"/>
      <c r="C372" s="56"/>
      <c r="D372" s="55"/>
      <c r="E372" s="57"/>
      <c r="F372" s="56"/>
      <c r="G372" s="58"/>
      <c r="H372" s="55"/>
      <c r="I372" s="55"/>
      <c r="J372" s="55"/>
      <c r="K372" s="59"/>
      <c r="L372" s="60"/>
      <c r="M372" s="60"/>
      <c r="N372" s="61"/>
    </row>
    <row r="373" customFormat="false" ht="12.75" hidden="false" customHeight="false" outlineLevel="0" collapsed="false">
      <c r="A373" s="61"/>
      <c r="B373" s="61"/>
      <c r="C373" s="56"/>
      <c r="D373" s="55"/>
      <c r="E373" s="57"/>
      <c r="F373" s="56"/>
      <c r="G373" s="58"/>
      <c r="H373" s="55"/>
      <c r="I373" s="55"/>
      <c r="J373" s="55"/>
      <c r="K373" s="59"/>
      <c r="L373" s="60"/>
      <c r="M373" s="60"/>
      <c r="N373" s="61"/>
    </row>
    <row r="374" customFormat="false" ht="12.75" hidden="false" customHeight="false" outlineLevel="0" collapsed="false">
      <c r="A374" s="61"/>
      <c r="B374" s="61"/>
      <c r="C374" s="56"/>
      <c r="D374" s="55"/>
      <c r="E374" s="57"/>
      <c r="F374" s="56"/>
      <c r="G374" s="58"/>
      <c r="H374" s="55"/>
      <c r="I374" s="55"/>
      <c r="J374" s="55"/>
      <c r="K374" s="59"/>
      <c r="L374" s="60"/>
      <c r="M374" s="60"/>
      <c r="N374" s="61"/>
    </row>
    <row r="375" customFormat="false" ht="12.75" hidden="false" customHeight="false" outlineLevel="0" collapsed="false">
      <c r="A375" s="61"/>
      <c r="B375" s="61"/>
      <c r="C375" s="56"/>
      <c r="D375" s="55"/>
      <c r="E375" s="57"/>
      <c r="F375" s="56"/>
      <c r="G375" s="58"/>
      <c r="H375" s="55"/>
      <c r="I375" s="55"/>
      <c r="J375" s="55"/>
      <c r="K375" s="59"/>
      <c r="L375" s="60"/>
      <c r="M375" s="60"/>
      <c r="N375" s="61"/>
    </row>
    <row r="376" customFormat="false" ht="12.75" hidden="false" customHeight="false" outlineLevel="0" collapsed="false">
      <c r="A376" s="61"/>
      <c r="B376" s="61"/>
      <c r="C376" s="56"/>
      <c r="D376" s="55"/>
      <c r="E376" s="57"/>
      <c r="F376" s="56"/>
      <c r="G376" s="58"/>
      <c r="H376" s="55"/>
      <c r="I376" s="55"/>
      <c r="J376" s="55"/>
      <c r="K376" s="59"/>
      <c r="L376" s="60"/>
      <c r="M376" s="60"/>
      <c r="N376" s="61"/>
    </row>
    <row r="377" customFormat="false" ht="12.75" hidden="false" customHeight="false" outlineLevel="0" collapsed="false">
      <c r="A377" s="61"/>
      <c r="B377" s="61"/>
      <c r="C377" s="56"/>
      <c r="D377" s="55"/>
      <c r="E377" s="57"/>
      <c r="F377" s="56"/>
      <c r="G377" s="58"/>
      <c r="H377" s="55"/>
      <c r="I377" s="55"/>
      <c r="J377" s="55"/>
      <c r="K377" s="59"/>
      <c r="L377" s="60"/>
      <c r="M377" s="60"/>
      <c r="N377" s="61"/>
    </row>
    <row r="378" customFormat="false" ht="12.75" hidden="false" customHeight="false" outlineLevel="0" collapsed="false">
      <c r="A378" s="61"/>
      <c r="B378" s="61"/>
      <c r="C378" s="56"/>
      <c r="D378" s="55"/>
      <c r="E378" s="57"/>
      <c r="F378" s="56"/>
      <c r="G378" s="58"/>
      <c r="H378" s="55"/>
      <c r="I378" s="55"/>
      <c r="J378" s="55"/>
      <c r="K378" s="59"/>
      <c r="L378" s="60"/>
      <c r="M378" s="60"/>
      <c r="N378" s="61"/>
    </row>
    <row r="379" customFormat="false" ht="12.75" hidden="false" customHeight="false" outlineLevel="0" collapsed="false">
      <c r="A379" s="61"/>
      <c r="B379" s="61"/>
      <c r="C379" s="56"/>
      <c r="D379" s="55"/>
      <c r="E379" s="57"/>
      <c r="F379" s="56"/>
      <c r="G379" s="58"/>
      <c r="H379" s="55"/>
      <c r="I379" s="55"/>
      <c r="J379" s="55"/>
      <c r="K379" s="59"/>
      <c r="L379" s="60"/>
      <c r="M379" s="60"/>
      <c r="N379" s="61"/>
    </row>
    <row r="380" customFormat="false" ht="12.75" hidden="false" customHeight="false" outlineLevel="0" collapsed="false">
      <c r="A380" s="61"/>
      <c r="B380" s="61"/>
      <c r="C380" s="56"/>
      <c r="D380" s="55"/>
      <c r="E380" s="57"/>
      <c r="F380" s="56"/>
      <c r="G380" s="58"/>
      <c r="H380" s="55"/>
      <c r="I380" s="55"/>
      <c r="J380" s="55"/>
      <c r="K380" s="59"/>
      <c r="L380" s="60"/>
      <c r="M380" s="60"/>
      <c r="N380" s="61"/>
    </row>
    <row r="381" customFormat="false" ht="12.75" hidden="false" customHeight="false" outlineLevel="0" collapsed="false">
      <c r="A381" s="61"/>
      <c r="B381" s="61"/>
      <c r="C381" s="56"/>
      <c r="D381" s="55"/>
      <c r="E381" s="57"/>
      <c r="F381" s="56"/>
      <c r="G381" s="58"/>
      <c r="H381" s="55"/>
      <c r="I381" s="55"/>
      <c r="J381" s="55"/>
      <c r="K381" s="59"/>
      <c r="L381" s="60"/>
      <c r="M381" s="60"/>
      <c r="N381" s="61"/>
    </row>
    <row r="382" customFormat="false" ht="12.75" hidden="false" customHeight="false" outlineLevel="0" collapsed="false">
      <c r="A382" s="61"/>
      <c r="B382" s="61"/>
      <c r="C382" s="56"/>
      <c r="D382" s="55"/>
      <c r="E382" s="57"/>
      <c r="F382" s="56"/>
      <c r="G382" s="58"/>
      <c r="H382" s="55"/>
      <c r="I382" s="55"/>
      <c r="J382" s="55"/>
      <c r="K382" s="59"/>
      <c r="L382" s="60"/>
      <c r="M382" s="60"/>
      <c r="N382" s="61"/>
    </row>
    <row r="383" customFormat="false" ht="12.75" hidden="false" customHeight="false" outlineLevel="0" collapsed="false">
      <c r="A383" s="61"/>
      <c r="B383" s="61"/>
      <c r="C383" s="56"/>
      <c r="D383" s="55"/>
      <c r="E383" s="57"/>
      <c r="F383" s="56"/>
      <c r="G383" s="58"/>
      <c r="H383" s="55"/>
      <c r="I383" s="55"/>
      <c r="J383" s="55"/>
      <c r="K383" s="59"/>
      <c r="L383" s="60"/>
      <c r="M383" s="60"/>
      <c r="N383" s="61"/>
    </row>
    <row r="384" customFormat="false" ht="12.75" hidden="false" customHeight="false" outlineLevel="0" collapsed="false">
      <c r="A384" s="61"/>
      <c r="B384" s="61"/>
      <c r="C384" s="56"/>
      <c r="D384" s="55"/>
      <c r="E384" s="57"/>
      <c r="F384" s="56"/>
      <c r="G384" s="58"/>
      <c r="H384" s="55"/>
      <c r="I384" s="55"/>
      <c r="J384" s="55"/>
      <c r="K384" s="59"/>
      <c r="L384" s="60"/>
      <c r="M384" s="60"/>
      <c r="N384" s="61"/>
    </row>
    <row r="385" customFormat="false" ht="12.75" hidden="false" customHeight="false" outlineLevel="0" collapsed="false">
      <c r="A385" s="61"/>
      <c r="B385" s="61"/>
      <c r="C385" s="56"/>
      <c r="D385" s="55"/>
      <c r="E385" s="57"/>
      <c r="F385" s="56"/>
      <c r="G385" s="58"/>
      <c r="H385" s="55"/>
      <c r="I385" s="55"/>
      <c r="J385" s="55"/>
      <c r="K385" s="59"/>
      <c r="L385" s="60"/>
      <c r="M385" s="60"/>
      <c r="N385" s="61"/>
    </row>
    <row r="386" customFormat="false" ht="12.75" hidden="false" customHeight="false" outlineLevel="0" collapsed="false">
      <c r="A386" s="61"/>
      <c r="B386" s="61"/>
      <c r="C386" s="56"/>
      <c r="D386" s="55"/>
      <c r="E386" s="57"/>
      <c r="F386" s="56"/>
      <c r="G386" s="58"/>
      <c r="H386" s="55"/>
      <c r="I386" s="55"/>
      <c r="J386" s="55"/>
      <c r="K386" s="59"/>
      <c r="L386" s="60"/>
      <c r="M386" s="60"/>
      <c r="N386" s="61"/>
    </row>
    <row r="387" customFormat="false" ht="12.75" hidden="false" customHeight="false" outlineLevel="0" collapsed="false">
      <c r="A387" s="61"/>
      <c r="B387" s="61"/>
      <c r="C387" s="56"/>
      <c r="D387" s="55"/>
      <c r="E387" s="57"/>
      <c r="F387" s="56"/>
      <c r="G387" s="58"/>
      <c r="H387" s="55"/>
      <c r="I387" s="55"/>
      <c r="J387" s="55"/>
      <c r="K387" s="59"/>
      <c r="L387" s="60"/>
      <c r="M387" s="60"/>
      <c r="N387" s="61"/>
    </row>
    <row r="388" customFormat="false" ht="12.75" hidden="false" customHeight="false" outlineLevel="0" collapsed="false">
      <c r="A388" s="61"/>
      <c r="B388" s="61"/>
      <c r="C388" s="56"/>
      <c r="D388" s="55"/>
      <c r="E388" s="57"/>
      <c r="F388" s="56"/>
      <c r="G388" s="58"/>
      <c r="H388" s="55"/>
      <c r="I388" s="55"/>
      <c r="J388" s="55"/>
      <c r="K388" s="59"/>
      <c r="L388" s="60"/>
      <c r="M388" s="60"/>
      <c r="N388" s="61"/>
    </row>
    <row r="389" customFormat="false" ht="12.75" hidden="false" customHeight="false" outlineLevel="0" collapsed="false">
      <c r="A389" s="61"/>
      <c r="B389" s="61"/>
      <c r="C389" s="56"/>
      <c r="D389" s="55"/>
      <c r="E389" s="57"/>
      <c r="F389" s="56"/>
      <c r="G389" s="58"/>
      <c r="H389" s="55"/>
      <c r="I389" s="55"/>
      <c r="J389" s="55"/>
      <c r="K389" s="59"/>
      <c r="L389" s="60"/>
      <c r="M389" s="60"/>
      <c r="N389" s="61"/>
    </row>
    <row r="390" customFormat="false" ht="12.75" hidden="false" customHeight="false" outlineLevel="0" collapsed="false">
      <c r="A390" s="61"/>
      <c r="B390" s="61"/>
      <c r="C390" s="56"/>
      <c r="D390" s="55"/>
      <c r="E390" s="57"/>
      <c r="F390" s="56"/>
      <c r="G390" s="58"/>
      <c r="H390" s="55"/>
      <c r="I390" s="55"/>
      <c r="J390" s="55"/>
      <c r="K390" s="59"/>
      <c r="L390" s="60"/>
      <c r="M390" s="60"/>
      <c r="N390" s="61"/>
    </row>
    <row r="391" customFormat="false" ht="12.75" hidden="false" customHeight="false" outlineLevel="0" collapsed="false">
      <c r="A391" s="61"/>
      <c r="B391" s="61"/>
      <c r="C391" s="56"/>
      <c r="D391" s="55"/>
      <c r="E391" s="57"/>
      <c r="F391" s="56"/>
      <c r="G391" s="58"/>
      <c r="H391" s="55"/>
      <c r="I391" s="55"/>
      <c r="J391" s="55"/>
      <c r="K391" s="59"/>
      <c r="L391" s="60"/>
      <c r="M391" s="60"/>
      <c r="N391" s="61"/>
    </row>
    <row r="392" customFormat="false" ht="12.75" hidden="false" customHeight="false" outlineLevel="0" collapsed="false">
      <c r="A392" s="61"/>
      <c r="B392" s="61"/>
      <c r="C392" s="56"/>
      <c r="D392" s="55"/>
      <c r="E392" s="57"/>
      <c r="F392" s="56"/>
      <c r="G392" s="58"/>
      <c r="H392" s="55"/>
      <c r="I392" s="55"/>
      <c r="J392" s="55"/>
      <c r="K392" s="59"/>
      <c r="L392" s="60"/>
      <c r="M392" s="60"/>
      <c r="N392" s="61"/>
    </row>
    <row r="393" customFormat="false" ht="12.75" hidden="false" customHeight="false" outlineLevel="0" collapsed="false">
      <c r="A393" s="61"/>
      <c r="B393" s="61"/>
      <c r="C393" s="56"/>
      <c r="D393" s="55"/>
      <c r="E393" s="57"/>
      <c r="F393" s="56"/>
      <c r="G393" s="58"/>
      <c r="H393" s="55"/>
      <c r="I393" s="55"/>
      <c r="J393" s="55"/>
      <c r="K393" s="59"/>
      <c r="L393" s="60"/>
      <c r="M393" s="60"/>
      <c r="N393" s="61"/>
    </row>
    <row r="394" customFormat="false" ht="12.75" hidden="false" customHeight="false" outlineLevel="0" collapsed="false">
      <c r="A394" s="61"/>
      <c r="B394" s="61"/>
      <c r="C394" s="56"/>
      <c r="D394" s="55"/>
      <c r="E394" s="57"/>
      <c r="F394" s="56"/>
      <c r="G394" s="58"/>
      <c r="H394" s="55"/>
      <c r="I394" s="55"/>
      <c r="J394" s="55"/>
      <c r="K394" s="59"/>
      <c r="L394" s="60"/>
      <c r="M394" s="60"/>
      <c r="N394" s="61"/>
    </row>
    <row r="395" customFormat="false" ht="12.75" hidden="false" customHeight="false" outlineLevel="0" collapsed="false">
      <c r="A395" s="61"/>
      <c r="B395" s="61"/>
      <c r="C395" s="56"/>
      <c r="D395" s="55"/>
      <c r="E395" s="57"/>
      <c r="F395" s="56"/>
      <c r="G395" s="58"/>
      <c r="H395" s="55"/>
      <c r="I395" s="55"/>
      <c r="J395" s="55"/>
      <c r="K395" s="59"/>
      <c r="L395" s="60"/>
      <c r="M395" s="60"/>
      <c r="N395" s="61"/>
    </row>
    <row r="396" customFormat="false" ht="12.75" hidden="false" customHeight="false" outlineLevel="0" collapsed="false">
      <c r="A396" s="61"/>
      <c r="B396" s="61"/>
      <c r="C396" s="56"/>
      <c r="D396" s="55"/>
      <c r="E396" s="57"/>
      <c r="F396" s="56"/>
      <c r="G396" s="58"/>
      <c r="H396" s="55"/>
      <c r="I396" s="55"/>
      <c r="J396" s="55"/>
      <c r="K396" s="59"/>
      <c r="L396" s="60"/>
      <c r="M396" s="60"/>
      <c r="N396" s="61"/>
    </row>
    <row r="397" customFormat="false" ht="12.75" hidden="false" customHeight="false" outlineLevel="0" collapsed="false">
      <c r="A397" s="61"/>
      <c r="B397" s="61"/>
      <c r="C397" s="56"/>
      <c r="D397" s="55"/>
      <c r="E397" s="57"/>
      <c r="F397" s="56"/>
      <c r="G397" s="58"/>
      <c r="H397" s="55"/>
      <c r="I397" s="55"/>
      <c r="J397" s="55"/>
      <c r="K397" s="59"/>
      <c r="L397" s="60"/>
      <c r="M397" s="60"/>
      <c r="N397" s="61"/>
    </row>
    <row r="398" customFormat="false" ht="12.75" hidden="false" customHeight="false" outlineLevel="0" collapsed="false">
      <c r="A398" s="61"/>
      <c r="B398" s="61"/>
      <c r="C398" s="56"/>
      <c r="D398" s="55"/>
      <c r="E398" s="57"/>
      <c r="F398" s="56"/>
      <c r="G398" s="58"/>
      <c r="H398" s="55"/>
      <c r="I398" s="55"/>
      <c r="J398" s="55"/>
      <c r="K398" s="59"/>
      <c r="L398" s="60"/>
      <c r="M398" s="60"/>
      <c r="N398" s="61"/>
    </row>
    <row r="399" customFormat="false" ht="12.75" hidden="false" customHeight="false" outlineLevel="0" collapsed="false">
      <c r="A399" s="61"/>
      <c r="B399" s="61"/>
      <c r="C399" s="56"/>
      <c r="D399" s="55"/>
      <c r="E399" s="57"/>
      <c r="F399" s="56"/>
      <c r="G399" s="58"/>
      <c r="H399" s="55"/>
      <c r="I399" s="55"/>
      <c r="J399" s="55"/>
      <c r="K399" s="59"/>
      <c r="L399" s="60"/>
      <c r="M399" s="60"/>
      <c r="N399" s="61"/>
    </row>
    <row r="400" customFormat="false" ht="12.75" hidden="false" customHeight="false" outlineLevel="0" collapsed="false">
      <c r="A400" s="61"/>
      <c r="B400" s="61"/>
      <c r="C400" s="56"/>
      <c r="D400" s="55"/>
      <c r="E400" s="57"/>
      <c r="F400" s="56"/>
      <c r="G400" s="58"/>
      <c r="H400" s="55"/>
      <c r="I400" s="55"/>
      <c r="J400" s="55"/>
      <c r="K400" s="59"/>
      <c r="L400" s="60"/>
      <c r="M400" s="60"/>
      <c r="N400" s="61"/>
    </row>
    <row r="401" customFormat="false" ht="12.75" hidden="false" customHeight="false" outlineLevel="0" collapsed="false">
      <c r="A401" s="61"/>
      <c r="B401" s="61"/>
      <c r="C401" s="56"/>
      <c r="D401" s="55"/>
      <c r="E401" s="57"/>
      <c r="F401" s="56"/>
      <c r="G401" s="58"/>
      <c r="H401" s="55"/>
      <c r="I401" s="55"/>
      <c r="J401" s="55"/>
      <c r="K401" s="59"/>
      <c r="L401" s="60"/>
      <c r="M401" s="60"/>
      <c r="N401" s="61"/>
    </row>
    <row r="402" customFormat="false" ht="12.75" hidden="false" customHeight="false" outlineLevel="0" collapsed="false">
      <c r="A402" s="61"/>
      <c r="B402" s="61"/>
      <c r="C402" s="56"/>
      <c r="D402" s="55"/>
      <c r="E402" s="57"/>
      <c r="F402" s="56"/>
      <c r="G402" s="58"/>
      <c r="H402" s="55"/>
      <c r="I402" s="55"/>
      <c r="J402" s="55"/>
      <c r="K402" s="59"/>
      <c r="L402" s="60"/>
      <c r="M402" s="60"/>
      <c r="N402" s="61"/>
    </row>
    <row r="403" customFormat="false" ht="12.75" hidden="false" customHeight="false" outlineLevel="0" collapsed="false">
      <c r="A403" s="61"/>
      <c r="B403" s="61"/>
      <c r="C403" s="56"/>
      <c r="D403" s="55"/>
      <c r="E403" s="57"/>
      <c r="F403" s="56"/>
      <c r="G403" s="58"/>
      <c r="H403" s="55"/>
      <c r="I403" s="55"/>
      <c r="J403" s="55"/>
      <c r="K403" s="59"/>
      <c r="L403" s="60"/>
      <c r="M403" s="60"/>
      <c r="N403" s="61"/>
    </row>
    <row r="404" customFormat="false" ht="12.75" hidden="false" customHeight="false" outlineLevel="0" collapsed="false">
      <c r="A404" s="61"/>
      <c r="B404" s="61"/>
      <c r="C404" s="56"/>
      <c r="D404" s="55"/>
      <c r="E404" s="57"/>
      <c r="F404" s="56"/>
      <c r="G404" s="58"/>
      <c r="H404" s="55"/>
      <c r="I404" s="55"/>
      <c r="J404" s="55"/>
      <c r="K404" s="59"/>
      <c r="L404" s="60"/>
      <c r="M404" s="60"/>
      <c r="N404" s="61"/>
    </row>
    <row r="405" customFormat="false" ht="12.75" hidden="false" customHeight="false" outlineLevel="0" collapsed="false">
      <c r="A405" s="61"/>
      <c r="B405" s="61"/>
      <c r="C405" s="56"/>
      <c r="D405" s="55"/>
      <c r="E405" s="57"/>
      <c r="F405" s="56"/>
      <c r="G405" s="58"/>
      <c r="H405" s="55"/>
      <c r="I405" s="55"/>
      <c r="J405" s="55"/>
      <c r="K405" s="59"/>
      <c r="L405" s="60"/>
      <c r="M405" s="60"/>
      <c r="N405" s="61"/>
    </row>
    <row r="406" customFormat="false" ht="12.75" hidden="false" customHeight="false" outlineLevel="0" collapsed="false">
      <c r="A406" s="61"/>
      <c r="B406" s="61"/>
      <c r="C406" s="56"/>
      <c r="D406" s="55"/>
      <c r="E406" s="57"/>
      <c r="F406" s="56"/>
      <c r="G406" s="58"/>
      <c r="H406" s="55"/>
      <c r="I406" s="55"/>
      <c r="J406" s="55"/>
      <c r="K406" s="59"/>
      <c r="L406" s="60"/>
      <c r="M406" s="60"/>
      <c r="N406" s="61"/>
    </row>
    <row r="407" customFormat="false" ht="12.75" hidden="false" customHeight="false" outlineLevel="0" collapsed="false">
      <c r="A407" s="61"/>
      <c r="B407" s="61"/>
      <c r="C407" s="56"/>
      <c r="D407" s="55"/>
      <c r="E407" s="57"/>
      <c r="F407" s="56"/>
      <c r="G407" s="58"/>
      <c r="H407" s="55"/>
      <c r="I407" s="55"/>
      <c r="J407" s="55"/>
      <c r="K407" s="59"/>
      <c r="L407" s="60"/>
      <c r="M407" s="60"/>
      <c r="N407" s="61"/>
    </row>
    <row r="408" customFormat="false" ht="12.75" hidden="false" customHeight="false" outlineLevel="0" collapsed="false">
      <c r="A408" s="61"/>
      <c r="B408" s="61"/>
      <c r="C408" s="56"/>
      <c r="D408" s="55"/>
      <c r="E408" s="57"/>
      <c r="F408" s="56"/>
      <c r="G408" s="58"/>
      <c r="H408" s="55"/>
      <c r="I408" s="55"/>
      <c r="J408" s="55"/>
      <c r="K408" s="59"/>
      <c r="L408" s="60"/>
      <c r="M408" s="60"/>
      <c r="N408" s="61"/>
    </row>
    <row r="409" customFormat="false" ht="12.75" hidden="false" customHeight="false" outlineLevel="0" collapsed="false">
      <c r="A409" s="61"/>
      <c r="B409" s="61"/>
      <c r="C409" s="56"/>
      <c r="D409" s="55"/>
      <c r="E409" s="57"/>
      <c r="F409" s="56"/>
      <c r="G409" s="58"/>
      <c r="H409" s="55"/>
      <c r="I409" s="55"/>
      <c r="J409" s="55"/>
      <c r="K409" s="59"/>
      <c r="L409" s="60"/>
      <c r="M409" s="60"/>
      <c r="N409" s="61"/>
    </row>
    <row r="410" customFormat="false" ht="12.75" hidden="false" customHeight="false" outlineLevel="0" collapsed="false">
      <c r="A410" s="61"/>
      <c r="B410" s="61"/>
      <c r="C410" s="56"/>
      <c r="D410" s="55"/>
      <c r="E410" s="57"/>
      <c r="F410" s="56"/>
      <c r="G410" s="58"/>
      <c r="H410" s="55"/>
      <c r="I410" s="55"/>
      <c r="J410" s="55"/>
      <c r="K410" s="59"/>
      <c r="L410" s="60"/>
      <c r="M410" s="60"/>
      <c r="N410" s="61"/>
    </row>
    <row r="411" customFormat="false" ht="12.75" hidden="false" customHeight="false" outlineLevel="0" collapsed="false">
      <c r="A411" s="61"/>
      <c r="B411" s="61"/>
      <c r="C411" s="56"/>
      <c r="D411" s="55"/>
      <c r="E411" s="57"/>
      <c r="F411" s="56"/>
      <c r="G411" s="58"/>
      <c r="H411" s="55"/>
      <c r="I411" s="55"/>
      <c r="J411" s="55"/>
      <c r="K411" s="59"/>
      <c r="L411" s="60"/>
      <c r="M411" s="60"/>
      <c r="N411" s="61"/>
    </row>
    <row r="412" customFormat="false" ht="12.75" hidden="false" customHeight="false" outlineLevel="0" collapsed="false">
      <c r="A412" s="61"/>
      <c r="B412" s="61"/>
      <c r="C412" s="56"/>
      <c r="D412" s="55"/>
      <c r="E412" s="57"/>
      <c r="F412" s="56"/>
      <c r="G412" s="58"/>
      <c r="H412" s="55"/>
      <c r="I412" s="55"/>
      <c r="J412" s="55"/>
      <c r="K412" s="59"/>
      <c r="L412" s="60"/>
      <c r="M412" s="60"/>
      <c r="N412" s="61"/>
    </row>
    <row r="413" customFormat="false" ht="12.75" hidden="false" customHeight="false" outlineLevel="0" collapsed="false">
      <c r="A413" s="61"/>
      <c r="B413" s="61"/>
      <c r="C413" s="56"/>
      <c r="D413" s="55"/>
      <c r="E413" s="57"/>
      <c r="F413" s="56"/>
      <c r="G413" s="58"/>
      <c r="H413" s="55"/>
      <c r="I413" s="55"/>
      <c r="J413" s="55"/>
      <c r="K413" s="59"/>
      <c r="L413" s="60"/>
      <c r="M413" s="60"/>
      <c r="N413" s="61"/>
    </row>
    <row r="414" customFormat="false" ht="12.75" hidden="false" customHeight="false" outlineLevel="0" collapsed="false">
      <c r="A414" s="61"/>
      <c r="B414" s="61"/>
      <c r="C414" s="56"/>
      <c r="D414" s="55"/>
      <c r="E414" s="57"/>
      <c r="F414" s="56"/>
      <c r="G414" s="58"/>
      <c r="H414" s="55"/>
      <c r="I414" s="55"/>
      <c r="J414" s="55"/>
      <c r="K414" s="59"/>
      <c r="L414" s="60"/>
      <c r="M414" s="60"/>
      <c r="N414" s="61"/>
    </row>
    <row r="415" customFormat="false" ht="12.75" hidden="false" customHeight="false" outlineLevel="0" collapsed="false">
      <c r="A415" s="61"/>
      <c r="B415" s="61"/>
      <c r="C415" s="56"/>
      <c r="D415" s="55"/>
      <c r="E415" s="57"/>
      <c r="F415" s="56"/>
      <c r="G415" s="58"/>
      <c r="H415" s="55"/>
      <c r="I415" s="55"/>
      <c r="J415" s="55"/>
      <c r="K415" s="59"/>
      <c r="L415" s="60"/>
      <c r="M415" s="60"/>
      <c r="N415" s="61"/>
    </row>
    <row r="416" customFormat="false" ht="12.75" hidden="false" customHeight="false" outlineLevel="0" collapsed="false">
      <c r="A416" s="61"/>
      <c r="B416" s="61"/>
      <c r="C416" s="56"/>
      <c r="D416" s="55"/>
      <c r="E416" s="57"/>
      <c r="F416" s="56"/>
      <c r="G416" s="58"/>
      <c r="H416" s="55"/>
      <c r="I416" s="55"/>
      <c r="J416" s="55"/>
      <c r="K416" s="59"/>
      <c r="L416" s="60"/>
      <c r="M416" s="60"/>
      <c r="N416" s="61"/>
    </row>
    <row r="417" customFormat="false" ht="12.75" hidden="false" customHeight="false" outlineLevel="0" collapsed="false">
      <c r="A417" s="61"/>
      <c r="B417" s="61"/>
      <c r="C417" s="56"/>
      <c r="D417" s="55"/>
      <c r="E417" s="57"/>
      <c r="F417" s="56"/>
      <c r="G417" s="58"/>
      <c r="H417" s="55"/>
      <c r="I417" s="55"/>
      <c r="J417" s="55"/>
      <c r="K417" s="59"/>
      <c r="L417" s="60"/>
      <c r="M417" s="60"/>
      <c r="N417" s="61"/>
    </row>
    <row r="418" customFormat="false" ht="12.75" hidden="false" customHeight="false" outlineLevel="0" collapsed="false">
      <c r="A418" s="61"/>
      <c r="B418" s="61"/>
      <c r="C418" s="56"/>
      <c r="D418" s="55"/>
      <c r="E418" s="57"/>
      <c r="F418" s="56"/>
      <c r="G418" s="58"/>
      <c r="H418" s="55"/>
      <c r="I418" s="55"/>
      <c r="J418" s="55"/>
      <c r="K418" s="59"/>
      <c r="L418" s="60"/>
      <c r="M418" s="60"/>
      <c r="N418" s="61"/>
    </row>
    <row r="419" customFormat="false" ht="12.75" hidden="false" customHeight="false" outlineLevel="0" collapsed="false">
      <c r="A419" s="61"/>
      <c r="B419" s="61"/>
      <c r="C419" s="56"/>
      <c r="D419" s="55"/>
      <c r="E419" s="57"/>
      <c r="F419" s="56"/>
      <c r="G419" s="58"/>
      <c r="H419" s="55"/>
      <c r="I419" s="55"/>
      <c r="J419" s="55"/>
      <c r="K419" s="59"/>
      <c r="L419" s="60"/>
      <c r="M419" s="60"/>
      <c r="N419" s="61"/>
    </row>
    <row r="420" customFormat="false" ht="12.75" hidden="false" customHeight="false" outlineLevel="0" collapsed="false">
      <c r="A420" s="61"/>
      <c r="B420" s="61"/>
      <c r="C420" s="56"/>
      <c r="D420" s="55"/>
      <c r="E420" s="57"/>
      <c r="F420" s="56"/>
      <c r="G420" s="58"/>
      <c r="H420" s="55"/>
      <c r="I420" s="55"/>
      <c r="J420" s="55"/>
      <c r="K420" s="59"/>
      <c r="L420" s="60"/>
      <c r="M420" s="60"/>
      <c r="N420" s="61"/>
    </row>
    <row r="421" customFormat="false" ht="12.75" hidden="false" customHeight="false" outlineLevel="0" collapsed="false">
      <c r="A421" s="61"/>
      <c r="B421" s="61"/>
      <c r="C421" s="56"/>
      <c r="D421" s="55"/>
      <c r="E421" s="57"/>
      <c r="F421" s="56"/>
      <c r="G421" s="58"/>
      <c r="H421" s="55"/>
      <c r="I421" s="55"/>
      <c r="J421" s="55"/>
      <c r="K421" s="59"/>
      <c r="L421" s="60"/>
      <c r="M421" s="60"/>
      <c r="N421" s="61"/>
    </row>
    <row r="422" customFormat="false" ht="12.75" hidden="false" customHeight="false" outlineLevel="0" collapsed="false">
      <c r="A422" s="61"/>
      <c r="B422" s="61"/>
      <c r="C422" s="56"/>
      <c r="D422" s="55"/>
      <c r="E422" s="57"/>
      <c r="F422" s="56"/>
      <c r="G422" s="58"/>
      <c r="H422" s="55"/>
      <c r="I422" s="55"/>
      <c r="J422" s="55"/>
      <c r="K422" s="59"/>
      <c r="L422" s="60"/>
      <c r="M422" s="60"/>
      <c r="N422" s="61"/>
    </row>
    <row r="423" customFormat="false" ht="12.75" hidden="false" customHeight="false" outlineLevel="0" collapsed="false">
      <c r="A423" s="61"/>
      <c r="B423" s="61"/>
      <c r="C423" s="56"/>
      <c r="D423" s="55"/>
      <c r="E423" s="57"/>
      <c r="F423" s="56"/>
      <c r="G423" s="58"/>
      <c r="H423" s="55"/>
      <c r="I423" s="55"/>
      <c r="J423" s="55"/>
      <c r="K423" s="59"/>
      <c r="L423" s="60"/>
      <c r="M423" s="60"/>
      <c r="N423" s="61"/>
    </row>
    <row r="424" customFormat="false" ht="12.75" hidden="false" customHeight="false" outlineLevel="0" collapsed="false">
      <c r="A424" s="61"/>
      <c r="B424" s="61"/>
      <c r="C424" s="56"/>
      <c r="D424" s="55"/>
      <c r="E424" s="57"/>
      <c r="F424" s="56"/>
      <c r="G424" s="58"/>
      <c r="H424" s="55"/>
      <c r="I424" s="55"/>
      <c r="J424" s="55"/>
      <c r="K424" s="59"/>
      <c r="L424" s="60"/>
      <c r="M424" s="60"/>
      <c r="N424" s="61"/>
    </row>
    <row r="425" customFormat="false" ht="12.75" hidden="false" customHeight="false" outlineLevel="0" collapsed="false">
      <c r="A425" s="61"/>
      <c r="B425" s="61"/>
      <c r="C425" s="56"/>
      <c r="D425" s="55"/>
      <c r="E425" s="57"/>
      <c r="F425" s="56"/>
      <c r="G425" s="58"/>
      <c r="H425" s="55"/>
      <c r="I425" s="55"/>
      <c r="J425" s="55"/>
      <c r="K425" s="59"/>
      <c r="L425" s="60"/>
      <c r="M425" s="60"/>
      <c r="N425" s="61"/>
    </row>
    <row r="426" customFormat="false" ht="12.75" hidden="false" customHeight="false" outlineLevel="0" collapsed="false">
      <c r="A426" s="61"/>
      <c r="B426" s="61"/>
      <c r="C426" s="56"/>
      <c r="D426" s="55"/>
      <c r="E426" s="57"/>
      <c r="F426" s="56"/>
      <c r="G426" s="58"/>
      <c r="H426" s="55"/>
      <c r="I426" s="55"/>
      <c r="J426" s="55"/>
      <c r="K426" s="59"/>
      <c r="L426" s="60"/>
      <c r="M426" s="60"/>
      <c r="N426" s="61"/>
    </row>
    <row r="427" customFormat="false" ht="12.75" hidden="false" customHeight="false" outlineLevel="0" collapsed="false">
      <c r="A427" s="61"/>
      <c r="B427" s="61"/>
      <c r="C427" s="56"/>
      <c r="D427" s="55"/>
      <c r="E427" s="57"/>
      <c r="F427" s="56"/>
      <c r="G427" s="58"/>
      <c r="H427" s="55"/>
      <c r="I427" s="55"/>
      <c r="J427" s="55"/>
      <c r="K427" s="59"/>
      <c r="L427" s="60"/>
      <c r="M427" s="60"/>
      <c r="N427" s="61"/>
    </row>
    <row r="428" customFormat="false" ht="12.75" hidden="false" customHeight="false" outlineLevel="0" collapsed="false">
      <c r="A428" s="61"/>
      <c r="B428" s="61"/>
      <c r="C428" s="56"/>
      <c r="D428" s="55"/>
      <c r="E428" s="57"/>
      <c r="F428" s="56"/>
      <c r="G428" s="58"/>
      <c r="H428" s="55"/>
      <c r="I428" s="55"/>
      <c r="J428" s="55"/>
      <c r="K428" s="59"/>
      <c r="L428" s="60"/>
      <c r="M428" s="60"/>
      <c r="N428" s="61"/>
    </row>
    <row r="429" customFormat="false" ht="12.75" hidden="false" customHeight="false" outlineLevel="0" collapsed="false">
      <c r="A429" s="61"/>
      <c r="B429" s="61"/>
      <c r="C429" s="56"/>
      <c r="D429" s="55"/>
      <c r="E429" s="57"/>
      <c r="F429" s="56"/>
      <c r="G429" s="58"/>
      <c r="H429" s="55"/>
      <c r="I429" s="55"/>
      <c r="J429" s="55"/>
      <c r="K429" s="59"/>
      <c r="L429" s="60"/>
      <c r="M429" s="60"/>
      <c r="N429" s="61"/>
    </row>
    <row r="430" customFormat="false" ht="12.75" hidden="false" customHeight="false" outlineLevel="0" collapsed="false">
      <c r="A430" s="61"/>
      <c r="B430" s="61"/>
      <c r="C430" s="56"/>
      <c r="D430" s="55"/>
      <c r="E430" s="57"/>
      <c r="F430" s="56"/>
      <c r="G430" s="58"/>
      <c r="H430" s="55"/>
      <c r="I430" s="55"/>
      <c r="J430" s="55"/>
      <c r="K430" s="59"/>
      <c r="L430" s="60"/>
      <c r="M430" s="60"/>
      <c r="N430" s="61"/>
    </row>
    <row r="431" customFormat="false" ht="12.75" hidden="false" customHeight="false" outlineLevel="0" collapsed="false">
      <c r="A431" s="61"/>
      <c r="B431" s="61"/>
      <c r="C431" s="56"/>
      <c r="D431" s="55"/>
      <c r="E431" s="57"/>
      <c r="F431" s="56"/>
      <c r="G431" s="58"/>
      <c r="H431" s="55"/>
      <c r="I431" s="55"/>
      <c r="J431" s="55"/>
      <c r="K431" s="59"/>
      <c r="L431" s="60"/>
      <c r="M431" s="60"/>
      <c r="N431" s="61"/>
    </row>
    <row r="432" customFormat="false" ht="12.75" hidden="false" customHeight="false" outlineLevel="0" collapsed="false">
      <c r="A432" s="61"/>
      <c r="B432" s="61"/>
      <c r="C432" s="56"/>
      <c r="D432" s="55"/>
      <c r="E432" s="57"/>
      <c r="F432" s="56"/>
      <c r="G432" s="58"/>
      <c r="H432" s="55"/>
      <c r="I432" s="55"/>
      <c r="J432" s="55"/>
      <c r="K432" s="59"/>
      <c r="L432" s="60"/>
      <c r="M432" s="60"/>
      <c r="N432" s="61"/>
    </row>
    <row r="433" customFormat="false" ht="12.75" hidden="false" customHeight="false" outlineLevel="0" collapsed="false">
      <c r="A433" s="61"/>
      <c r="B433" s="61"/>
      <c r="C433" s="56"/>
      <c r="D433" s="55"/>
      <c r="E433" s="57"/>
      <c r="F433" s="56"/>
      <c r="G433" s="58"/>
      <c r="H433" s="55"/>
      <c r="I433" s="55"/>
      <c r="J433" s="55"/>
      <c r="K433" s="59"/>
      <c r="L433" s="60"/>
      <c r="M433" s="60"/>
      <c r="N433" s="61"/>
    </row>
    <row r="434" customFormat="false" ht="12.75" hidden="false" customHeight="false" outlineLevel="0" collapsed="false">
      <c r="A434" s="61"/>
      <c r="B434" s="61"/>
      <c r="C434" s="56"/>
      <c r="D434" s="55"/>
      <c r="E434" s="57"/>
      <c r="F434" s="56"/>
      <c r="G434" s="58"/>
      <c r="H434" s="55"/>
      <c r="I434" s="55"/>
      <c r="J434" s="55"/>
      <c r="K434" s="59"/>
      <c r="L434" s="60"/>
      <c r="M434" s="60"/>
      <c r="N434" s="61"/>
    </row>
    <row r="435" customFormat="false" ht="12.75" hidden="false" customHeight="false" outlineLevel="0" collapsed="false">
      <c r="A435" s="61"/>
      <c r="B435" s="61"/>
      <c r="C435" s="56"/>
      <c r="D435" s="55"/>
      <c r="E435" s="57"/>
      <c r="F435" s="56"/>
      <c r="G435" s="58"/>
      <c r="H435" s="55"/>
      <c r="I435" s="55"/>
      <c r="J435" s="55"/>
      <c r="K435" s="59"/>
      <c r="L435" s="60"/>
      <c r="M435" s="60"/>
      <c r="N435" s="61"/>
    </row>
    <row r="436" customFormat="false" ht="12.75" hidden="false" customHeight="false" outlineLevel="0" collapsed="false">
      <c r="A436" s="61"/>
      <c r="B436" s="61"/>
      <c r="C436" s="56"/>
      <c r="D436" s="55"/>
      <c r="E436" s="57"/>
      <c r="F436" s="56"/>
      <c r="G436" s="58"/>
      <c r="H436" s="55"/>
      <c r="I436" s="55"/>
      <c r="J436" s="55"/>
      <c r="K436" s="59"/>
      <c r="L436" s="60"/>
      <c r="M436" s="60"/>
      <c r="N436" s="61"/>
    </row>
    <row r="437" customFormat="false" ht="12.75" hidden="false" customHeight="false" outlineLevel="0" collapsed="false">
      <c r="A437" s="61"/>
      <c r="B437" s="61"/>
      <c r="C437" s="56"/>
      <c r="D437" s="55"/>
      <c r="E437" s="57"/>
      <c r="F437" s="56"/>
      <c r="G437" s="58"/>
      <c r="H437" s="55"/>
      <c r="I437" s="55"/>
      <c r="J437" s="55"/>
      <c r="K437" s="59"/>
      <c r="L437" s="60"/>
      <c r="M437" s="60"/>
      <c r="N437" s="61"/>
    </row>
    <row r="438" customFormat="false" ht="12.75" hidden="false" customHeight="false" outlineLevel="0" collapsed="false">
      <c r="A438" s="61"/>
      <c r="B438" s="61"/>
      <c r="C438" s="56"/>
      <c r="D438" s="55"/>
      <c r="E438" s="57"/>
      <c r="F438" s="56"/>
      <c r="G438" s="58"/>
      <c r="H438" s="55"/>
      <c r="I438" s="55"/>
      <c r="J438" s="55"/>
      <c r="K438" s="59"/>
      <c r="L438" s="60"/>
      <c r="M438" s="60"/>
      <c r="N438" s="61"/>
    </row>
    <row r="439" customFormat="false" ht="12.75" hidden="false" customHeight="false" outlineLevel="0" collapsed="false">
      <c r="A439" s="61"/>
      <c r="B439" s="61"/>
      <c r="C439" s="56"/>
      <c r="D439" s="55"/>
      <c r="E439" s="57"/>
      <c r="F439" s="56"/>
      <c r="G439" s="58"/>
      <c r="H439" s="55"/>
      <c r="I439" s="55"/>
      <c r="J439" s="55"/>
      <c r="K439" s="59"/>
      <c r="L439" s="60"/>
      <c r="M439" s="60"/>
      <c r="N439" s="61"/>
    </row>
    <row r="440" customFormat="false" ht="12.75" hidden="false" customHeight="false" outlineLevel="0" collapsed="false">
      <c r="A440" s="61"/>
      <c r="B440" s="61"/>
      <c r="C440" s="56"/>
      <c r="D440" s="55"/>
      <c r="E440" s="57"/>
      <c r="F440" s="56"/>
      <c r="G440" s="58"/>
      <c r="H440" s="55"/>
      <c r="I440" s="55"/>
      <c r="J440" s="55"/>
      <c r="K440" s="59"/>
      <c r="L440" s="60"/>
      <c r="M440" s="60"/>
      <c r="N440" s="61"/>
    </row>
    <row r="441" customFormat="false" ht="12.75" hidden="false" customHeight="false" outlineLevel="0" collapsed="false">
      <c r="A441" s="61"/>
      <c r="B441" s="61"/>
      <c r="C441" s="56"/>
      <c r="D441" s="55"/>
      <c r="E441" s="57"/>
      <c r="F441" s="56"/>
      <c r="G441" s="58"/>
      <c r="H441" s="55"/>
      <c r="I441" s="55"/>
      <c r="J441" s="55"/>
      <c r="K441" s="59"/>
      <c r="L441" s="60"/>
      <c r="M441" s="60"/>
      <c r="N441" s="61"/>
    </row>
    <row r="442" customFormat="false" ht="12.75" hidden="false" customHeight="false" outlineLevel="0" collapsed="false">
      <c r="A442" s="61"/>
      <c r="B442" s="61"/>
      <c r="C442" s="56"/>
      <c r="D442" s="55"/>
      <c r="E442" s="57"/>
      <c r="F442" s="56"/>
      <c r="G442" s="58"/>
      <c r="H442" s="55"/>
      <c r="I442" s="55"/>
      <c r="J442" s="55"/>
      <c r="K442" s="59"/>
      <c r="L442" s="60"/>
      <c r="M442" s="60"/>
      <c r="N442" s="61"/>
    </row>
    <row r="443" customFormat="false" ht="12.75" hidden="false" customHeight="false" outlineLevel="0" collapsed="false">
      <c r="A443" s="61"/>
      <c r="B443" s="61"/>
      <c r="C443" s="56"/>
      <c r="D443" s="55"/>
      <c r="E443" s="57"/>
      <c r="F443" s="56"/>
      <c r="G443" s="58"/>
      <c r="H443" s="55"/>
      <c r="I443" s="55"/>
      <c r="J443" s="55"/>
      <c r="K443" s="59"/>
      <c r="L443" s="60"/>
      <c r="M443" s="60"/>
      <c r="N443" s="61"/>
    </row>
    <row r="444" customFormat="false" ht="12.75" hidden="false" customHeight="false" outlineLevel="0" collapsed="false">
      <c r="A444" s="61"/>
      <c r="B444" s="61"/>
      <c r="C444" s="56"/>
      <c r="D444" s="55"/>
      <c r="E444" s="57"/>
      <c r="F444" s="56"/>
      <c r="G444" s="58"/>
      <c r="H444" s="55"/>
      <c r="I444" s="55"/>
      <c r="J444" s="55"/>
      <c r="K444" s="59"/>
      <c r="L444" s="60"/>
      <c r="M444" s="60"/>
      <c r="N444" s="61"/>
    </row>
    <row r="445" customFormat="false" ht="12.75" hidden="false" customHeight="false" outlineLevel="0" collapsed="false">
      <c r="A445" s="61"/>
      <c r="B445" s="61"/>
      <c r="C445" s="56"/>
      <c r="D445" s="55"/>
      <c r="E445" s="57"/>
      <c r="F445" s="56"/>
      <c r="G445" s="58"/>
      <c r="H445" s="55"/>
      <c r="I445" s="55"/>
      <c r="J445" s="55"/>
      <c r="K445" s="59"/>
      <c r="L445" s="60"/>
      <c r="M445" s="60"/>
      <c r="N445" s="61"/>
    </row>
    <row r="446" customFormat="false" ht="12.75" hidden="false" customHeight="false" outlineLevel="0" collapsed="false">
      <c r="A446" s="61"/>
      <c r="B446" s="61"/>
      <c r="C446" s="56"/>
      <c r="D446" s="55"/>
      <c r="E446" s="57"/>
      <c r="F446" s="56"/>
      <c r="G446" s="58"/>
      <c r="H446" s="55"/>
      <c r="I446" s="55"/>
      <c r="J446" s="55"/>
      <c r="K446" s="59"/>
      <c r="L446" s="60"/>
      <c r="M446" s="60"/>
      <c r="N446" s="61"/>
    </row>
    <row r="447" customFormat="false" ht="12.75" hidden="false" customHeight="false" outlineLevel="0" collapsed="false">
      <c r="A447" s="61"/>
      <c r="B447" s="61"/>
      <c r="C447" s="56"/>
      <c r="D447" s="55"/>
      <c r="E447" s="57"/>
      <c r="F447" s="56"/>
      <c r="G447" s="58"/>
      <c r="H447" s="55"/>
      <c r="I447" s="55"/>
      <c r="J447" s="55"/>
      <c r="K447" s="59"/>
      <c r="L447" s="60"/>
      <c r="M447" s="60"/>
      <c r="N447" s="61"/>
    </row>
    <row r="448" customFormat="false" ht="12.75" hidden="false" customHeight="false" outlineLevel="0" collapsed="false">
      <c r="A448" s="61"/>
      <c r="B448" s="61"/>
      <c r="C448" s="56"/>
      <c r="D448" s="55"/>
      <c r="E448" s="57"/>
      <c r="F448" s="56"/>
      <c r="G448" s="58"/>
      <c r="H448" s="55"/>
      <c r="I448" s="55"/>
      <c r="J448" s="55"/>
      <c r="K448" s="59"/>
      <c r="L448" s="60"/>
      <c r="M448" s="60"/>
      <c r="N448" s="61"/>
    </row>
    <row r="449" customFormat="false" ht="12.75" hidden="false" customHeight="false" outlineLevel="0" collapsed="false">
      <c r="A449" s="61"/>
      <c r="B449" s="61"/>
      <c r="C449" s="56"/>
      <c r="D449" s="55"/>
      <c r="E449" s="57"/>
      <c r="F449" s="56"/>
      <c r="G449" s="58"/>
      <c r="H449" s="55"/>
      <c r="I449" s="55"/>
      <c r="J449" s="55"/>
      <c r="K449" s="59"/>
      <c r="L449" s="60"/>
      <c r="M449" s="60"/>
      <c r="N449" s="61"/>
    </row>
    <row r="450" customFormat="false" ht="12.75" hidden="false" customHeight="false" outlineLevel="0" collapsed="false">
      <c r="A450" s="61"/>
      <c r="B450" s="61"/>
      <c r="C450" s="56"/>
      <c r="D450" s="55"/>
      <c r="E450" s="57"/>
      <c r="F450" s="56"/>
      <c r="G450" s="58"/>
      <c r="H450" s="55"/>
      <c r="I450" s="55"/>
      <c r="J450" s="55"/>
      <c r="K450" s="59"/>
      <c r="L450" s="60"/>
      <c r="M450" s="60"/>
      <c r="N450" s="61"/>
    </row>
    <row r="451" customFormat="false" ht="12.75" hidden="false" customHeight="false" outlineLevel="0" collapsed="false">
      <c r="A451" s="61"/>
      <c r="B451" s="61"/>
      <c r="C451" s="56"/>
      <c r="D451" s="55"/>
      <c r="E451" s="57"/>
      <c r="F451" s="56"/>
      <c r="G451" s="58"/>
      <c r="H451" s="55"/>
      <c r="I451" s="55"/>
      <c r="J451" s="55"/>
      <c r="K451" s="59"/>
      <c r="L451" s="60"/>
      <c r="M451" s="60"/>
      <c r="N451" s="61"/>
    </row>
    <row r="452" customFormat="false" ht="12.75" hidden="false" customHeight="false" outlineLevel="0" collapsed="false">
      <c r="A452" s="61"/>
      <c r="B452" s="61"/>
      <c r="C452" s="56"/>
      <c r="D452" s="55"/>
      <c r="E452" s="57"/>
      <c r="F452" s="56"/>
      <c r="G452" s="58"/>
      <c r="H452" s="55"/>
      <c r="I452" s="55"/>
      <c r="J452" s="55"/>
      <c r="K452" s="59"/>
      <c r="L452" s="60"/>
      <c r="M452" s="60"/>
      <c r="N452" s="61"/>
    </row>
    <row r="453" customFormat="false" ht="12.75" hidden="false" customHeight="false" outlineLevel="0" collapsed="false">
      <c r="A453" s="61"/>
      <c r="B453" s="61"/>
      <c r="C453" s="56"/>
      <c r="D453" s="55"/>
      <c r="E453" s="57"/>
      <c r="F453" s="56"/>
      <c r="G453" s="58"/>
      <c r="H453" s="55"/>
      <c r="I453" s="55"/>
      <c r="J453" s="55"/>
      <c r="K453" s="59"/>
      <c r="L453" s="60"/>
      <c r="M453" s="60"/>
      <c r="N453" s="61"/>
    </row>
    <row r="454" customFormat="false" ht="12.75" hidden="false" customHeight="false" outlineLevel="0" collapsed="false">
      <c r="A454" s="61"/>
      <c r="B454" s="61"/>
      <c r="C454" s="56"/>
      <c r="D454" s="55"/>
      <c r="E454" s="57"/>
      <c r="F454" s="56"/>
      <c r="G454" s="58"/>
      <c r="H454" s="55"/>
      <c r="I454" s="55"/>
      <c r="J454" s="55"/>
      <c r="K454" s="59"/>
      <c r="L454" s="60"/>
      <c r="M454" s="60"/>
      <c r="N454" s="61"/>
    </row>
    <row r="455" customFormat="false" ht="12.75" hidden="false" customHeight="false" outlineLevel="0" collapsed="false">
      <c r="A455" s="61"/>
      <c r="B455" s="61"/>
      <c r="C455" s="56"/>
      <c r="D455" s="55"/>
      <c r="E455" s="57"/>
      <c r="F455" s="56"/>
      <c r="G455" s="58"/>
      <c r="H455" s="55"/>
      <c r="I455" s="55"/>
      <c r="J455" s="55"/>
      <c r="K455" s="59"/>
      <c r="L455" s="60"/>
      <c r="M455" s="60"/>
      <c r="N455" s="61"/>
    </row>
    <row r="456" customFormat="false" ht="12.75" hidden="false" customHeight="false" outlineLevel="0" collapsed="false">
      <c r="A456" s="61"/>
      <c r="B456" s="61"/>
      <c r="C456" s="56"/>
      <c r="D456" s="55"/>
      <c r="E456" s="57"/>
      <c r="F456" s="56"/>
      <c r="G456" s="58"/>
      <c r="H456" s="55"/>
      <c r="I456" s="55"/>
      <c r="J456" s="55"/>
      <c r="K456" s="59"/>
      <c r="L456" s="60"/>
      <c r="M456" s="60"/>
      <c r="N456" s="61"/>
    </row>
    <row r="457" customFormat="false" ht="12.75" hidden="false" customHeight="false" outlineLevel="0" collapsed="false">
      <c r="A457" s="61"/>
      <c r="B457" s="61"/>
      <c r="C457" s="56"/>
      <c r="D457" s="55"/>
      <c r="E457" s="57"/>
      <c r="F457" s="56"/>
      <c r="G457" s="58"/>
      <c r="H457" s="55"/>
      <c r="I457" s="55"/>
      <c r="J457" s="55"/>
      <c r="K457" s="59"/>
      <c r="L457" s="60"/>
      <c r="M457" s="60"/>
      <c r="N457" s="61"/>
    </row>
    <row r="458" customFormat="false" ht="12.75" hidden="false" customHeight="false" outlineLevel="0" collapsed="false">
      <c r="A458" s="61"/>
      <c r="B458" s="61"/>
      <c r="C458" s="56"/>
      <c r="D458" s="55"/>
      <c r="E458" s="57"/>
      <c r="F458" s="56"/>
      <c r="G458" s="58"/>
      <c r="H458" s="55"/>
      <c r="I458" s="55"/>
      <c r="J458" s="55"/>
      <c r="K458" s="59"/>
      <c r="L458" s="60"/>
      <c r="M458" s="60"/>
      <c r="N458" s="61"/>
    </row>
    <row r="459" customFormat="false" ht="12.75" hidden="false" customHeight="false" outlineLevel="0" collapsed="false">
      <c r="A459" s="61"/>
      <c r="B459" s="61"/>
      <c r="C459" s="56"/>
      <c r="D459" s="55"/>
      <c r="E459" s="57"/>
      <c r="F459" s="56"/>
      <c r="G459" s="58"/>
      <c r="H459" s="55"/>
      <c r="I459" s="55"/>
      <c r="J459" s="55"/>
      <c r="K459" s="59"/>
      <c r="L459" s="60"/>
      <c r="M459" s="60"/>
      <c r="N459" s="61"/>
    </row>
    <row r="460" customFormat="false" ht="12.75" hidden="false" customHeight="false" outlineLevel="0" collapsed="false">
      <c r="A460" s="61"/>
      <c r="B460" s="61"/>
      <c r="C460" s="56"/>
      <c r="D460" s="55"/>
      <c r="E460" s="57"/>
      <c r="F460" s="56"/>
      <c r="G460" s="58"/>
      <c r="H460" s="55"/>
      <c r="I460" s="55"/>
      <c r="J460" s="55"/>
      <c r="K460" s="59"/>
      <c r="L460" s="60"/>
      <c r="M460" s="60"/>
      <c r="N460" s="61"/>
    </row>
    <row r="461" customFormat="false" ht="12.75" hidden="false" customHeight="false" outlineLevel="0" collapsed="false">
      <c r="A461" s="61"/>
      <c r="B461" s="61"/>
      <c r="C461" s="56"/>
      <c r="D461" s="55"/>
      <c r="E461" s="57"/>
      <c r="F461" s="56"/>
      <c r="G461" s="58"/>
      <c r="H461" s="55"/>
      <c r="I461" s="55"/>
      <c r="J461" s="55"/>
      <c r="K461" s="59"/>
      <c r="L461" s="60"/>
      <c r="M461" s="60"/>
      <c r="N461" s="61"/>
    </row>
    <row r="462" customFormat="false" ht="12.75" hidden="false" customHeight="false" outlineLevel="0" collapsed="false">
      <c r="A462" s="61"/>
      <c r="B462" s="61"/>
      <c r="C462" s="56"/>
      <c r="D462" s="55"/>
      <c r="E462" s="57"/>
      <c r="F462" s="56"/>
      <c r="G462" s="58"/>
      <c r="H462" s="55"/>
      <c r="I462" s="55"/>
      <c r="J462" s="55"/>
      <c r="K462" s="59"/>
      <c r="L462" s="60"/>
      <c r="M462" s="60"/>
      <c r="N462" s="61"/>
    </row>
    <row r="463" customFormat="false" ht="12.75" hidden="false" customHeight="false" outlineLevel="0" collapsed="false">
      <c r="A463" s="61"/>
      <c r="B463" s="61"/>
      <c r="C463" s="56"/>
      <c r="D463" s="55"/>
      <c r="E463" s="57"/>
      <c r="F463" s="56"/>
      <c r="G463" s="58"/>
      <c r="H463" s="55"/>
      <c r="I463" s="55"/>
      <c r="J463" s="55"/>
      <c r="K463" s="59"/>
      <c r="L463" s="60"/>
      <c r="M463" s="60"/>
      <c r="N463" s="61"/>
    </row>
    <row r="464" customFormat="false" ht="12.75" hidden="false" customHeight="false" outlineLevel="0" collapsed="false">
      <c r="A464" s="61"/>
      <c r="B464" s="61"/>
      <c r="C464" s="56"/>
      <c r="D464" s="55"/>
      <c r="E464" s="57"/>
      <c r="F464" s="56"/>
      <c r="G464" s="58"/>
      <c r="H464" s="55"/>
      <c r="I464" s="55"/>
      <c r="J464" s="55"/>
      <c r="K464" s="59"/>
      <c r="L464" s="60"/>
      <c r="M464" s="60"/>
      <c r="N464" s="61"/>
    </row>
    <row r="465" customFormat="false" ht="12.75" hidden="false" customHeight="false" outlineLevel="0" collapsed="false">
      <c r="A465" s="61"/>
      <c r="B465" s="61"/>
      <c r="C465" s="56"/>
      <c r="D465" s="55"/>
      <c r="E465" s="57"/>
      <c r="F465" s="56"/>
      <c r="G465" s="58"/>
      <c r="H465" s="55"/>
      <c r="I465" s="55"/>
      <c r="J465" s="55"/>
      <c r="K465" s="59"/>
      <c r="L465" s="60"/>
      <c r="M465" s="60"/>
      <c r="N465" s="61"/>
    </row>
    <row r="466" customFormat="false" ht="12.75" hidden="false" customHeight="false" outlineLevel="0" collapsed="false">
      <c r="A466" s="61"/>
      <c r="B466" s="61"/>
      <c r="C466" s="56"/>
      <c r="D466" s="55"/>
      <c r="E466" s="57"/>
      <c r="F466" s="56"/>
      <c r="G466" s="58"/>
      <c r="H466" s="55"/>
      <c r="I466" s="55"/>
      <c r="J466" s="55"/>
      <c r="K466" s="59"/>
      <c r="L466" s="60"/>
      <c r="M466" s="60"/>
      <c r="N466" s="61"/>
    </row>
    <row r="467" customFormat="false" ht="12.75" hidden="false" customHeight="false" outlineLevel="0" collapsed="false">
      <c r="A467" s="61"/>
      <c r="B467" s="61"/>
      <c r="C467" s="56"/>
      <c r="D467" s="55"/>
      <c r="E467" s="57"/>
      <c r="F467" s="56"/>
      <c r="G467" s="58"/>
      <c r="H467" s="55"/>
      <c r="I467" s="55"/>
      <c r="J467" s="55"/>
      <c r="K467" s="59"/>
      <c r="L467" s="60"/>
      <c r="M467" s="60"/>
      <c r="N467" s="61"/>
    </row>
    <row r="468" customFormat="false" ht="12.75" hidden="false" customHeight="false" outlineLevel="0" collapsed="false">
      <c r="A468" s="61"/>
      <c r="B468" s="61"/>
      <c r="C468" s="56"/>
      <c r="D468" s="55"/>
      <c r="E468" s="57"/>
      <c r="F468" s="56"/>
      <c r="G468" s="58"/>
      <c r="H468" s="55"/>
      <c r="I468" s="55"/>
      <c r="J468" s="55"/>
      <c r="K468" s="59"/>
      <c r="L468" s="60"/>
      <c r="M468" s="60"/>
      <c r="N468" s="61"/>
    </row>
    <row r="469" customFormat="false" ht="12.75" hidden="false" customHeight="false" outlineLevel="0" collapsed="false">
      <c r="A469" s="61"/>
      <c r="B469" s="61"/>
      <c r="C469" s="56"/>
      <c r="D469" s="55"/>
      <c r="E469" s="57"/>
      <c r="F469" s="56"/>
      <c r="G469" s="58"/>
      <c r="H469" s="55"/>
      <c r="I469" s="55"/>
      <c r="J469" s="55"/>
      <c r="K469" s="59"/>
      <c r="L469" s="60"/>
      <c r="M469" s="60"/>
      <c r="N469" s="61"/>
    </row>
    <row r="470" customFormat="false" ht="12.75" hidden="false" customHeight="false" outlineLevel="0" collapsed="false">
      <c r="A470" s="61"/>
      <c r="B470" s="61"/>
      <c r="C470" s="56"/>
      <c r="D470" s="55"/>
      <c r="E470" s="57"/>
      <c r="F470" s="56"/>
      <c r="G470" s="58"/>
      <c r="H470" s="55"/>
      <c r="I470" s="55"/>
      <c r="J470" s="55"/>
      <c r="K470" s="59"/>
      <c r="L470" s="60"/>
      <c r="M470" s="60"/>
      <c r="N470" s="61"/>
    </row>
    <row r="471" customFormat="false" ht="12.75" hidden="false" customHeight="false" outlineLevel="0" collapsed="false">
      <c r="A471" s="61"/>
      <c r="B471" s="61"/>
      <c r="C471" s="56"/>
      <c r="D471" s="55"/>
      <c r="E471" s="57"/>
      <c r="F471" s="56"/>
      <c r="G471" s="58"/>
      <c r="H471" s="55"/>
      <c r="I471" s="55"/>
      <c r="J471" s="55"/>
      <c r="K471" s="59"/>
      <c r="L471" s="60"/>
      <c r="M471" s="60"/>
      <c r="N471" s="61"/>
    </row>
    <row r="472" customFormat="false" ht="12.75" hidden="false" customHeight="false" outlineLevel="0" collapsed="false">
      <c r="A472" s="61"/>
      <c r="B472" s="61"/>
      <c r="C472" s="56"/>
      <c r="D472" s="55"/>
      <c r="E472" s="57"/>
      <c r="F472" s="56"/>
      <c r="G472" s="58"/>
      <c r="H472" s="55"/>
      <c r="I472" s="55"/>
      <c r="J472" s="55"/>
      <c r="K472" s="59"/>
      <c r="L472" s="60"/>
      <c r="M472" s="60"/>
      <c r="N472" s="61"/>
    </row>
    <row r="473" customFormat="false" ht="12.75" hidden="false" customHeight="false" outlineLevel="0" collapsed="false">
      <c r="A473" s="61"/>
      <c r="B473" s="61"/>
      <c r="C473" s="56"/>
      <c r="D473" s="55"/>
      <c r="E473" s="57"/>
      <c r="F473" s="56"/>
      <c r="G473" s="58"/>
      <c r="H473" s="55"/>
      <c r="I473" s="55"/>
      <c r="J473" s="55"/>
      <c r="K473" s="59"/>
      <c r="L473" s="60"/>
      <c r="M473" s="60"/>
      <c r="N473" s="61"/>
    </row>
    <row r="474" customFormat="false" ht="12.75" hidden="false" customHeight="false" outlineLevel="0" collapsed="false">
      <c r="A474" s="61"/>
      <c r="B474" s="61"/>
      <c r="C474" s="56"/>
      <c r="D474" s="55"/>
      <c r="E474" s="57"/>
      <c r="F474" s="56"/>
      <c r="G474" s="58"/>
      <c r="H474" s="55"/>
      <c r="I474" s="55"/>
      <c r="J474" s="55"/>
      <c r="K474" s="59"/>
      <c r="L474" s="60"/>
      <c r="M474" s="60"/>
      <c r="N474" s="61"/>
    </row>
    <row r="475" customFormat="false" ht="12.75" hidden="false" customHeight="false" outlineLevel="0" collapsed="false">
      <c r="A475" s="61"/>
      <c r="B475" s="61"/>
      <c r="C475" s="56"/>
      <c r="D475" s="55"/>
      <c r="E475" s="57"/>
      <c r="F475" s="56"/>
      <c r="G475" s="58"/>
      <c r="H475" s="55"/>
      <c r="I475" s="55"/>
      <c r="J475" s="55"/>
      <c r="K475" s="59"/>
      <c r="L475" s="60"/>
      <c r="M475" s="60"/>
      <c r="N475" s="61"/>
    </row>
    <row r="476" customFormat="false" ht="12.75" hidden="false" customHeight="false" outlineLevel="0" collapsed="false">
      <c r="A476" s="61"/>
      <c r="B476" s="61"/>
      <c r="C476" s="56"/>
      <c r="D476" s="55"/>
      <c r="E476" s="57"/>
      <c r="F476" s="56"/>
      <c r="G476" s="58"/>
      <c r="H476" s="55"/>
      <c r="I476" s="55"/>
      <c r="J476" s="55"/>
      <c r="K476" s="59"/>
      <c r="L476" s="60"/>
      <c r="M476" s="60"/>
      <c r="N476" s="61"/>
    </row>
    <row r="477" customFormat="false" ht="12.75" hidden="false" customHeight="false" outlineLevel="0" collapsed="false">
      <c r="A477" s="61"/>
      <c r="B477" s="61"/>
      <c r="C477" s="56"/>
      <c r="D477" s="55"/>
      <c r="E477" s="57"/>
      <c r="F477" s="56"/>
      <c r="G477" s="58"/>
      <c r="H477" s="55"/>
      <c r="I477" s="55"/>
      <c r="J477" s="55"/>
      <c r="K477" s="59"/>
      <c r="L477" s="60"/>
      <c r="M477" s="60"/>
      <c r="N477" s="61"/>
    </row>
    <row r="478" customFormat="false" ht="12.75" hidden="false" customHeight="false" outlineLevel="0" collapsed="false">
      <c r="A478" s="61"/>
      <c r="B478" s="61"/>
      <c r="C478" s="56"/>
      <c r="D478" s="55"/>
      <c r="E478" s="57"/>
      <c r="F478" s="56"/>
      <c r="G478" s="58"/>
      <c r="H478" s="55"/>
      <c r="I478" s="55"/>
      <c r="J478" s="55"/>
      <c r="K478" s="59"/>
      <c r="L478" s="60"/>
      <c r="M478" s="60"/>
      <c r="N478" s="61"/>
    </row>
    <row r="479" customFormat="false" ht="12.75" hidden="false" customHeight="false" outlineLevel="0" collapsed="false">
      <c r="A479" s="61"/>
      <c r="B479" s="61"/>
      <c r="C479" s="56"/>
      <c r="D479" s="55"/>
      <c r="E479" s="57"/>
      <c r="F479" s="56"/>
      <c r="G479" s="58"/>
      <c r="H479" s="55"/>
      <c r="I479" s="55"/>
      <c r="J479" s="55"/>
      <c r="K479" s="59"/>
      <c r="L479" s="60"/>
      <c r="M479" s="60"/>
      <c r="N479" s="61"/>
    </row>
    <row r="480" customFormat="false" ht="12.75" hidden="false" customHeight="false" outlineLevel="0" collapsed="false">
      <c r="A480" s="61"/>
      <c r="B480" s="61"/>
      <c r="C480" s="56"/>
      <c r="D480" s="55"/>
      <c r="E480" s="57"/>
      <c r="F480" s="56"/>
      <c r="G480" s="58"/>
      <c r="H480" s="55"/>
      <c r="I480" s="55"/>
      <c r="J480" s="55"/>
      <c r="K480" s="59"/>
      <c r="L480" s="60"/>
      <c r="M480" s="60"/>
      <c r="N480" s="61"/>
    </row>
    <row r="481" customFormat="false" ht="12.75" hidden="false" customHeight="false" outlineLevel="0" collapsed="false">
      <c r="A481" s="61"/>
      <c r="B481" s="61"/>
      <c r="C481" s="56"/>
      <c r="D481" s="55"/>
      <c r="E481" s="57"/>
      <c r="F481" s="56"/>
      <c r="G481" s="58"/>
      <c r="H481" s="55"/>
      <c r="I481" s="55"/>
      <c r="J481" s="55"/>
      <c r="K481" s="59"/>
      <c r="L481" s="60"/>
      <c r="M481" s="60"/>
      <c r="N481" s="61"/>
    </row>
    <row r="482" customFormat="false" ht="12.75" hidden="false" customHeight="false" outlineLevel="0" collapsed="false">
      <c r="A482" s="61"/>
      <c r="B482" s="61"/>
      <c r="C482" s="56"/>
      <c r="D482" s="55"/>
      <c r="E482" s="57"/>
      <c r="F482" s="56"/>
      <c r="G482" s="58"/>
      <c r="H482" s="55"/>
      <c r="I482" s="55"/>
      <c r="J482" s="55"/>
      <c r="K482" s="59"/>
      <c r="L482" s="60"/>
      <c r="M482" s="60"/>
      <c r="N482" s="61"/>
    </row>
    <row r="483" customFormat="false" ht="12.75" hidden="false" customHeight="false" outlineLevel="0" collapsed="false">
      <c r="A483" s="61"/>
      <c r="B483" s="61"/>
      <c r="C483" s="56"/>
      <c r="D483" s="55"/>
      <c r="E483" s="57"/>
      <c r="F483" s="56"/>
      <c r="G483" s="58"/>
      <c r="H483" s="55"/>
      <c r="I483" s="55"/>
      <c r="J483" s="55"/>
      <c r="K483" s="59"/>
      <c r="L483" s="60"/>
      <c r="M483" s="60"/>
      <c r="N483" s="61"/>
    </row>
    <row r="484" customFormat="false" ht="12.75" hidden="false" customHeight="false" outlineLevel="0" collapsed="false">
      <c r="A484" s="61"/>
      <c r="B484" s="61"/>
      <c r="C484" s="56"/>
      <c r="D484" s="55"/>
      <c r="E484" s="57"/>
      <c r="F484" s="56"/>
      <c r="G484" s="58"/>
      <c r="H484" s="55"/>
      <c r="I484" s="55"/>
      <c r="J484" s="55"/>
      <c r="K484" s="59"/>
      <c r="L484" s="60"/>
      <c r="M484" s="60"/>
      <c r="N484" s="61"/>
    </row>
    <row r="485" customFormat="false" ht="12.75" hidden="false" customHeight="false" outlineLevel="0" collapsed="false">
      <c r="A485" s="61"/>
      <c r="B485" s="61"/>
      <c r="C485" s="56"/>
      <c r="D485" s="55"/>
      <c r="E485" s="57"/>
      <c r="F485" s="56"/>
      <c r="G485" s="58"/>
      <c r="H485" s="55"/>
      <c r="I485" s="55"/>
      <c r="J485" s="55"/>
      <c r="K485" s="59"/>
      <c r="L485" s="60"/>
      <c r="M485" s="60"/>
      <c r="N485" s="61"/>
    </row>
    <row r="486" customFormat="false" ht="12.75" hidden="false" customHeight="false" outlineLevel="0" collapsed="false">
      <c r="A486" s="61"/>
      <c r="B486" s="61"/>
      <c r="C486" s="56"/>
      <c r="D486" s="55"/>
      <c r="E486" s="57"/>
      <c r="F486" s="56"/>
      <c r="G486" s="58"/>
      <c r="H486" s="55"/>
      <c r="I486" s="55"/>
      <c r="J486" s="55"/>
      <c r="K486" s="59"/>
      <c r="L486" s="60"/>
      <c r="M486" s="60"/>
      <c r="N486" s="61"/>
    </row>
    <row r="487" customFormat="false" ht="12.75" hidden="false" customHeight="false" outlineLevel="0" collapsed="false">
      <c r="A487" s="61"/>
      <c r="B487" s="61"/>
      <c r="C487" s="56"/>
      <c r="D487" s="55"/>
      <c r="E487" s="57"/>
      <c r="F487" s="56"/>
      <c r="G487" s="58"/>
      <c r="H487" s="55"/>
      <c r="I487" s="55"/>
      <c r="J487" s="55"/>
      <c r="K487" s="59"/>
      <c r="L487" s="60"/>
      <c r="M487" s="60"/>
      <c r="N487" s="61"/>
    </row>
    <row r="488" customFormat="false" ht="12.75" hidden="false" customHeight="false" outlineLevel="0" collapsed="false">
      <c r="A488" s="61"/>
      <c r="B488" s="61"/>
      <c r="C488" s="56"/>
      <c r="D488" s="55"/>
      <c r="E488" s="57"/>
      <c r="F488" s="56"/>
      <c r="G488" s="58"/>
      <c r="H488" s="55"/>
      <c r="I488" s="55"/>
      <c r="J488" s="55"/>
      <c r="K488" s="59"/>
      <c r="L488" s="60"/>
      <c r="M488" s="60"/>
      <c r="N488" s="61"/>
    </row>
    <row r="489" customFormat="false" ht="12.75" hidden="false" customHeight="false" outlineLevel="0" collapsed="false">
      <c r="A489" s="61"/>
      <c r="B489" s="61"/>
      <c r="C489" s="56"/>
      <c r="D489" s="55"/>
      <c r="E489" s="57"/>
      <c r="F489" s="56"/>
      <c r="G489" s="58"/>
      <c r="H489" s="55"/>
      <c r="I489" s="55"/>
      <c r="J489" s="55"/>
      <c r="K489" s="59"/>
      <c r="L489" s="60"/>
      <c r="M489" s="60"/>
      <c r="N489" s="61"/>
    </row>
    <row r="490" customFormat="false" ht="12.75" hidden="false" customHeight="false" outlineLevel="0" collapsed="false">
      <c r="A490" s="61"/>
      <c r="B490" s="61"/>
      <c r="C490" s="56"/>
      <c r="D490" s="55"/>
      <c r="E490" s="57"/>
      <c r="F490" s="56"/>
      <c r="G490" s="58"/>
      <c r="H490" s="55"/>
      <c r="I490" s="55"/>
      <c r="J490" s="55"/>
      <c r="K490" s="59"/>
      <c r="L490" s="60"/>
      <c r="M490" s="60"/>
      <c r="N490" s="61"/>
    </row>
    <row r="491" customFormat="false" ht="12.75" hidden="false" customHeight="false" outlineLevel="0" collapsed="false">
      <c r="A491" s="61"/>
      <c r="B491" s="61"/>
      <c r="C491" s="56"/>
      <c r="D491" s="55"/>
      <c r="E491" s="57"/>
      <c r="F491" s="56"/>
      <c r="G491" s="58"/>
      <c r="H491" s="55"/>
      <c r="I491" s="55"/>
      <c r="J491" s="55"/>
      <c r="K491" s="59"/>
      <c r="L491" s="60"/>
      <c r="M491" s="60"/>
      <c r="N491" s="61"/>
    </row>
    <row r="492" customFormat="false" ht="12.75" hidden="false" customHeight="false" outlineLevel="0" collapsed="false">
      <c r="A492" s="61"/>
      <c r="B492" s="61"/>
      <c r="C492" s="56"/>
      <c r="D492" s="55"/>
      <c r="E492" s="57"/>
      <c r="F492" s="56"/>
      <c r="G492" s="58"/>
      <c r="H492" s="55"/>
      <c r="I492" s="55"/>
      <c r="J492" s="55"/>
      <c r="K492" s="59"/>
      <c r="L492" s="60"/>
      <c r="M492" s="60"/>
      <c r="N492" s="61"/>
    </row>
    <row r="493" customFormat="false" ht="12.75" hidden="false" customHeight="false" outlineLevel="0" collapsed="false">
      <c r="A493" s="61"/>
      <c r="B493" s="61"/>
      <c r="C493" s="56"/>
      <c r="D493" s="55"/>
      <c r="E493" s="57"/>
      <c r="F493" s="56"/>
      <c r="G493" s="58"/>
      <c r="H493" s="55"/>
      <c r="I493" s="55"/>
      <c r="J493" s="55"/>
      <c r="K493" s="59"/>
      <c r="L493" s="60"/>
      <c r="M493" s="60"/>
      <c r="N493" s="61"/>
    </row>
    <row r="494" customFormat="false" ht="12.75" hidden="false" customHeight="false" outlineLevel="0" collapsed="false">
      <c r="A494" s="61"/>
      <c r="B494" s="61"/>
      <c r="C494" s="56"/>
      <c r="D494" s="55"/>
      <c r="E494" s="57"/>
      <c r="F494" s="56"/>
      <c r="G494" s="58"/>
      <c r="H494" s="55"/>
      <c r="I494" s="55"/>
      <c r="J494" s="55"/>
      <c r="K494" s="59"/>
      <c r="L494" s="60"/>
      <c r="M494" s="60"/>
      <c r="N494" s="61"/>
    </row>
    <row r="495" customFormat="false" ht="12.75" hidden="false" customHeight="false" outlineLevel="0" collapsed="false">
      <c r="A495" s="61"/>
      <c r="B495" s="61"/>
      <c r="C495" s="56"/>
      <c r="D495" s="55"/>
      <c r="E495" s="57"/>
      <c r="F495" s="56"/>
      <c r="G495" s="58"/>
      <c r="H495" s="55"/>
      <c r="I495" s="55"/>
      <c r="J495" s="55"/>
      <c r="K495" s="59"/>
      <c r="L495" s="60"/>
      <c r="M495" s="60"/>
      <c r="N495" s="61"/>
    </row>
    <row r="496" customFormat="false" ht="12.75" hidden="false" customHeight="false" outlineLevel="0" collapsed="false">
      <c r="A496" s="61"/>
      <c r="B496" s="61"/>
      <c r="C496" s="56"/>
      <c r="D496" s="55"/>
      <c r="E496" s="57"/>
      <c r="F496" s="56"/>
      <c r="G496" s="58"/>
      <c r="H496" s="55"/>
      <c r="I496" s="55"/>
      <c r="J496" s="55"/>
      <c r="K496" s="59"/>
      <c r="L496" s="60"/>
      <c r="M496" s="60"/>
      <c r="N496" s="61"/>
    </row>
    <row r="497" customFormat="false" ht="12.75" hidden="false" customHeight="false" outlineLevel="0" collapsed="false">
      <c r="A497" s="61"/>
      <c r="B497" s="61"/>
      <c r="C497" s="56"/>
      <c r="D497" s="55"/>
      <c r="E497" s="57"/>
      <c r="F497" s="56"/>
      <c r="G497" s="58"/>
      <c r="H497" s="55"/>
      <c r="I497" s="55"/>
      <c r="J497" s="55"/>
      <c r="K497" s="59"/>
      <c r="L497" s="60"/>
      <c r="M497" s="60"/>
      <c r="N497" s="61"/>
    </row>
    <row r="498" customFormat="false" ht="12.75" hidden="false" customHeight="false" outlineLevel="0" collapsed="false">
      <c r="A498" s="61"/>
      <c r="B498" s="61"/>
      <c r="C498" s="56"/>
      <c r="D498" s="55"/>
      <c r="E498" s="57"/>
      <c r="F498" s="56"/>
      <c r="G498" s="58"/>
      <c r="H498" s="55"/>
      <c r="I498" s="55"/>
      <c r="J498" s="55"/>
      <c r="K498" s="59"/>
      <c r="L498" s="60"/>
      <c r="M498" s="60"/>
      <c r="N498" s="61"/>
    </row>
    <row r="499" customFormat="false" ht="12.75" hidden="false" customHeight="false" outlineLevel="0" collapsed="false">
      <c r="A499" s="61"/>
      <c r="B499" s="61"/>
      <c r="C499" s="56"/>
      <c r="D499" s="55"/>
      <c r="E499" s="57"/>
      <c r="F499" s="56"/>
      <c r="G499" s="58"/>
      <c r="H499" s="55"/>
      <c r="I499" s="55"/>
      <c r="J499" s="55"/>
      <c r="K499" s="59"/>
      <c r="L499" s="60"/>
      <c r="M499" s="60"/>
      <c r="N499" s="61"/>
    </row>
    <row r="500" customFormat="false" ht="12.75" hidden="false" customHeight="false" outlineLevel="0" collapsed="false">
      <c r="A500" s="61"/>
      <c r="B500" s="61"/>
      <c r="C500" s="56"/>
      <c r="D500" s="55"/>
      <c r="E500" s="57"/>
      <c r="F500" s="56"/>
      <c r="G500" s="58"/>
      <c r="H500" s="55"/>
      <c r="I500" s="55"/>
      <c r="J500" s="55"/>
      <c r="K500" s="59"/>
      <c r="L500" s="60"/>
      <c r="M500" s="60"/>
      <c r="N500" s="61"/>
    </row>
    <row r="501" customFormat="false" ht="12.75" hidden="false" customHeight="false" outlineLevel="0" collapsed="false">
      <c r="A501" s="61"/>
      <c r="B501" s="61"/>
      <c r="C501" s="56"/>
      <c r="D501" s="55"/>
      <c r="E501" s="57"/>
      <c r="F501" s="56"/>
      <c r="G501" s="58"/>
      <c r="H501" s="55"/>
      <c r="I501" s="55"/>
      <c r="J501" s="55"/>
      <c r="K501" s="59"/>
      <c r="L501" s="60"/>
      <c r="M501" s="60"/>
      <c r="N501" s="61"/>
    </row>
    <row r="502" customFormat="false" ht="12.75" hidden="false" customHeight="false" outlineLevel="0" collapsed="false">
      <c r="A502" s="61"/>
      <c r="B502" s="61"/>
      <c r="C502" s="56"/>
      <c r="D502" s="55"/>
      <c r="E502" s="57"/>
      <c r="F502" s="56"/>
      <c r="G502" s="58"/>
      <c r="H502" s="55"/>
      <c r="I502" s="55"/>
      <c r="J502" s="55"/>
      <c r="K502" s="59"/>
      <c r="L502" s="60"/>
      <c r="M502" s="60"/>
      <c r="N502" s="61"/>
    </row>
    <row r="503" customFormat="false" ht="12.75" hidden="false" customHeight="false" outlineLevel="0" collapsed="false">
      <c r="A503" s="61"/>
      <c r="B503" s="61"/>
      <c r="C503" s="56"/>
      <c r="D503" s="55"/>
      <c r="E503" s="57"/>
      <c r="F503" s="56"/>
      <c r="G503" s="58"/>
      <c r="H503" s="55"/>
      <c r="I503" s="55"/>
      <c r="J503" s="55"/>
      <c r="K503" s="59"/>
      <c r="L503" s="60"/>
      <c r="M503" s="60"/>
      <c r="N503" s="61"/>
    </row>
    <row r="504" customFormat="false" ht="12.75" hidden="false" customHeight="false" outlineLevel="0" collapsed="false">
      <c r="A504" s="61"/>
      <c r="B504" s="61"/>
      <c r="C504" s="56"/>
      <c r="D504" s="55"/>
      <c r="E504" s="57"/>
      <c r="F504" s="56"/>
      <c r="G504" s="58"/>
      <c r="H504" s="55"/>
      <c r="I504" s="55"/>
      <c r="J504" s="55"/>
      <c r="K504" s="59"/>
      <c r="L504" s="60"/>
      <c r="M504" s="60"/>
      <c r="N504" s="61"/>
    </row>
    <row r="505" customFormat="false" ht="12.75" hidden="false" customHeight="false" outlineLevel="0" collapsed="false">
      <c r="A505" s="61"/>
      <c r="B505" s="61"/>
      <c r="C505" s="56"/>
      <c r="D505" s="55"/>
      <c r="E505" s="57"/>
      <c r="F505" s="56"/>
      <c r="G505" s="58"/>
      <c r="H505" s="55"/>
      <c r="I505" s="55"/>
      <c r="J505" s="55"/>
      <c r="K505" s="59"/>
      <c r="L505" s="60"/>
      <c r="M505" s="60"/>
      <c r="N505" s="61"/>
    </row>
    <row r="506" customFormat="false" ht="12.75" hidden="false" customHeight="false" outlineLevel="0" collapsed="false">
      <c r="A506" s="61"/>
      <c r="B506" s="61"/>
      <c r="C506" s="56"/>
      <c r="D506" s="55"/>
      <c r="E506" s="57"/>
      <c r="F506" s="56"/>
      <c r="G506" s="58"/>
      <c r="H506" s="55"/>
      <c r="I506" s="55"/>
      <c r="J506" s="55"/>
      <c r="K506" s="59"/>
      <c r="L506" s="60"/>
      <c r="M506" s="60"/>
      <c r="N506" s="61"/>
    </row>
    <row r="507" customFormat="false" ht="12.75" hidden="false" customHeight="false" outlineLevel="0" collapsed="false">
      <c r="A507" s="61"/>
      <c r="B507" s="61"/>
      <c r="C507" s="56"/>
      <c r="D507" s="55"/>
      <c r="E507" s="57"/>
      <c r="F507" s="56"/>
      <c r="G507" s="58"/>
      <c r="H507" s="55"/>
      <c r="I507" s="55"/>
      <c r="J507" s="55"/>
      <c r="K507" s="59"/>
      <c r="L507" s="60"/>
      <c r="M507" s="60"/>
      <c r="N507" s="61"/>
    </row>
    <row r="508" customFormat="false" ht="12.75" hidden="false" customHeight="false" outlineLevel="0" collapsed="false">
      <c r="A508" s="61"/>
      <c r="B508" s="61"/>
      <c r="C508" s="56"/>
      <c r="D508" s="55"/>
      <c r="E508" s="57"/>
      <c r="F508" s="56"/>
      <c r="G508" s="58"/>
      <c r="H508" s="55"/>
      <c r="I508" s="55"/>
      <c r="J508" s="55"/>
      <c r="K508" s="59"/>
      <c r="L508" s="60"/>
      <c r="M508" s="60"/>
      <c r="N508" s="61"/>
    </row>
    <row r="509" customFormat="false" ht="12.75" hidden="false" customHeight="false" outlineLevel="0" collapsed="false">
      <c r="A509" s="61"/>
      <c r="B509" s="61"/>
      <c r="C509" s="56"/>
      <c r="D509" s="55"/>
      <c r="E509" s="57"/>
      <c r="F509" s="56"/>
      <c r="G509" s="58"/>
      <c r="H509" s="55"/>
      <c r="I509" s="55"/>
      <c r="J509" s="55"/>
      <c r="K509" s="59"/>
      <c r="L509" s="60"/>
      <c r="M509" s="60"/>
      <c r="N509" s="61"/>
    </row>
    <row r="510" customFormat="false" ht="12.75" hidden="false" customHeight="false" outlineLevel="0" collapsed="false">
      <c r="A510" s="61"/>
      <c r="B510" s="61"/>
      <c r="C510" s="56"/>
      <c r="D510" s="55"/>
      <c r="E510" s="57"/>
      <c r="F510" s="56"/>
      <c r="G510" s="58"/>
      <c r="H510" s="55"/>
      <c r="I510" s="55"/>
      <c r="J510" s="55"/>
      <c r="K510" s="59"/>
      <c r="L510" s="60"/>
      <c r="M510" s="60"/>
      <c r="N510" s="61"/>
    </row>
    <row r="511" customFormat="false" ht="12.75" hidden="false" customHeight="false" outlineLevel="0" collapsed="false">
      <c r="A511" s="61"/>
      <c r="B511" s="61"/>
      <c r="C511" s="56"/>
      <c r="D511" s="55"/>
      <c r="E511" s="57"/>
      <c r="F511" s="56"/>
      <c r="G511" s="58"/>
      <c r="H511" s="55"/>
      <c r="I511" s="55"/>
      <c r="J511" s="55"/>
      <c r="K511" s="59"/>
      <c r="L511" s="60"/>
      <c r="M511" s="60"/>
      <c r="N511" s="61"/>
    </row>
    <row r="512" customFormat="false" ht="12.75" hidden="false" customHeight="false" outlineLevel="0" collapsed="false">
      <c r="A512" s="61"/>
      <c r="B512" s="61"/>
      <c r="C512" s="56"/>
      <c r="D512" s="55"/>
      <c r="E512" s="57"/>
      <c r="F512" s="56"/>
      <c r="G512" s="58"/>
      <c r="H512" s="55"/>
      <c r="I512" s="55"/>
      <c r="J512" s="55"/>
      <c r="K512" s="59"/>
      <c r="L512" s="60"/>
      <c r="M512" s="60"/>
      <c r="N512" s="61"/>
    </row>
    <row r="513" customFormat="false" ht="12.75" hidden="false" customHeight="false" outlineLevel="0" collapsed="false">
      <c r="A513" s="61"/>
      <c r="B513" s="61"/>
      <c r="C513" s="56"/>
      <c r="D513" s="55"/>
      <c r="E513" s="57"/>
      <c r="F513" s="56"/>
      <c r="G513" s="58"/>
      <c r="H513" s="55"/>
      <c r="I513" s="55"/>
      <c r="J513" s="55"/>
      <c r="K513" s="59"/>
      <c r="L513" s="60"/>
      <c r="M513" s="60"/>
      <c r="N513" s="61"/>
    </row>
    <row r="514" customFormat="false" ht="12.75" hidden="false" customHeight="false" outlineLevel="0" collapsed="false">
      <c r="A514" s="61"/>
      <c r="B514" s="61"/>
      <c r="C514" s="56"/>
      <c r="D514" s="55"/>
      <c r="E514" s="57"/>
      <c r="F514" s="56"/>
      <c r="G514" s="58"/>
      <c r="H514" s="55"/>
      <c r="I514" s="55"/>
      <c r="J514" s="55"/>
      <c r="K514" s="59"/>
      <c r="L514" s="60"/>
      <c r="M514" s="60"/>
      <c r="N514" s="61"/>
    </row>
    <row r="515" customFormat="false" ht="12.75" hidden="false" customHeight="false" outlineLevel="0" collapsed="false">
      <c r="A515" s="61"/>
      <c r="B515" s="61"/>
      <c r="C515" s="56"/>
      <c r="D515" s="55"/>
      <c r="E515" s="57"/>
      <c r="F515" s="56"/>
      <c r="G515" s="58"/>
      <c r="H515" s="55"/>
      <c r="I515" s="55"/>
      <c r="J515" s="55"/>
      <c r="K515" s="59"/>
      <c r="L515" s="60"/>
      <c r="M515" s="60"/>
      <c r="N515" s="61"/>
    </row>
    <row r="516" customFormat="false" ht="12.75" hidden="false" customHeight="false" outlineLevel="0" collapsed="false">
      <c r="A516" s="61"/>
      <c r="B516" s="61"/>
      <c r="C516" s="56"/>
      <c r="D516" s="55"/>
      <c r="E516" s="57"/>
      <c r="F516" s="56"/>
      <c r="G516" s="58"/>
      <c r="H516" s="55"/>
      <c r="I516" s="55"/>
      <c r="J516" s="55"/>
      <c r="K516" s="59"/>
      <c r="L516" s="60"/>
      <c r="M516" s="60"/>
      <c r="N516" s="61"/>
    </row>
    <row r="517" customFormat="false" ht="12.75" hidden="false" customHeight="false" outlineLevel="0" collapsed="false">
      <c r="A517" s="61"/>
      <c r="B517" s="61"/>
      <c r="C517" s="56"/>
      <c r="D517" s="55"/>
      <c r="E517" s="57"/>
      <c r="F517" s="56"/>
      <c r="G517" s="58"/>
      <c r="H517" s="55"/>
      <c r="I517" s="55"/>
      <c r="J517" s="55"/>
      <c r="K517" s="59"/>
      <c r="L517" s="60"/>
      <c r="M517" s="60"/>
      <c r="N517" s="61"/>
    </row>
    <row r="518" customFormat="false" ht="12.75" hidden="false" customHeight="false" outlineLevel="0" collapsed="false">
      <c r="A518" s="61"/>
      <c r="B518" s="61"/>
      <c r="C518" s="56"/>
      <c r="D518" s="55"/>
      <c r="E518" s="57"/>
      <c r="F518" s="56"/>
      <c r="G518" s="58"/>
      <c r="H518" s="55"/>
      <c r="I518" s="55"/>
      <c r="J518" s="55"/>
      <c r="K518" s="59"/>
      <c r="L518" s="60"/>
      <c r="M518" s="60"/>
      <c r="N518" s="61"/>
    </row>
    <row r="519" customFormat="false" ht="12.75" hidden="false" customHeight="false" outlineLevel="0" collapsed="false">
      <c r="A519" s="61"/>
      <c r="B519" s="61"/>
      <c r="C519" s="56"/>
      <c r="D519" s="55"/>
      <c r="E519" s="57"/>
      <c r="F519" s="56"/>
      <c r="G519" s="58"/>
      <c r="H519" s="55"/>
      <c r="I519" s="55"/>
      <c r="J519" s="55"/>
      <c r="K519" s="59"/>
      <c r="L519" s="60"/>
      <c r="M519" s="60"/>
      <c r="N519" s="61"/>
    </row>
    <row r="520" customFormat="false" ht="12.75" hidden="false" customHeight="false" outlineLevel="0" collapsed="false">
      <c r="A520" s="61"/>
      <c r="B520" s="61"/>
      <c r="C520" s="56"/>
      <c r="D520" s="55"/>
      <c r="E520" s="57"/>
      <c r="F520" s="56"/>
      <c r="G520" s="58"/>
      <c r="H520" s="55"/>
      <c r="I520" s="55"/>
      <c r="J520" s="55"/>
      <c r="K520" s="59"/>
      <c r="L520" s="60"/>
      <c r="M520" s="60"/>
      <c r="N520" s="61"/>
    </row>
    <row r="521" customFormat="false" ht="12.75" hidden="false" customHeight="false" outlineLevel="0" collapsed="false">
      <c r="A521" s="61"/>
      <c r="B521" s="61"/>
      <c r="C521" s="56"/>
      <c r="D521" s="55"/>
      <c r="E521" s="57"/>
      <c r="F521" s="56"/>
      <c r="G521" s="58"/>
      <c r="H521" s="55"/>
      <c r="I521" s="55"/>
      <c r="J521" s="55"/>
      <c r="K521" s="59"/>
      <c r="L521" s="60"/>
      <c r="M521" s="60"/>
      <c r="N521" s="61"/>
    </row>
    <row r="522" customFormat="false" ht="12.75" hidden="false" customHeight="false" outlineLevel="0" collapsed="false">
      <c r="A522" s="61"/>
      <c r="B522" s="61"/>
      <c r="C522" s="56"/>
      <c r="D522" s="55"/>
      <c r="E522" s="57"/>
      <c r="F522" s="56"/>
      <c r="G522" s="58"/>
      <c r="H522" s="55"/>
      <c r="I522" s="55"/>
      <c r="J522" s="55"/>
      <c r="K522" s="59"/>
      <c r="L522" s="60"/>
      <c r="M522" s="60"/>
      <c r="N522" s="61"/>
    </row>
    <row r="523" customFormat="false" ht="12.75" hidden="false" customHeight="false" outlineLevel="0" collapsed="false">
      <c r="A523" s="61"/>
      <c r="B523" s="61"/>
      <c r="C523" s="56"/>
      <c r="D523" s="55"/>
      <c r="E523" s="57"/>
      <c r="F523" s="56"/>
      <c r="G523" s="58"/>
      <c r="H523" s="55"/>
      <c r="I523" s="55"/>
      <c r="J523" s="55"/>
      <c r="K523" s="59"/>
      <c r="L523" s="60"/>
      <c r="M523" s="60"/>
      <c r="N523" s="61"/>
    </row>
    <row r="524" customFormat="false" ht="12.75" hidden="false" customHeight="false" outlineLevel="0" collapsed="false">
      <c r="A524" s="61"/>
      <c r="B524" s="61"/>
      <c r="C524" s="56"/>
      <c r="D524" s="55"/>
      <c r="E524" s="57"/>
      <c r="F524" s="56"/>
      <c r="G524" s="58"/>
      <c r="H524" s="55"/>
      <c r="I524" s="55"/>
      <c r="J524" s="55"/>
      <c r="K524" s="59"/>
      <c r="L524" s="60"/>
      <c r="M524" s="60"/>
      <c r="N524" s="61"/>
    </row>
    <row r="525" customFormat="false" ht="12.75" hidden="false" customHeight="false" outlineLevel="0" collapsed="false">
      <c r="A525" s="61"/>
      <c r="B525" s="61"/>
      <c r="C525" s="56"/>
      <c r="D525" s="55"/>
      <c r="E525" s="57"/>
      <c r="F525" s="56"/>
      <c r="G525" s="58"/>
      <c r="H525" s="55"/>
      <c r="I525" s="55"/>
      <c r="J525" s="55"/>
      <c r="K525" s="59"/>
      <c r="L525" s="60"/>
      <c r="M525" s="60"/>
      <c r="N525" s="61"/>
    </row>
    <row r="526" customFormat="false" ht="12.75" hidden="false" customHeight="false" outlineLevel="0" collapsed="false">
      <c r="A526" s="61"/>
      <c r="B526" s="61"/>
      <c r="C526" s="56"/>
      <c r="D526" s="55"/>
      <c r="E526" s="57"/>
      <c r="F526" s="56"/>
      <c r="G526" s="58"/>
      <c r="H526" s="55"/>
      <c r="I526" s="55"/>
      <c r="J526" s="55"/>
      <c r="K526" s="59"/>
      <c r="L526" s="60"/>
      <c r="M526" s="60"/>
      <c r="N526" s="61"/>
    </row>
    <row r="527" customFormat="false" ht="12.75" hidden="false" customHeight="false" outlineLevel="0" collapsed="false">
      <c r="A527" s="61"/>
      <c r="B527" s="61"/>
      <c r="C527" s="56"/>
      <c r="D527" s="55"/>
      <c r="E527" s="57"/>
      <c r="F527" s="56"/>
      <c r="G527" s="58"/>
      <c r="H527" s="55"/>
      <c r="I527" s="55"/>
      <c r="J527" s="55"/>
      <c r="K527" s="59"/>
      <c r="L527" s="60"/>
      <c r="M527" s="60"/>
      <c r="N527" s="61"/>
    </row>
    <row r="528" customFormat="false" ht="12.75" hidden="false" customHeight="false" outlineLevel="0" collapsed="false">
      <c r="A528" s="61"/>
      <c r="B528" s="61"/>
      <c r="C528" s="56"/>
      <c r="D528" s="55"/>
      <c r="E528" s="57"/>
      <c r="F528" s="56"/>
      <c r="G528" s="58"/>
      <c r="H528" s="55"/>
      <c r="I528" s="55"/>
      <c r="J528" s="55"/>
      <c r="K528" s="59"/>
      <c r="L528" s="60"/>
      <c r="M528" s="60"/>
      <c r="N528" s="61"/>
    </row>
    <row r="529" customFormat="false" ht="12.75" hidden="false" customHeight="false" outlineLevel="0" collapsed="false">
      <c r="A529" s="61"/>
      <c r="B529" s="61"/>
      <c r="C529" s="56"/>
      <c r="D529" s="55"/>
      <c r="E529" s="57"/>
      <c r="F529" s="56"/>
      <c r="G529" s="58"/>
      <c r="H529" s="55"/>
      <c r="I529" s="55"/>
      <c r="J529" s="55"/>
      <c r="K529" s="59"/>
      <c r="L529" s="60"/>
      <c r="M529" s="60"/>
      <c r="N529" s="61"/>
    </row>
    <row r="530" customFormat="false" ht="12.75" hidden="false" customHeight="false" outlineLevel="0" collapsed="false">
      <c r="A530" s="61"/>
      <c r="B530" s="61"/>
      <c r="C530" s="56"/>
      <c r="D530" s="55"/>
      <c r="E530" s="57"/>
      <c r="F530" s="56"/>
      <c r="G530" s="58"/>
      <c r="H530" s="55"/>
      <c r="I530" s="55"/>
      <c r="J530" s="55"/>
      <c r="K530" s="59"/>
      <c r="L530" s="60"/>
      <c r="M530" s="60"/>
      <c r="N530" s="61"/>
    </row>
    <row r="531" customFormat="false" ht="12.75" hidden="false" customHeight="false" outlineLevel="0" collapsed="false">
      <c r="A531" s="61"/>
      <c r="B531" s="61"/>
      <c r="C531" s="56"/>
      <c r="D531" s="55"/>
      <c r="E531" s="57"/>
      <c r="F531" s="56"/>
      <c r="G531" s="58"/>
      <c r="H531" s="55"/>
      <c r="I531" s="55"/>
      <c r="J531" s="55"/>
      <c r="K531" s="59"/>
      <c r="L531" s="60"/>
      <c r="M531" s="60"/>
      <c r="N531" s="61"/>
    </row>
    <row r="532" customFormat="false" ht="12.75" hidden="false" customHeight="false" outlineLevel="0" collapsed="false">
      <c r="A532" s="61"/>
      <c r="B532" s="61"/>
      <c r="C532" s="56"/>
      <c r="D532" s="55"/>
      <c r="E532" s="57"/>
      <c r="F532" s="56"/>
      <c r="G532" s="58"/>
      <c r="H532" s="55"/>
      <c r="I532" s="55"/>
      <c r="J532" s="55"/>
      <c r="K532" s="59"/>
      <c r="L532" s="60"/>
      <c r="M532" s="60"/>
      <c r="N532" s="61"/>
    </row>
    <row r="533" customFormat="false" ht="12.75" hidden="false" customHeight="false" outlineLevel="0" collapsed="false">
      <c r="A533" s="61"/>
      <c r="B533" s="61"/>
      <c r="C533" s="56"/>
      <c r="D533" s="55"/>
      <c r="E533" s="57"/>
      <c r="F533" s="56"/>
      <c r="G533" s="58"/>
      <c r="H533" s="55"/>
      <c r="I533" s="55"/>
      <c r="J533" s="55"/>
      <c r="K533" s="59"/>
      <c r="L533" s="60"/>
      <c r="M533" s="60"/>
      <c r="N533" s="61"/>
    </row>
    <row r="534" customFormat="false" ht="12.75" hidden="false" customHeight="false" outlineLevel="0" collapsed="false">
      <c r="A534" s="61"/>
      <c r="B534" s="61"/>
      <c r="C534" s="56"/>
      <c r="D534" s="55"/>
      <c r="E534" s="57"/>
      <c r="F534" s="56"/>
      <c r="G534" s="58"/>
      <c r="H534" s="55"/>
      <c r="I534" s="55"/>
      <c r="J534" s="55"/>
      <c r="K534" s="59"/>
      <c r="L534" s="60"/>
      <c r="M534" s="60"/>
      <c r="N534" s="61"/>
    </row>
    <row r="535" customFormat="false" ht="12.75" hidden="false" customHeight="false" outlineLevel="0" collapsed="false">
      <c r="A535" s="61"/>
      <c r="B535" s="61"/>
      <c r="C535" s="56"/>
      <c r="D535" s="55"/>
      <c r="E535" s="57"/>
      <c r="F535" s="56"/>
      <c r="G535" s="58"/>
      <c r="H535" s="55"/>
      <c r="I535" s="55"/>
      <c r="J535" s="55"/>
      <c r="K535" s="59"/>
      <c r="L535" s="60"/>
      <c r="M535" s="60"/>
      <c r="N535" s="61"/>
    </row>
    <row r="536" customFormat="false" ht="12.75" hidden="false" customHeight="false" outlineLevel="0" collapsed="false">
      <c r="A536" s="61"/>
      <c r="B536" s="61"/>
      <c r="C536" s="56"/>
      <c r="D536" s="55"/>
      <c r="E536" s="57"/>
      <c r="F536" s="56"/>
      <c r="G536" s="58"/>
      <c r="H536" s="55"/>
      <c r="I536" s="55"/>
      <c r="J536" s="55"/>
      <c r="K536" s="59"/>
      <c r="L536" s="60"/>
      <c r="M536" s="60"/>
      <c r="N536" s="61"/>
    </row>
    <row r="537" customFormat="false" ht="12.75" hidden="false" customHeight="false" outlineLevel="0" collapsed="false">
      <c r="A537" s="61"/>
      <c r="B537" s="61"/>
      <c r="C537" s="56"/>
      <c r="D537" s="55"/>
      <c r="E537" s="57"/>
      <c r="F537" s="56"/>
      <c r="G537" s="58"/>
      <c r="H537" s="55"/>
      <c r="I537" s="55"/>
      <c r="J537" s="55"/>
      <c r="K537" s="59"/>
      <c r="L537" s="60"/>
      <c r="M537" s="60"/>
      <c r="N537" s="61"/>
    </row>
    <row r="538" customFormat="false" ht="12.75" hidden="false" customHeight="false" outlineLevel="0" collapsed="false">
      <c r="A538" s="61"/>
      <c r="B538" s="61"/>
      <c r="C538" s="56"/>
      <c r="D538" s="55"/>
      <c r="E538" s="57"/>
      <c r="F538" s="56"/>
      <c r="G538" s="58"/>
      <c r="H538" s="55"/>
      <c r="I538" s="55"/>
      <c r="J538" s="55"/>
      <c r="K538" s="59"/>
      <c r="L538" s="60"/>
      <c r="M538" s="60"/>
      <c r="N538" s="61"/>
    </row>
    <row r="539" customFormat="false" ht="12.75" hidden="false" customHeight="false" outlineLevel="0" collapsed="false">
      <c r="A539" s="61"/>
      <c r="B539" s="61"/>
      <c r="C539" s="56"/>
      <c r="D539" s="55"/>
      <c r="E539" s="57"/>
      <c r="F539" s="56"/>
      <c r="G539" s="58"/>
      <c r="H539" s="55"/>
      <c r="I539" s="55"/>
      <c r="J539" s="55"/>
      <c r="K539" s="59"/>
      <c r="L539" s="60"/>
      <c r="M539" s="60"/>
      <c r="N539" s="61"/>
    </row>
    <row r="540" customFormat="false" ht="12.75" hidden="false" customHeight="false" outlineLevel="0" collapsed="false">
      <c r="A540" s="61"/>
      <c r="B540" s="61"/>
      <c r="C540" s="56"/>
      <c r="D540" s="55"/>
      <c r="E540" s="57"/>
      <c r="F540" s="56"/>
      <c r="G540" s="58"/>
      <c r="H540" s="55"/>
      <c r="I540" s="55"/>
      <c r="J540" s="55"/>
      <c r="K540" s="59"/>
      <c r="L540" s="60"/>
      <c r="M540" s="60"/>
      <c r="N540" s="61"/>
    </row>
    <row r="541" customFormat="false" ht="12.75" hidden="false" customHeight="false" outlineLevel="0" collapsed="false">
      <c r="A541" s="61"/>
      <c r="B541" s="61"/>
      <c r="C541" s="56"/>
      <c r="D541" s="55"/>
      <c r="E541" s="57"/>
      <c r="F541" s="56"/>
      <c r="G541" s="58"/>
      <c r="H541" s="55"/>
      <c r="I541" s="55"/>
      <c r="J541" s="55"/>
      <c r="K541" s="59"/>
      <c r="L541" s="60"/>
      <c r="M541" s="60"/>
      <c r="N541" s="61"/>
    </row>
    <row r="542" customFormat="false" ht="12.75" hidden="false" customHeight="false" outlineLevel="0" collapsed="false">
      <c r="A542" s="61"/>
      <c r="B542" s="61"/>
      <c r="C542" s="56"/>
      <c r="D542" s="55"/>
      <c r="E542" s="57"/>
      <c r="F542" s="56"/>
      <c r="G542" s="58"/>
      <c r="H542" s="55"/>
      <c r="I542" s="55"/>
      <c r="J542" s="55"/>
      <c r="K542" s="59"/>
      <c r="L542" s="60"/>
      <c r="M542" s="60"/>
      <c r="N542" s="61"/>
    </row>
    <row r="543" customFormat="false" ht="12.75" hidden="false" customHeight="false" outlineLevel="0" collapsed="false">
      <c r="A543" s="61"/>
      <c r="B543" s="61"/>
      <c r="C543" s="56"/>
      <c r="D543" s="55"/>
      <c r="E543" s="57"/>
      <c r="F543" s="56"/>
      <c r="G543" s="58"/>
      <c r="H543" s="55"/>
      <c r="I543" s="55"/>
      <c r="J543" s="55"/>
      <c r="K543" s="59"/>
      <c r="L543" s="60"/>
      <c r="M543" s="60"/>
      <c r="N543" s="61"/>
    </row>
    <row r="544" customFormat="false" ht="12.75" hidden="false" customHeight="false" outlineLevel="0" collapsed="false">
      <c r="A544" s="61"/>
      <c r="B544" s="61"/>
      <c r="C544" s="56"/>
      <c r="D544" s="55"/>
      <c r="E544" s="57"/>
      <c r="F544" s="56"/>
      <c r="G544" s="58"/>
      <c r="H544" s="55"/>
      <c r="I544" s="55"/>
      <c r="J544" s="55"/>
      <c r="K544" s="59"/>
      <c r="L544" s="60"/>
      <c r="M544" s="60"/>
      <c r="N544" s="61"/>
    </row>
    <row r="545" customFormat="false" ht="12.75" hidden="false" customHeight="false" outlineLevel="0" collapsed="false">
      <c r="A545" s="61"/>
      <c r="B545" s="61"/>
      <c r="C545" s="56"/>
      <c r="D545" s="55"/>
      <c r="E545" s="57"/>
      <c r="F545" s="56"/>
      <c r="G545" s="58"/>
      <c r="H545" s="55"/>
      <c r="I545" s="55"/>
      <c r="J545" s="55"/>
      <c r="K545" s="59"/>
      <c r="L545" s="60"/>
      <c r="M545" s="60"/>
      <c r="N545" s="61"/>
    </row>
    <row r="546" customFormat="false" ht="12.75" hidden="false" customHeight="false" outlineLevel="0" collapsed="false">
      <c r="A546" s="61"/>
      <c r="B546" s="61"/>
      <c r="C546" s="56"/>
      <c r="D546" s="55"/>
      <c r="E546" s="57"/>
      <c r="F546" s="56"/>
      <c r="G546" s="58"/>
      <c r="H546" s="55"/>
      <c r="I546" s="55"/>
      <c r="J546" s="55"/>
      <c r="K546" s="59"/>
      <c r="L546" s="60"/>
      <c r="M546" s="60"/>
      <c r="N546" s="61"/>
    </row>
    <row r="547" customFormat="false" ht="12.75" hidden="false" customHeight="false" outlineLevel="0" collapsed="false">
      <c r="A547" s="61"/>
      <c r="B547" s="61"/>
      <c r="C547" s="56"/>
      <c r="D547" s="55"/>
      <c r="E547" s="57"/>
      <c r="F547" s="56"/>
      <c r="G547" s="58"/>
      <c r="H547" s="55"/>
      <c r="I547" s="55"/>
      <c r="J547" s="55"/>
      <c r="K547" s="59"/>
      <c r="L547" s="60"/>
      <c r="M547" s="60"/>
      <c r="N547" s="61"/>
    </row>
    <row r="548" customFormat="false" ht="12.75" hidden="false" customHeight="false" outlineLevel="0" collapsed="false">
      <c r="A548" s="61"/>
      <c r="B548" s="61"/>
      <c r="C548" s="56"/>
      <c r="D548" s="55"/>
      <c r="E548" s="57"/>
      <c r="F548" s="56"/>
      <c r="G548" s="58"/>
      <c r="H548" s="55"/>
      <c r="I548" s="55"/>
      <c r="J548" s="55"/>
      <c r="K548" s="59"/>
      <c r="L548" s="60"/>
      <c r="M548" s="60"/>
      <c r="N548" s="61"/>
    </row>
    <row r="549" customFormat="false" ht="12.75" hidden="false" customHeight="false" outlineLevel="0" collapsed="false">
      <c r="A549" s="61"/>
      <c r="B549" s="61"/>
      <c r="C549" s="56"/>
      <c r="D549" s="55"/>
      <c r="E549" s="57"/>
      <c r="F549" s="56"/>
      <c r="G549" s="58"/>
      <c r="H549" s="55"/>
      <c r="I549" s="55"/>
      <c r="J549" s="55"/>
      <c r="K549" s="59"/>
      <c r="L549" s="60"/>
      <c r="M549" s="60"/>
      <c r="N549" s="61"/>
    </row>
    <row r="550" customFormat="false" ht="12.75" hidden="false" customHeight="false" outlineLevel="0" collapsed="false">
      <c r="A550" s="61"/>
      <c r="B550" s="61"/>
      <c r="C550" s="56"/>
      <c r="D550" s="55"/>
      <c r="E550" s="57"/>
      <c r="F550" s="56"/>
      <c r="G550" s="58"/>
      <c r="H550" s="55"/>
      <c r="I550" s="55"/>
      <c r="J550" s="55"/>
      <c r="K550" s="59"/>
      <c r="L550" s="60"/>
      <c r="M550" s="60"/>
      <c r="N550" s="61"/>
    </row>
    <row r="551" customFormat="false" ht="12.75" hidden="false" customHeight="false" outlineLevel="0" collapsed="false">
      <c r="A551" s="61"/>
      <c r="B551" s="61"/>
      <c r="C551" s="56"/>
      <c r="D551" s="55"/>
      <c r="E551" s="57"/>
      <c r="F551" s="56"/>
      <c r="G551" s="58"/>
      <c r="H551" s="55"/>
      <c r="I551" s="55"/>
      <c r="J551" s="55"/>
      <c r="K551" s="59"/>
      <c r="L551" s="60"/>
      <c r="M551" s="60"/>
      <c r="N551" s="61"/>
    </row>
    <row r="552" customFormat="false" ht="12.75" hidden="false" customHeight="false" outlineLevel="0" collapsed="false">
      <c r="A552" s="61"/>
      <c r="B552" s="61"/>
      <c r="C552" s="56"/>
      <c r="D552" s="55"/>
      <c r="E552" s="57"/>
      <c r="F552" s="56"/>
      <c r="G552" s="58"/>
      <c r="H552" s="55"/>
      <c r="I552" s="55"/>
      <c r="J552" s="55"/>
      <c r="K552" s="59"/>
      <c r="L552" s="60"/>
      <c r="M552" s="60"/>
      <c r="N552" s="61"/>
    </row>
    <row r="553" customFormat="false" ht="12.75" hidden="false" customHeight="false" outlineLevel="0" collapsed="false">
      <c r="A553" s="61"/>
      <c r="B553" s="61"/>
      <c r="C553" s="56"/>
      <c r="D553" s="55"/>
      <c r="E553" s="57"/>
      <c r="F553" s="56"/>
      <c r="G553" s="58"/>
      <c r="H553" s="55"/>
      <c r="I553" s="55"/>
      <c r="J553" s="55"/>
      <c r="K553" s="59"/>
      <c r="L553" s="60"/>
      <c r="M553" s="60"/>
      <c r="N553" s="61"/>
    </row>
    <row r="554" customFormat="false" ht="12.75" hidden="false" customHeight="false" outlineLevel="0" collapsed="false">
      <c r="A554" s="61"/>
      <c r="B554" s="61"/>
      <c r="C554" s="56"/>
      <c r="D554" s="55"/>
      <c r="E554" s="57"/>
      <c r="F554" s="56"/>
      <c r="G554" s="58"/>
      <c r="H554" s="55"/>
      <c r="I554" s="55"/>
      <c r="J554" s="55"/>
      <c r="K554" s="59"/>
      <c r="L554" s="60"/>
      <c r="M554" s="60"/>
      <c r="N554" s="61"/>
    </row>
    <row r="555" customFormat="false" ht="12.75" hidden="false" customHeight="false" outlineLevel="0" collapsed="false">
      <c r="A555" s="61"/>
      <c r="B555" s="61"/>
      <c r="C555" s="56"/>
      <c r="D555" s="55"/>
      <c r="E555" s="57"/>
      <c r="F555" s="56"/>
      <c r="G555" s="58"/>
      <c r="H555" s="55"/>
      <c r="I555" s="55"/>
      <c r="J555" s="55"/>
      <c r="K555" s="59"/>
      <c r="L555" s="60"/>
      <c r="M555" s="60"/>
      <c r="N555" s="61"/>
    </row>
    <row r="556" customFormat="false" ht="12.75" hidden="false" customHeight="false" outlineLevel="0" collapsed="false">
      <c r="A556" s="61"/>
      <c r="B556" s="61"/>
      <c r="C556" s="56"/>
      <c r="D556" s="55"/>
      <c r="E556" s="57"/>
      <c r="F556" s="56"/>
      <c r="G556" s="58"/>
      <c r="H556" s="55"/>
      <c r="I556" s="55"/>
      <c r="J556" s="55"/>
      <c r="K556" s="59"/>
      <c r="L556" s="60"/>
      <c r="M556" s="60"/>
      <c r="N556" s="61"/>
    </row>
    <row r="557" customFormat="false" ht="12.75" hidden="false" customHeight="false" outlineLevel="0" collapsed="false">
      <c r="A557" s="61"/>
      <c r="B557" s="61"/>
      <c r="C557" s="56"/>
      <c r="D557" s="55"/>
      <c r="E557" s="57"/>
      <c r="F557" s="56"/>
      <c r="G557" s="58"/>
      <c r="H557" s="55"/>
      <c r="I557" s="55"/>
      <c r="J557" s="55"/>
      <c r="K557" s="59"/>
      <c r="L557" s="60"/>
      <c r="M557" s="60"/>
      <c r="N557" s="61"/>
    </row>
    <row r="558" customFormat="false" ht="12.75" hidden="false" customHeight="false" outlineLevel="0" collapsed="false">
      <c r="A558" s="61"/>
      <c r="B558" s="61"/>
      <c r="C558" s="56"/>
      <c r="D558" s="55"/>
      <c r="E558" s="57"/>
      <c r="F558" s="56"/>
      <c r="G558" s="58"/>
      <c r="H558" s="55"/>
      <c r="I558" s="55"/>
      <c r="J558" s="55"/>
      <c r="K558" s="59"/>
      <c r="L558" s="60"/>
      <c r="M558" s="60"/>
      <c r="N558" s="61"/>
    </row>
    <row r="559" customFormat="false" ht="12.75" hidden="false" customHeight="false" outlineLevel="0" collapsed="false">
      <c r="A559" s="61"/>
      <c r="B559" s="61"/>
      <c r="C559" s="56"/>
      <c r="D559" s="55"/>
      <c r="E559" s="57"/>
      <c r="F559" s="56"/>
      <c r="G559" s="58"/>
      <c r="H559" s="55"/>
      <c r="I559" s="55"/>
      <c r="J559" s="55"/>
      <c r="K559" s="59"/>
      <c r="L559" s="60"/>
      <c r="M559" s="60"/>
      <c r="N559" s="61"/>
    </row>
    <row r="560" customFormat="false" ht="12.75" hidden="false" customHeight="false" outlineLevel="0" collapsed="false">
      <c r="A560" s="61"/>
      <c r="B560" s="61"/>
      <c r="C560" s="56"/>
      <c r="D560" s="55"/>
      <c r="E560" s="57"/>
      <c r="F560" s="56"/>
      <c r="G560" s="58"/>
      <c r="H560" s="55"/>
      <c r="I560" s="55"/>
      <c r="J560" s="55"/>
      <c r="K560" s="59"/>
      <c r="L560" s="60"/>
      <c r="M560" s="60"/>
      <c r="N560" s="61"/>
    </row>
    <row r="561" customFormat="false" ht="12.75" hidden="false" customHeight="false" outlineLevel="0" collapsed="false">
      <c r="A561" s="61"/>
      <c r="B561" s="61"/>
      <c r="C561" s="56"/>
      <c r="D561" s="55"/>
      <c r="E561" s="57"/>
      <c r="F561" s="56"/>
      <c r="G561" s="58"/>
      <c r="H561" s="55"/>
      <c r="I561" s="55"/>
      <c r="J561" s="55"/>
      <c r="K561" s="59"/>
      <c r="L561" s="60"/>
      <c r="M561" s="60"/>
      <c r="N561" s="61"/>
    </row>
    <row r="562" customFormat="false" ht="12.75" hidden="false" customHeight="false" outlineLevel="0" collapsed="false">
      <c r="A562" s="61"/>
      <c r="B562" s="61"/>
      <c r="C562" s="56"/>
      <c r="D562" s="55"/>
      <c r="E562" s="57"/>
      <c r="F562" s="56"/>
      <c r="G562" s="58"/>
      <c r="H562" s="55"/>
      <c r="I562" s="55"/>
      <c r="J562" s="55"/>
      <c r="K562" s="59"/>
      <c r="L562" s="60"/>
      <c r="M562" s="60"/>
      <c r="N562" s="61"/>
    </row>
    <row r="563" customFormat="false" ht="12.75" hidden="false" customHeight="false" outlineLevel="0" collapsed="false">
      <c r="A563" s="61"/>
      <c r="B563" s="61"/>
      <c r="C563" s="56"/>
      <c r="D563" s="55"/>
      <c r="E563" s="57"/>
      <c r="F563" s="56"/>
      <c r="G563" s="58"/>
      <c r="H563" s="55"/>
      <c r="I563" s="55"/>
      <c r="J563" s="55"/>
      <c r="K563" s="59"/>
      <c r="L563" s="60"/>
      <c r="M563" s="60"/>
      <c r="N563" s="61"/>
    </row>
    <row r="564" customFormat="false" ht="12.75" hidden="false" customHeight="false" outlineLevel="0" collapsed="false">
      <c r="A564" s="61"/>
      <c r="B564" s="61"/>
      <c r="C564" s="56"/>
      <c r="D564" s="55"/>
      <c r="E564" s="57"/>
      <c r="F564" s="56"/>
      <c r="G564" s="58"/>
      <c r="H564" s="55"/>
      <c r="I564" s="55"/>
      <c r="J564" s="55"/>
      <c r="K564" s="59"/>
      <c r="L564" s="60"/>
      <c r="M564" s="60"/>
      <c r="N564" s="61"/>
    </row>
    <row r="565" customFormat="false" ht="12.75" hidden="false" customHeight="false" outlineLevel="0" collapsed="false">
      <c r="A565" s="61"/>
      <c r="B565" s="61"/>
      <c r="C565" s="56"/>
      <c r="D565" s="55"/>
      <c r="E565" s="57"/>
      <c r="F565" s="56"/>
      <c r="G565" s="58"/>
      <c r="H565" s="55"/>
      <c r="I565" s="55"/>
      <c r="J565" s="55"/>
      <c r="K565" s="59"/>
      <c r="L565" s="60"/>
      <c r="M565" s="60"/>
      <c r="N565" s="61"/>
    </row>
    <row r="566" customFormat="false" ht="12.75" hidden="false" customHeight="false" outlineLevel="0" collapsed="false">
      <c r="A566" s="61"/>
      <c r="B566" s="61"/>
      <c r="C566" s="56"/>
      <c r="D566" s="55"/>
      <c r="E566" s="57"/>
      <c r="F566" s="56"/>
      <c r="G566" s="58"/>
      <c r="H566" s="55"/>
      <c r="I566" s="55"/>
      <c r="J566" s="55"/>
      <c r="K566" s="59"/>
      <c r="L566" s="60"/>
      <c r="M566" s="60"/>
      <c r="N566" s="61"/>
    </row>
    <row r="567" customFormat="false" ht="12.75" hidden="false" customHeight="false" outlineLevel="0" collapsed="false">
      <c r="A567" s="61"/>
      <c r="B567" s="61"/>
      <c r="C567" s="56"/>
      <c r="D567" s="55"/>
      <c r="E567" s="57"/>
      <c r="F567" s="56"/>
      <c r="G567" s="58"/>
      <c r="H567" s="55"/>
      <c r="I567" s="55"/>
      <c r="J567" s="55"/>
      <c r="K567" s="59"/>
      <c r="L567" s="60"/>
      <c r="M567" s="60"/>
      <c r="N567" s="61"/>
    </row>
    <row r="568" customFormat="false" ht="12.75" hidden="false" customHeight="false" outlineLevel="0" collapsed="false">
      <c r="A568" s="61"/>
      <c r="B568" s="61"/>
      <c r="C568" s="56"/>
      <c r="D568" s="55"/>
      <c r="E568" s="57"/>
      <c r="F568" s="56"/>
      <c r="G568" s="58"/>
      <c r="H568" s="55"/>
      <c r="I568" s="55"/>
      <c r="J568" s="55"/>
      <c r="K568" s="59"/>
      <c r="L568" s="60"/>
      <c r="M568" s="60"/>
      <c r="N568" s="61"/>
    </row>
    <row r="569" customFormat="false" ht="12.75" hidden="false" customHeight="false" outlineLevel="0" collapsed="false">
      <c r="A569" s="61"/>
      <c r="B569" s="61"/>
      <c r="C569" s="56"/>
      <c r="D569" s="55"/>
      <c r="E569" s="57"/>
      <c r="F569" s="56"/>
      <c r="G569" s="58"/>
      <c r="H569" s="55"/>
      <c r="I569" s="55"/>
      <c r="J569" s="55"/>
      <c r="K569" s="59"/>
      <c r="L569" s="60"/>
      <c r="M569" s="60"/>
      <c r="N569" s="61"/>
    </row>
    <row r="570" customFormat="false" ht="12.75" hidden="false" customHeight="false" outlineLevel="0" collapsed="false">
      <c r="A570" s="61"/>
      <c r="B570" s="61"/>
      <c r="C570" s="56"/>
      <c r="D570" s="55"/>
      <c r="E570" s="57"/>
      <c r="F570" s="56"/>
      <c r="G570" s="58"/>
      <c r="H570" s="55"/>
      <c r="I570" s="55"/>
      <c r="J570" s="55"/>
      <c r="K570" s="59"/>
      <c r="L570" s="60"/>
      <c r="M570" s="60"/>
      <c r="N570" s="61"/>
    </row>
    <row r="571" customFormat="false" ht="12.75" hidden="false" customHeight="false" outlineLevel="0" collapsed="false">
      <c r="A571" s="61"/>
      <c r="B571" s="61"/>
      <c r="C571" s="56"/>
      <c r="D571" s="55"/>
      <c r="E571" s="57"/>
      <c r="F571" s="56"/>
      <c r="G571" s="58"/>
      <c r="H571" s="55"/>
      <c r="I571" s="55"/>
      <c r="J571" s="55"/>
      <c r="K571" s="59"/>
      <c r="L571" s="60"/>
      <c r="M571" s="60"/>
      <c r="N571" s="61"/>
    </row>
    <row r="572" customFormat="false" ht="12.75" hidden="false" customHeight="false" outlineLevel="0" collapsed="false">
      <c r="A572" s="61"/>
      <c r="B572" s="61"/>
      <c r="C572" s="56"/>
      <c r="D572" s="55"/>
      <c r="E572" s="57"/>
      <c r="F572" s="56"/>
      <c r="G572" s="58"/>
      <c r="H572" s="55"/>
      <c r="I572" s="55"/>
      <c r="J572" s="55"/>
      <c r="K572" s="59"/>
      <c r="L572" s="60"/>
      <c r="M572" s="60"/>
      <c r="N572" s="61"/>
    </row>
    <row r="573" customFormat="false" ht="12.75" hidden="false" customHeight="false" outlineLevel="0" collapsed="false">
      <c r="A573" s="61"/>
      <c r="B573" s="61"/>
      <c r="C573" s="56"/>
      <c r="D573" s="55"/>
      <c r="E573" s="57"/>
      <c r="F573" s="56"/>
      <c r="G573" s="58"/>
      <c r="H573" s="55"/>
      <c r="I573" s="55"/>
      <c r="J573" s="55"/>
      <c r="K573" s="59"/>
      <c r="L573" s="60"/>
      <c r="M573" s="60"/>
      <c r="N573" s="61"/>
    </row>
    <row r="574" customFormat="false" ht="12.75" hidden="false" customHeight="false" outlineLevel="0" collapsed="false">
      <c r="A574" s="61"/>
      <c r="B574" s="61"/>
      <c r="C574" s="56"/>
      <c r="D574" s="55"/>
      <c r="E574" s="57"/>
      <c r="F574" s="56"/>
      <c r="G574" s="58"/>
      <c r="H574" s="55"/>
      <c r="I574" s="55"/>
      <c r="J574" s="55"/>
      <c r="K574" s="59"/>
      <c r="L574" s="60"/>
      <c r="M574" s="60"/>
      <c r="N574" s="61"/>
    </row>
    <row r="575" customFormat="false" ht="12.75" hidden="false" customHeight="false" outlineLevel="0" collapsed="false">
      <c r="A575" s="61"/>
      <c r="B575" s="61"/>
      <c r="C575" s="56"/>
      <c r="D575" s="55"/>
      <c r="E575" s="57"/>
      <c r="F575" s="56"/>
      <c r="G575" s="58"/>
      <c r="H575" s="55"/>
      <c r="I575" s="55"/>
      <c r="J575" s="55"/>
      <c r="K575" s="59"/>
      <c r="L575" s="60"/>
      <c r="M575" s="60"/>
      <c r="N575" s="61"/>
    </row>
    <row r="576" customFormat="false" ht="12.75" hidden="false" customHeight="false" outlineLevel="0" collapsed="false">
      <c r="A576" s="61"/>
      <c r="B576" s="61"/>
      <c r="C576" s="56"/>
      <c r="D576" s="55"/>
      <c r="E576" s="57"/>
      <c r="F576" s="56"/>
      <c r="G576" s="58"/>
      <c r="H576" s="55"/>
      <c r="I576" s="55"/>
      <c r="J576" s="55"/>
      <c r="K576" s="59"/>
      <c r="L576" s="60"/>
      <c r="M576" s="60"/>
      <c r="N576" s="61"/>
    </row>
    <row r="577" customFormat="false" ht="12.75" hidden="false" customHeight="false" outlineLevel="0" collapsed="false">
      <c r="A577" s="61"/>
      <c r="B577" s="61"/>
      <c r="C577" s="56"/>
      <c r="D577" s="55"/>
      <c r="E577" s="57"/>
      <c r="F577" s="56"/>
      <c r="G577" s="58"/>
      <c r="H577" s="55"/>
      <c r="I577" s="55"/>
      <c r="J577" s="55"/>
      <c r="K577" s="59"/>
      <c r="L577" s="60"/>
      <c r="M577" s="60"/>
      <c r="N577" s="61"/>
    </row>
    <row r="578" customFormat="false" ht="12.75" hidden="false" customHeight="false" outlineLevel="0" collapsed="false">
      <c r="A578" s="61"/>
      <c r="B578" s="61"/>
      <c r="C578" s="56"/>
      <c r="D578" s="55"/>
      <c r="E578" s="57"/>
      <c r="F578" s="56"/>
      <c r="G578" s="58"/>
      <c r="H578" s="55"/>
      <c r="I578" s="55"/>
      <c r="J578" s="55"/>
      <c r="K578" s="59"/>
      <c r="L578" s="60"/>
      <c r="M578" s="60"/>
      <c r="N578" s="61"/>
    </row>
    <row r="579" customFormat="false" ht="12.75" hidden="false" customHeight="false" outlineLevel="0" collapsed="false">
      <c r="A579" s="61"/>
      <c r="B579" s="61"/>
      <c r="C579" s="56"/>
      <c r="D579" s="55"/>
      <c r="E579" s="57"/>
      <c r="F579" s="56"/>
      <c r="G579" s="58"/>
      <c r="H579" s="55"/>
      <c r="I579" s="55"/>
      <c r="J579" s="55"/>
      <c r="K579" s="59"/>
      <c r="L579" s="60"/>
      <c r="M579" s="60"/>
      <c r="N579" s="61"/>
    </row>
    <row r="580" customFormat="false" ht="12.75" hidden="false" customHeight="false" outlineLevel="0" collapsed="false">
      <c r="A580" s="61"/>
      <c r="B580" s="61"/>
      <c r="C580" s="56"/>
      <c r="D580" s="55"/>
      <c r="E580" s="57"/>
      <c r="F580" s="56"/>
      <c r="G580" s="58"/>
      <c r="H580" s="55"/>
      <c r="I580" s="55"/>
      <c r="J580" s="55"/>
      <c r="K580" s="59"/>
      <c r="L580" s="60"/>
      <c r="M580" s="60"/>
      <c r="N580" s="61"/>
    </row>
    <row r="581" customFormat="false" ht="12.75" hidden="false" customHeight="false" outlineLevel="0" collapsed="false">
      <c r="A581" s="61"/>
      <c r="B581" s="61"/>
      <c r="C581" s="56"/>
      <c r="D581" s="55"/>
      <c r="E581" s="57"/>
      <c r="F581" s="56"/>
      <c r="G581" s="58"/>
      <c r="H581" s="55"/>
      <c r="I581" s="55"/>
      <c r="J581" s="55"/>
      <c r="K581" s="59"/>
      <c r="L581" s="60"/>
      <c r="M581" s="60"/>
      <c r="N581" s="61"/>
    </row>
    <row r="582" customFormat="false" ht="12.75" hidden="false" customHeight="false" outlineLevel="0" collapsed="false">
      <c r="A582" s="61"/>
      <c r="B582" s="61"/>
      <c r="C582" s="56"/>
      <c r="D582" s="55"/>
      <c r="E582" s="57"/>
      <c r="F582" s="56"/>
      <c r="G582" s="58"/>
      <c r="H582" s="55"/>
      <c r="I582" s="55"/>
      <c r="J582" s="55"/>
      <c r="K582" s="59"/>
      <c r="L582" s="60"/>
      <c r="M582" s="60"/>
      <c r="N582" s="61"/>
    </row>
    <row r="583" customFormat="false" ht="12.75" hidden="false" customHeight="false" outlineLevel="0" collapsed="false">
      <c r="A583" s="61"/>
      <c r="B583" s="61"/>
      <c r="C583" s="56"/>
      <c r="D583" s="55"/>
      <c r="E583" s="57"/>
      <c r="F583" s="56"/>
      <c r="G583" s="58"/>
      <c r="H583" s="55"/>
      <c r="I583" s="55"/>
      <c r="J583" s="55"/>
      <c r="K583" s="59"/>
      <c r="L583" s="60"/>
      <c r="M583" s="60"/>
      <c r="N583" s="61"/>
    </row>
    <row r="584" customFormat="false" ht="12.75" hidden="false" customHeight="false" outlineLevel="0" collapsed="false">
      <c r="A584" s="61"/>
      <c r="B584" s="61"/>
      <c r="C584" s="56"/>
      <c r="D584" s="55"/>
      <c r="E584" s="57"/>
      <c r="F584" s="56"/>
      <c r="G584" s="58"/>
      <c r="H584" s="55"/>
      <c r="I584" s="55"/>
      <c r="J584" s="55"/>
      <c r="K584" s="59"/>
      <c r="L584" s="60"/>
      <c r="M584" s="60"/>
      <c r="N584" s="61"/>
    </row>
    <row r="585" customFormat="false" ht="12.75" hidden="false" customHeight="false" outlineLevel="0" collapsed="false">
      <c r="A585" s="61"/>
      <c r="B585" s="61"/>
      <c r="C585" s="56"/>
      <c r="D585" s="55"/>
      <c r="E585" s="57"/>
      <c r="F585" s="56"/>
      <c r="G585" s="58"/>
      <c r="H585" s="55"/>
      <c r="I585" s="55"/>
      <c r="J585" s="55"/>
      <c r="K585" s="59"/>
      <c r="L585" s="60"/>
      <c r="M585" s="60"/>
      <c r="N585" s="61"/>
    </row>
    <row r="586" customFormat="false" ht="12.75" hidden="false" customHeight="false" outlineLevel="0" collapsed="false">
      <c r="A586" s="61"/>
      <c r="B586" s="61"/>
      <c r="C586" s="56"/>
      <c r="D586" s="55"/>
      <c r="E586" s="57"/>
      <c r="F586" s="56"/>
      <c r="G586" s="58"/>
      <c r="H586" s="55"/>
      <c r="I586" s="55"/>
      <c r="J586" s="55"/>
      <c r="K586" s="59"/>
      <c r="L586" s="60"/>
      <c r="M586" s="60"/>
      <c r="N586" s="61"/>
    </row>
    <row r="587" customFormat="false" ht="12.75" hidden="false" customHeight="false" outlineLevel="0" collapsed="false">
      <c r="A587" s="61"/>
      <c r="B587" s="61"/>
      <c r="C587" s="56"/>
      <c r="D587" s="55"/>
      <c r="E587" s="57"/>
      <c r="F587" s="56"/>
      <c r="G587" s="58"/>
      <c r="H587" s="55"/>
      <c r="I587" s="55"/>
      <c r="J587" s="55"/>
      <c r="K587" s="59"/>
      <c r="L587" s="60"/>
      <c r="M587" s="60"/>
      <c r="N587" s="61"/>
    </row>
    <row r="588" customFormat="false" ht="12.75" hidden="false" customHeight="false" outlineLevel="0" collapsed="false">
      <c r="A588" s="61"/>
      <c r="B588" s="61"/>
      <c r="C588" s="56"/>
      <c r="D588" s="55"/>
      <c r="E588" s="57"/>
      <c r="F588" s="56"/>
      <c r="G588" s="58"/>
      <c r="H588" s="55"/>
      <c r="I588" s="55"/>
      <c r="J588" s="55"/>
      <c r="K588" s="59"/>
      <c r="L588" s="60"/>
      <c r="M588" s="60"/>
      <c r="N588" s="61"/>
    </row>
    <row r="589" customFormat="false" ht="12.75" hidden="false" customHeight="false" outlineLevel="0" collapsed="false">
      <c r="A589" s="61"/>
      <c r="B589" s="61"/>
      <c r="C589" s="56"/>
      <c r="D589" s="55"/>
      <c r="E589" s="57"/>
      <c r="F589" s="56"/>
      <c r="G589" s="58"/>
      <c r="H589" s="55"/>
      <c r="I589" s="55"/>
      <c r="J589" s="55"/>
      <c r="K589" s="59"/>
      <c r="L589" s="60"/>
      <c r="M589" s="60"/>
      <c r="N589" s="61"/>
    </row>
    <row r="590" customFormat="false" ht="12.75" hidden="false" customHeight="false" outlineLevel="0" collapsed="false">
      <c r="A590" s="61"/>
      <c r="B590" s="61"/>
      <c r="C590" s="56"/>
      <c r="D590" s="55"/>
      <c r="E590" s="57"/>
      <c r="F590" s="56"/>
      <c r="G590" s="58"/>
      <c r="H590" s="55"/>
      <c r="I590" s="55"/>
      <c r="J590" s="55"/>
      <c r="K590" s="59"/>
      <c r="L590" s="60"/>
      <c r="M590" s="60"/>
      <c r="N590" s="61"/>
    </row>
    <row r="591" customFormat="false" ht="12.75" hidden="false" customHeight="false" outlineLevel="0" collapsed="false">
      <c r="A591" s="61"/>
      <c r="B591" s="61"/>
      <c r="C591" s="56"/>
      <c r="D591" s="55"/>
      <c r="E591" s="57"/>
      <c r="F591" s="56"/>
      <c r="G591" s="58"/>
      <c r="H591" s="55"/>
      <c r="I591" s="55"/>
      <c r="J591" s="55"/>
      <c r="K591" s="59"/>
      <c r="L591" s="60"/>
      <c r="M591" s="60"/>
      <c r="N591" s="61"/>
    </row>
    <row r="592" customFormat="false" ht="12.75" hidden="false" customHeight="false" outlineLevel="0" collapsed="false">
      <c r="A592" s="61"/>
      <c r="B592" s="61"/>
      <c r="C592" s="56"/>
      <c r="D592" s="55"/>
      <c r="E592" s="57"/>
      <c r="F592" s="56"/>
      <c r="G592" s="58"/>
      <c r="H592" s="55"/>
      <c r="I592" s="55"/>
      <c r="J592" s="55"/>
      <c r="K592" s="59"/>
      <c r="L592" s="60"/>
      <c r="M592" s="60"/>
      <c r="N592" s="61"/>
    </row>
    <row r="593" customFormat="false" ht="12.75" hidden="false" customHeight="false" outlineLevel="0" collapsed="false">
      <c r="A593" s="61"/>
      <c r="B593" s="61"/>
      <c r="C593" s="56"/>
      <c r="D593" s="55"/>
      <c r="E593" s="57"/>
      <c r="F593" s="56"/>
      <c r="G593" s="58"/>
      <c r="H593" s="55"/>
      <c r="I593" s="55"/>
      <c r="J593" s="55"/>
      <c r="K593" s="59"/>
      <c r="L593" s="60"/>
      <c r="M593" s="60"/>
      <c r="N593" s="61"/>
    </row>
    <row r="594" customFormat="false" ht="12.75" hidden="false" customHeight="false" outlineLevel="0" collapsed="false">
      <c r="A594" s="61"/>
      <c r="B594" s="61"/>
      <c r="C594" s="56"/>
      <c r="D594" s="55"/>
      <c r="E594" s="57"/>
      <c r="F594" s="56"/>
      <c r="G594" s="58"/>
      <c r="H594" s="55"/>
      <c r="I594" s="55"/>
      <c r="J594" s="55"/>
      <c r="K594" s="59"/>
      <c r="L594" s="60"/>
      <c r="M594" s="60"/>
      <c r="N594" s="61"/>
    </row>
    <row r="595" customFormat="false" ht="12.75" hidden="false" customHeight="false" outlineLevel="0" collapsed="false">
      <c r="A595" s="61"/>
      <c r="B595" s="61"/>
      <c r="C595" s="56"/>
      <c r="D595" s="55"/>
      <c r="E595" s="57"/>
      <c r="F595" s="56"/>
      <c r="G595" s="58"/>
      <c r="H595" s="55"/>
      <c r="I595" s="55"/>
      <c r="J595" s="55"/>
      <c r="K595" s="59"/>
      <c r="L595" s="60"/>
      <c r="M595" s="60"/>
      <c r="N595" s="61"/>
    </row>
    <row r="596" customFormat="false" ht="12.75" hidden="false" customHeight="false" outlineLevel="0" collapsed="false">
      <c r="A596" s="61"/>
      <c r="B596" s="61"/>
      <c r="C596" s="56"/>
      <c r="D596" s="55"/>
      <c r="E596" s="57"/>
      <c r="F596" s="56"/>
      <c r="G596" s="58"/>
      <c r="H596" s="55"/>
      <c r="I596" s="55"/>
      <c r="J596" s="55"/>
      <c r="K596" s="59"/>
      <c r="L596" s="60"/>
      <c r="M596" s="60"/>
      <c r="N596" s="61"/>
    </row>
    <row r="597" customFormat="false" ht="12.75" hidden="false" customHeight="false" outlineLevel="0" collapsed="false">
      <c r="A597" s="61"/>
      <c r="B597" s="61"/>
      <c r="C597" s="56"/>
      <c r="D597" s="55"/>
      <c r="E597" s="57"/>
      <c r="F597" s="56"/>
      <c r="G597" s="58"/>
      <c r="H597" s="55"/>
      <c r="I597" s="55"/>
      <c r="J597" s="55"/>
      <c r="K597" s="59"/>
      <c r="L597" s="60"/>
      <c r="M597" s="60"/>
      <c r="N597" s="61"/>
    </row>
    <row r="598" customFormat="false" ht="12.75" hidden="false" customHeight="false" outlineLevel="0" collapsed="false">
      <c r="A598" s="61"/>
      <c r="B598" s="61"/>
      <c r="C598" s="56"/>
      <c r="D598" s="55"/>
      <c r="E598" s="57"/>
      <c r="F598" s="56"/>
      <c r="G598" s="58"/>
      <c r="H598" s="55"/>
      <c r="I598" s="55"/>
      <c r="J598" s="55"/>
      <c r="K598" s="59"/>
      <c r="L598" s="60"/>
      <c r="M598" s="60"/>
      <c r="N598" s="61"/>
    </row>
    <row r="599" customFormat="false" ht="12.75" hidden="false" customHeight="false" outlineLevel="0" collapsed="false">
      <c r="A599" s="61"/>
      <c r="B599" s="61"/>
      <c r="C599" s="56"/>
      <c r="D599" s="55"/>
      <c r="E599" s="57"/>
      <c r="F599" s="56"/>
      <c r="G599" s="58"/>
      <c r="H599" s="55"/>
      <c r="I599" s="55"/>
      <c r="J599" s="55"/>
      <c r="K599" s="59"/>
      <c r="L599" s="60"/>
      <c r="M599" s="60"/>
      <c r="N599" s="61"/>
    </row>
    <row r="600" customFormat="false" ht="12.75" hidden="false" customHeight="false" outlineLevel="0" collapsed="false">
      <c r="A600" s="61"/>
      <c r="B600" s="61"/>
      <c r="C600" s="56"/>
      <c r="D600" s="55"/>
      <c r="E600" s="57"/>
      <c r="F600" s="56"/>
      <c r="G600" s="58"/>
      <c r="H600" s="55"/>
      <c r="I600" s="55"/>
      <c r="J600" s="55"/>
      <c r="K600" s="59"/>
      <c r="L600" s="60"/>
      <c r="M600" s="60"/>
      <c r="N600" s="61"/>
    </row>
    <row r="601" customFormat="false" ht="12.75" hidden="false" customHeight="false" outlineLevel="0" collapsed="false">
      <c r="A601" s="61"/>
      <c r="B601" s="61"/>
      <c r="C601" s="56"/>
      <c r="D601" s="55"/>
      <c r="E601" s="57"/>
      <c r="F601" s="56"/>
      <c r="G601" s="58"/>
      <c r="H601" s="55"/>
      <c r="I601" s="55"/>
      <c r="J601" s="55"/>
      <c r="K601" s="59"/>
      <c r="L601" s="60"/>
      <c r="M601" s="60"/>
      <c r="N601" s="61"/>
    </row>
    <row r="602" customFormat="false" ht="12.75" hidden="false" customHeight="false" outlineLevel="0" collapsed="false">
      <c r="A602" s="61"/>
      <c r="B602" s="61"/>
      <c r="C602" s="56"/>
      <c r="D602" s="55"/>
      <c r="E602" s="57"/>
      <c r="F602" s="56"/>
      <c r="G602" s="58"/>
      <c r="H602" s="55"/>
      <c r="I602" s="55"/>
      <c r="J602" s="55"/>
      <c r="K602" s="59"/>
      <c r="L602" s="60"/>
      <c r="M602" s="60"/>
      <c r="N602" s="61"/>
    </row>
    <row r="603" customFormat="false" ht="12.75" hidden="false" customHeight="false" outlineLevel="0" collapsed="false">
      <c r="A603" s="61"/>
      <c r="B603" s="61"/>
      <c r="C603" s="56"/>
      <c r="D603" s="55"/>
      <c r="E603" s="57"/>
      <c r="F603" s="56"/>
      <c r="G603" s="58"/>
      <c r="H603" s="55"/>
      <c r="I603" s="55"/>
      <c r="J603" s="55"/>
      <c r="K603" s="59"/>
      <c r="L603" s="60"/>
      <c r="M603" s="60"/>
      <c r="N603" s="61"/>
    </row>
    <row r="604" customFormat="false" ht="12.75" hidden="false" customHeight="false" outlineLevel="0" collapsed="false">
      <c r="A604" s="61"/>
      <c r="B604" s="61"/>
      <c r="C604" s="56"/>
      <c r="D604" s="55"/>
      <c r="E604" s="57"/>
      <c r="F604" s="56"/>
      <c r="G604" s="58"/>
      <c r="H604" s="55"/>
      <c r="I604" s="55"/>
      <c r="J604" s="55"/>
      <c r="K604" s="59"/>
      <c r="L604" s="60"/>
      <c r="M604" s="60"/>
      <c r="N604" s="61"/>
    </row>
    <row r="605" customFormat="false" ht="12.75" hidden="false" customHeight="false" outlineLevel="0" collapsed="false">
      <c r="A605" s="61"/>
      <c r="B605" s="61"/>
      <c r="C605" s="56"/>
      <c r="D605" s="55"/>
      <c r="E605" s="57"/>
      <c r="F605" s="56"/>
      <c r="G605" s="58"/>
      <c r="H605" s="55"/>
      <c r="I605" s="55"/>
      <c r="J605" s="55"/>
      <c r="K605" s="59"/>
      <c r="L605" s="60"/>
      <c r="M605" s="60"/>
      <c r="N605" s="61"/>
    </row>
    <row r="606" customFormat="false" ht="12.75" hidden="false" customHeight="false" outlineLevel="0" collapsed="false">
      <c r="A606" s="61"/>
      <c r="B606" s="61"/>
      <c r="C606" s="56"/>
      <c r="D606" s="55"/>
      <c r="E606" s="57"/>
      <c r="F606" s="56"/>
      <c r="G606" s="58"/>
      <c r="H606" s="55"/>
      <c r="I606" s="55"/>
      <c r="J606" s="55"/>
      <c r="K606" s="59"/>
      <c r="L606" s="60"/>
      <c r="M606" s="60"/>
      <c r="N606" s="61"/>
    </row>
    <row r="607" customFormat="false" ht="12.75" hidden="false" customHeight="false" outlineLevel="0" collapsed="false">
      <c r="A607" s="61"/>
      <c r="B607" s="61"/>
      <c r="C607" s="56"/>
      <c r="D607" s="55"/>
      <c r="E607" s="57"/>
      <c r="F607" s="56"/>
      <c r="G607" s="58"/>
      <c r="H607" s="55"/>
      <c r="I607" s="55"/>
      <c r="J607" s="55"/>
      <c r="K607" s="59"/>
      <c r="L607" s="60"/>
      <c r="M607" s="60"/>
      <c r="N607" s="61"/>
    </row>
    <row r="608" customFormat="false" ht="12.75" hidden="false" customHeight="false" outlineLevel="0" collapsed="false">
      <c r="A608" s="61"/>
      <c r="B608" s="61"/>
      <c r="C608" s="56"/>
      <c r="D608" s="55"/>
      <c r="E608" s="57"/>
      <c r="F608" s="56"/>
      <c r="G608" s="58"/>
      <c r="H608" s="55"/>
      <c r="I608" s="55"/>
      <c r="J608" s="55"/>
      <c r="K608" s="59"/>
      <c r="L608" s="60"/>
      <c r="M608" s="60"/>
      <c r="N608" s="61"/>
    </row>
    <row r="609" customFormat="false" ht="12.75" hidden="false" customHeight="false" outlineLevel="0" collapsed="false">
      <c r="A609" s="61"/>
      <c r="B609" s="61"/>
      <c r="C609" s="56"/>
      <c r="D609" s="55"/>
      <c r="E609" s="57"/>
      <c r="F609" s="56"/>
      <c r="G609" s="58"/>
      <c r="H609" s="55"/>
      <c r="I609" s="55"/>
      <c r="J609" s="55"/>
      <c r="K609" s="59"/>
      <c r="L609" s="60"/>
      <c r="M609" s="60"/>
      <c r="N609" s="61"/>
    </row>
    <row r="610" customFormat="false" ht="12.75" hidden="false" customHeight="false" outlineLevel="0" collapsed="false">
      <c r="A610" s="61"/>
      <c r="B610" s="61"/>
      <c r="C610" s="56"/>
      <c r="D610" s="55"/>
      <c r="E610" s="57"/>
      <c r="F610" s="56"/>
      <c r="G610" s="58"/>
      <c r="H610" s="55"/>
      <c r="I610" s="55"/>
      <c r="J610" s="55"/>
      <c r="K610" s="59"/>
      <c r="L610" s="60"/>
      <c r="M610" s="60"/>
      <c r="N610" s="61"/>
    </row>
    <row r="611" customFormat="false" ht="12.75" hidden="false" customHeight="false" outlineLevel="0" collapsed="false">
      <c r="A611" s="61"/>
      <c r="B611" s="61"/>
      <c r="C611" s="56"/>
      <c r="D611" s="55"/>
      <c r="E611" s="57"/>
      <c r="F611" s="56"/>
      <c r="G611" s="58"/>
      <c r="H611" s="55"/>
      <c r="I611" s="55"/>
      <c r="J611" s="55"/>
      <c r="K611" s="59"/>
      <c r="L611" s="60"/>
      <c r="M611" s="60"/>
      <c r="N611" s="61"/>
    </row>
    <row r="612" customFormat="false" ht="12.75" hidden="false" customHeight="false" outlineLevel="0" collapsed="false">
      <c r="A612" s="61"/>
      <c r="B612" s="61"/>
      <c r="C612" s="56"/>
      <c r="D612" s="55"/>
      <c r="E612" s="57"/>
      <c r="F612" s="56"/>
      <c r="G612" s="58"/>
      <c r="H612" s="55"/>
      <c r="I612" s="55"/>
      <c r="J612" s="55"/>
      <c r="K612" s="59"/>
      <c r="L612" s="60"/>
      <c r="M612" s="60"/>
      <c r="N612" s="61"/>
    </row>
    <row r="613" customFormat="false" ht="12.75" hidden="false" customHeight="false" outlineLevel="0" collapsed="false">
      <c r="A613" s="61"/>
      <c r="B613" s="61"/>
      <c r="C613" s="56"/>
      <c r="D613" s="55"/>
      <c r="E613" s="57"/>
      <c r="F613" s="56"/>
      <c r="G613" s="58"/>
      <c r="H613" s="55"/>
      <c r="I613" s="55"/>
      <c r="J613" s="55"/>
      <c r="K613" s="59"/>
      <c r="L613" s="60"/>
      <c r="M613" s="60"/>
      <c r="N613" s="61"/>
    </row>
    <row r="614" customFormat="false" ht="12.75" hidden="false" customHeight="false" outlineLevel="0" collapsed="false">
      <c r="A614" s="61"/>
      <c r="B614" s="61"/>
      <c r="C614" s="56"/>
      <c r="D614" s="55"/>
      <c r="E614" s="57"/>
      <c r="F614" s="56"/>
      <c r="G614" s="58"/>
      <c r="H614" s="55"/>
      <c r="I614" s="55"/>
      <c r="J614" s="55"/>
      <c r="K614" s="59"/>
      <c r="L614" s="60"/>
      <c r="M614" s="60"/>
      <c r="N614" s="61"/>
    </row>
    <row r="615" customFormat="false" ht="12.75" hidden="false" customHeight="false" outlineLevel="0" collapsed="false">
      <c r="A615" s="61"/>
      <c r="B615" s="61"/>
      <c r="C615" s="56"/>
      <c r="D615" s="55"/>
      <c r="E615" s="57"/>
      <c r="F615" s="56"/>
      <c r="G615" s="58"/>
      <c r="H615" s="55"/>
      <c r="I615" s="55"/>
      <c r="J615" s="55"/>
      <c r="K615" s="59"/>
      <c r="L615" s="60"/>
      <c r="M615" s="60"/>
      <c r="N615" s="61"/>
    </row>
    <row r="616" customFormat="false" ht="12.75" hidden="false" customHeight="false" outlineLevel="0" collapsed="false">
      <c r="A616" s="61"/>
      <c r="B616" s="61"/>
      <c r="C616" s="56"/>
      <c r="D616" s="55"/>
      <c r="E616" s="57"/>
      <c r="F616" s="56"/>
      <c r="G616" s="58"/>
      <c r="H616" s="55"/>
      <c r="I616" s="55"/>
      <c r="J616" s="55"/>
      <c r="K616" s="59"/>
      <c r="L616" s="60"/>
      <c r="M616" s="60"/>
      <c r="N616" s="61"/>
    </row>
    <row r="617" customFormat="false" ht="12.75" hidden="false" customHeight="false" outlineLevel="0" collapsed="false">
      <c r="A617" s="61"/>
      <c r="B617" s="61"/>
      <c r="C617" s="56"/>
      <c r="D617" s="55"/>
      <c r="E617" s="57"/>
      <c r="F617" s="56"/>
      <c r="G617" s="58"/>
      <c r="H617" s="55"/>
      <c r="I617" s="55"/>
      <c r="J617" s="55"/>
      <c r="K617" s="59"/>
      <c r="L617" s="60"/>
      <c r="M617" s="60"/>
      <c r="N617" s="61"/>
    </row>
    <row r="618" customFormat="false" ht="12.75" hidden="false" customHeight="false" outlineLevel="0" collapsed="false">
      <c r="A618" s="61"/>
      <c r="B618" s="61"/>
      <c r="C618" s="56"/>
      <c r="D618" s="55"/>
      <c r="E618" s="57"/>
      <c r="F618" s="56"/>
      <c r="G618" s="58"/>
      <c r="H618" s="55"/>
      <c r="I618" s="55"/>
      <c r="J618" s="55"/>
      <c r="K618" s="59"/>
      <c r="L618" s="60"/>
      <c r="M618" s="60"/>
      <c r="N618" s="61"/>
    </row>
    <row r="619" customFormat="false" ht="12.75" hidden="false" customHeight="false" outlineLevel="0" collapsed="false">
      <c r="A619" s="61"/>
      <c r="B619" s="61"/>
      <c r="C619" s="56"/>
      <c r="D619" s="55"/>
      <c r="E619" s="57"/>
      <c r="F619" s="56"/>
      <c r="G619" s="58"/>
      <c r="H619" s="55"/>
      <c r="I619" s="55"/>
      <c r="J619" s="55"/>
      <c r="K619" s="59"/>
      <c r="L619" s="60"/>
      <c r="M619" s="60"/>
      <c r="N619" s="61"/>
    </row>
    <row r="620" customFormat="false" ht="12.75" hidden="false" customHeight="false" outlineLevel="0" collapsed="false">
      <c r="A620" s="61"/>
      <c r="B620" s="61"/>
      <c r="C620" s="56"/>
      <c r="D620" s="55"/>
      <c r="E620" s="57"/>
      <c r="F620" s="56"/>
      <c r="G620" s="58"/>
      <c r="H620" s="55"/>
      <c r="I620" s="55"/>
      <c r="J620" s="55"/>
      <c r="K620" s="59"/>
      <c r="L620" s="60"/>
      <c r="M620" s="60"/>
      <c r="N620" s="61"/>
    </row>
    <row r="621" customFormat="false" ht="12.75" hidden="false" customHeight="false" outlineLevel="0" collapsed="false">
      <c r="A621" s="61"/>
      <c r="B621" s="61"/>
      <c r="C621" s="56"/>
      <c r="D621" s="55"/>
      <c r="E621" s="57"/>
      <c r="F621" s="56"/>
      <c r="G621" s="58"/>
      <c r="H621" s="55"/>
      <c r="I621" s="55"/>
      <c r="J621" s="55"/>
      <c r="K621" s="59"/>
      <c r="L621" s="60"/>
      <c r="M621" s="60"/>
      <c r="N621" s="61"/>
    </row>
    <row r="622" customFormat="false" ht="12.75" hidden="false" customHeight="false" outlineLevel="0" collapsed="false">
      <c r="A622" s="61"/>
      <c r="B622" s="61"/>
      <c r="C622" s="56"/>
      <c r="D622" s="55"/>
      <c r="E622" s="57"/>
      <c r="F622" s="56"/>
      <c r="G622" s="58"/>
      <c r="H622" s="55"/>
      <c r="I622" s="55"/>
      <c r="J622" s="55"/>
      <c r="K622" s="59"/>
      <c r="L622" s="60"/>
      <c r="M622" s="60"/>
      <c r="N622" s="61"/>
    </row>
    <row r="623" customFormat="false" ht="12.75" hidden="false" customHeight="false" outlineLevel="0" collapsed="false">
      <c r="A623" s="61"/>
      <c r="B623" s="61"/>
      <c r="C623" s="56"/>
      <c r="D623" s="55"/>
      <c r="E623" s="57"/>
      <c r="F623" s="56"/>
      <c r="G623" s="58"/>
      <c r="H623" s="55"/>
      <c r="I623" s="55"/>
      <c r="J623" s="55"/>
      <c r="K623" s="59"/>
      <c r="L623" s="60"/>
      <c r="M623" s="60"/>
      <c r="N623" s="61"/>
    </row>
    <row r="624" customFormat="false" ht="12.75" hidden="false" customHeight="false" outlineLevel="0" collapsed="false">
      <c r="A624" s="61"/>
      <c r="B624" s="61"/>
      <c r="C624" s="56"/>
      <c r="D624" s="55"/>
      <c r="E624" s="57"/>
      <c r="F624" s="56"/>
      <c r="G624" s="58"/>
      <c r="H624" s="55"/>
      <c r="I624" s="55"/>
      <c r="J624" s="55"/>
      <c r="K624" s="59"/>
      <c r="L624" s="60"/>
      <c r="M624" s="60"/>
      <c r="N624" s="61"/>
    </row>
    <row r="625" customFormat="false" ht="12.75" hidden="false" customHeight="false" outlineLevel="0" collapsed="false">
      <c r="A625" s="61"/>
      <c r="B625" s="61"/>
      <c r="C625" s="56"/>
      <c r="D625" s="55"/>
      <c r="E625" s="57"/>
      <c r="F625" s="56"/>
      <c r="G625" s="58"/>
      <c r="H625" s="55"/>
      <c r="I625" s="55"/>
      <c r="J625" s="55"/>
      <c r="K625" s="59"/>
      <c r="L625" s="60"/>
      <c r="M625" s="60"/>
      <c r="N625" s="61"/>
    </row>
    <row r="626" customFormat="false" ht="12.75" hidden="false" customHeight="false" outlineLevel="0" collapsed="false">
      <c r="A626" s="61"/>
      <c r="B626" s="61"/>
      <c r="C626" s="56"/>
      <c r="D626" s="55"/>
      <c r="E626" s="57"/>
      <c r="F626" s="56"/>
      <c r="G626" s="58"/>
      <c r="H626" s="55"/>
      <c r="I626" s="55"/>
      <c r="J626" s="55"/>
      <c r="K626" s="59"/>
      <c r="L626" s="60"/>
      <c r="M626" s="60"/>
      <c r="N626" s="61"/>
    </row>
    <row r="627" customFormat="false" ht="12.75" hidden="false" customHeight="false" outlineLevel="0" collapsed="false">
      <c r="A627" s="61"/>
      <c r="B627" s="61"/>
      <c r="C627" s="56"/>
      <c r="D627" s="55"/>
      <c r="E627" s="57"/>
      <c r="F627" s="56"/>
      <c r="G627" s="58"/>
      <c r="H627" s="55"/>
      <c r="I627" s="55"/>
      <c r="J627" s="55"/>
      <c r="K627" s="59"/>
      <c r="L627" s="60"/>
      <c r="M627" s="60"/>
      <c r="N627" s="61"/>
    </row>
    <row r="628" customFormat="false" ht="12.75" hidden="false" customHeight="false" outlineLevel="0" collapsed="false">
      <c r="A628" s="61"/>
      <c r="B628" s="61"/>
      <c r="C628" s="56"/>
      <c r="D628" s="55"/>
      <c r="E628" s="57"/>
      <c r="F628" s="56"/>
      <c r="G628" s="58"/>
      <c r="H628" s="55"/>
      <c r="I628" s="55"/>
      <c r="J628" s="55"/>
      <c r="K628" s="59"/>
      <c r="L628" s="60"/>
      <c r="M628" s="60"/>
      <c r="N628" s="61"/>
    </row>
    <row r="629" customFormat="false" ht="12.75" hidden="false" customHeight="false" outlineLevel="0" collapsed="false">
      <c r="A629" s="61"/>
      <c r="B629" s="61"/>
      <c r="C629" s="56"/>
      <c r="D629" s="55"/>
      <c r="E629" s="57"/>
      <c r="F629" s="56"/>
      <c r="G629" s="58"/>
      <c r="H629" s="55"/>
      <c r="I629" s="55"/>
      <c r="J629" s="55"/>
      <c r="K629" s="59"/>
      <c r="L629" s="60"/>
      <c r="M629" s="60"/>
      <c r="N629" s="61"/>
    </row>
    <row r="630" customFormat="false" ht="12.75" hidden="false" customHeight="false" outlineLevel="0" collapsed="false">
      <c r="A630" s="61"/>
      <c r="B630" s="61"/>
      <c r="C630" s="56"/>
      <c r="D630" s="55"/>
      <c r="E630" s="57"/>
      <c r="F630" s="56"/>
      <c r="G630" s="58"/>
      <c r="H630" s="55"/>
      <c r="I630" s="55"/>
      <c r="J630" s="55"/>
      <c r="K630" s="59"/>
      <c r="L630" s="60"/>
      <c r="M630" s="60"/>
      <c r="N630" s="61"/>
    </row>
    <row r="631" customFormat="false" ht="12.75" hidden="false" customHeight="false" outlineLevel="0" collapsed="false">
      <c r="A631" s="61"/>
      <c r="B631" s="61"/>
      <c r="C631" s="56"/>
      <c r="D631" s="55"/>
      <c r="E631" s="57"/>
      <c r="F631" s="56"/>
      <c r="G631" s="58"/>
      <c r="H631" s="55"/>
      <c r="I631" s="55"/>
      <c r="J631" s="55"/>
      <c r="K631" s="59"/>
      <c r="L631" s="60"/>
      <c r="M631" s="60"/>
      <c r="N631" s="61"/>
    </row>
    <row r="632" customFormat="false" ht="12.75" hidden="false" customHeight="false" outlineLevel="0" collapsed="false">
      <c r="A632" s="61"/>
      <c r="B632" s="61"/>
      <c r="C632" s="56"/>
      <c r="D632" s="55"/>
      <c r="E632" s="57"/>
      <c r="F632" s="56"/>
      <c r="G632" s="58"/>
      <c r="H632" s="55"/>
      <c r="I632" s="55"/>
      <c r="J632" s="55"/>
      <c r="K632" s="59"/>
      <c r="L632" s="60"/>
      <c r="M632" s="60"/>
      <c r="N632" s="61"/>
    </row>
    <row r="633" customFormat="false" ht="12.75" hidden="false" customHeight="false" outlineLevel="0" collapsed="false">
      <c r="A633" s="61"/>
      <c r="B633" s="61"/>
      <c r="C633" s="56"/>
      <c r="D633" s="55"/>
      <c r="E633" s="57"/>
      <c r="F633" s="56"/>
      <c r="G633" s="58"/>
      <c r="H633" s="55"/>
      <c r="I633" s="55"/>
      <c r="J633" s="55"/>
      <c r="K633" s="59"/>
      <c r="L633" s="60"/>
      <c r="M633" s="60"/>
      <c r="N633" s="61"/>
    </row>
    <row r="634" customFormat="false" ht="12.75" hidden="false" customHeight="false" outlineLevel="0" collapsed="false">
      <c r="A634" s="61"/>
      <c r="B634" s="61"/>
      <c r="C634" s="56"/>
      <c r="D634" s="55"/>
      <c r="E634" s="57"/>
      <c r="F634" s="56"/>
      <c r="G634" s="58"/>
      <c r="H634" s="55"/>
      <c r="I634" s="55"/>
      <c r="J634" s="55"/>
      <c r="K634" s="59"/>
      <c r="L634" s="60"/>
      <c r="M634" s="60"/>
      <c r="N634" s="61"/>
    </row>
    <row r="635" customFormat="false" ht="12.75" hidden="false" customHeight="false" outlineLevel="0" collapsed="false">
      <c r="A635" s="61"/>
      <c r="B635" s="61"/>
      <c r="C635" s="56"/>
      <c r="D635" s="55"/>
      <c r="E635" s="57"/>
      <c r="F635" s="56"/>
      <c r="G635" s="58"/>
      <c r="H635" s="55"/>
      <c r="I635" s="55"/>
      <c r="J635" s="55"/>
      <c r="K635" s="59"/>
      <c r="L635" s="60"/>
      <c r="M635" s="60"/>
      <c r="N635" s="61"/>
    </row>
    <row r="636" customFormat="false" ht="12.75" hidden="false" customHeight="false" outlineLevel="0" collapsed="false">
      <c r="A636" s="61"/>
      <c r="B636" s="61"/>
      <c r="C636" s="56"/>
      <c r="D636" s="55"/>
      <c r="E636" s="57"/>
      <c r="F636" s="56"/>
      <c r="G636" s="58"/>
      <c r="H636" s="55"/>
      <c r="I636" s="55"/>
      <c r="J636" s="55"/>
      <c r="K636" s="59"/>
      <c r="L636" s="60"/>
      <c r="M636" s="60"/>
      <c r="N636" s="61"/>
    </row>
    <row r="637" customFormat="false" ht="12.75" hidden="false" customHeight="false" outlineLevel="0" collapsed="false">
      <c r="A637" s="61"/>
      <c r="B637" s="61"/>
      <c r="C637" s="56"/>
      <c r="D637" s="55"/>
      <c r="E637" s="57"/>
      <c r="F637" s="56"/>
      <c r="G637" s="58"/>
      <c r="H637" s="55"/>
      <c r="I637" s="55"/>
      <c r="J637" s="55"/>
      <c r="K637" s="59"/>
      <c r="L637" s="60"/>
      <c r="M637" s="60"/>
      <c r="N637" s="61"/>
    </row>
    <row r="638" customFormat="false" ht="12.75" hidden="false" customHeight="false" outlineLevel="0" collapsed="false">
      <c r="A638" s="61"/>
      <c r="B638" s="61"/>
      <c r="C638" s="56"/>
      <c r="D638" s="55"/>
      <c r="E638" s="57"/>
      <c r="F638" s="56"/>
      <c r="G638" s="58"/>
      <c r="H638" s="55"/>
      <c r="I638" s="55"/>
      <c r="J638" s="55"/>
      <c r="K638" s="59"/>
      <c r="L638" s="60"/>
      <c r="M638" s="60"/>
      <c r="N638" s="61"/>
    </row>
    <row r="639" customFormat="false" ht="12.75" hidden="false" customHeight="false" outlineLevel="0" collapsed="false">
      <c r="A639" s="61"/>
      <c r="B639" s="61"/>
      <c r="C639" s="56"/>
      <c r="D639" s="55"/>
      <c r="E639" s="57"/>
      <c r="F639" s="56"/>
      <c r="G639" s="58"/>
      <c r="H639" s="55"/>
      <c r="I639" s="55"/>
      <c r="J639" s="55"/>
      <c r="K639" s="59"/>
      <c r="L639" s="60"/>
      <c r="M639" s="60"/>
      <c r="N639" s="61"/>
    </row>
    <row r="640" customFormat="false" ht="12.75" hidden="false" customHeight="false" outlineLevel="0" collapsed="false">
      <c r="A640" s="61"/>
      <c r="B640" s="61"/>
      <c r="C640" s="56"/>
      <c r="D640" s="55"/>
      <c r="E640" s="57"/>
      <c r="F640" s="56"/>
      <c r="G640" s="58"/>
      <c r="H640" s="55"/>
      <c r="I640" s="55"/>
      <c r="J640" s="55"/>
      <c r="K640" s="59"/>
      <c r="L640" s="60"/>
      <c r="M640" s="60"/>
      <c r="N640" s="61"/>
    </row>
    <row r="641" customFormat="false" ht="12.75" hidden="false" customHeight="false" outlineLevel="0" collapsed="false">
      <c r="A641" s="61"/>
      <c r="B641" s="61"/>
      <c r="C641" s="56"/>
      <c r="D641" s="55"/>
      <c r="E641" s="57"/>
      <c r="F641" s="56"/>
      <c r="G641" s="58"/>
      <c r="H641" s="55"/>
      <c r="I641" s="55"/>
      <c r="J641" s="55"/>
      <c r="K641" s="59"/>
      <c r="L641" s="60"/>
      <c r="M641" s="60"/>
      <c r="N641" s="61"/>
    </row>
    <row r="642" customFormat="false" ht="12.75" hidden="false" customHeight="false" outlineLevel="0" collapsed="false">
      <c r="A642" s="61"/>
      <c r="B642" s="61"/>
      <c r="C642" s="56"/>
      <c r="D642" s="55"/>
      <c r="E642" s="57"/>
      <c r="F642" s="56"/>
      <c r="G642" s="58"/>
      <c r="H642" s="55"/>
      <c r="I642" s="55"/>
      <c r="J642" s="55"/>
      <c r="K642" s="59"/>
      <c r="L642" s="60"/>
      <c r="M642" s="60"/>
      <c r="N642" s="61"/>
    </row>
    <row r="643" customFormat="false" ht="12.75" hidden="false" customHeight="false" outlineLevel="0" collapsed="false">
      <c r="A643" s="61"/>
      <c r="B643" s="61"/>
      <c r="C643" s="56"/>
      <c r="D643" s="55"/>
      <c r="E643" s="57"/>
      <c r="F643" s="56"/>
      <c r="G643" s="58"/>
      <c r="H643" s="55"/>
      <c r="I643" s="55"/>
      <c r="J643" s="55"/>
      <c r="K643" s="59"/>
      <c r="L643" s="60"/>
      <c r="M643" s="60"/>
      <c r="N643" s="61"/>
    </row>
    <row r="644" customFormat="false" ht="12.75" hidden="false" customHeight="false" outlineLevel="0" collapsed="false">
      <c r="A644" s="61"/>
      <c r="B644" s="61"/>
      <c r="C644" s="56"/>
      <c r="D644" s="55"/>
      <c r="E644" s="57"/>
      <c r="F644" s="56"/>
      <c r="G644" s="58"/>
      <c r="H644" s="55"/>
      <c r="I644" s="55"/>
      <c r="J644" s="55"/>
      <c r="K644" s="59"/>
      <c r="L644" s="60"/>
      <c r="M644" s="60"/>
      <c r="N644" s="61"/>
    </row>
    <row r="645" customFormat="false" ht="12.75" hidden="false" customHeight="false" outlineLevel="0" collapsed="false">
      <c r="A645" s="61"/>
      <c r="B645" s="61"/>
      <c r="C645" s="56"/>
      <c r="D645" s="55"/>
      <c r="E645" s="57"/>
      <c r="F645" s="56"/>
      <c r="G645" s="58"/>
      <c r="H645" s="55"/>
      <c r="I645" s="55"/>
      <c r="J645" s="55"/>
      <c r="K645" s="59"/>
      <c r="L645" s="60"/>
      <c r="M645" s="60"/>
      <c r="N645" s="61"/>
    </row>
    <row r="646" customFormat="false" ht="12.75" hidden="false" customHeight="false" outlineLevel="0" collapsed="false">
      <c r="A646" s="61"/>
      <c r="B646" s="61"/>
      <c r="C646" s="56"/>
      <c r="D646" s="55"/>
      <c r="E646" s="57"/>
      <c r="F646" s="56"/>
      <c r="G646" s="58"/>
      <c r="H646" s="55"/>
      <c r="I646" s="55"/>
      <c r="J646" s="55"/>
      <c r="K646" s="59"/>
      <c r="L646" s="60"/>
      <c r="M646" s="60"/>
      <c r="N646" s="61"/>
    </row>
    <row r="647" customFormat="false" ht="12.75" hidden="false" customHeight="false" outlineLevel="0" collapsed="false">
      <c r="A647" s="61"/>
      <c r="B647" s="61"/>
      <c r="C647" s="56"/>
      <c r="D647" s="55"/>
      <c r="E647" s="57"/>
      <c r="F647" s="56"/>
      <c r="G647" s="58"/>
      <c r="H647" s="55"/>
      <c r="I647" s="55"/>
      <c r="J647" s="55"/>
      <c r="K647" s="59"/>
      <c r="L647" s="60"/>
      <c r="M647" s="60"/>
      <c r="N647" s="61"/>
    </row>
    <row r="648" customFormat="false" ht="12.75" hidden="false" customHeight="false" outlineLevel="0" collapsed="false">
      <c r="A648" s="61"/>
      <c r="B648" s="61"/>
      <c r="C648" s="56"/>
      <c r="D648" s="55"/>
      <c r="E648" s="57"/>
      <c r="F648" s="56"/>
      <c r="G648" s="58"/>
      <c r="H648" s="55"/>
      <c r="I648" s="55"/>
      <c r="J648" s="55"/>
      <c r="K648" s="59"/>
      <c r="L648" s="60"/>
      <c r="M648" s="60"/>
      <c r="N648" s="61"/>
    </row>
    <row r="649" customFormat="false" ht="12.75" hidden="false" customHeight="false" outlineLevel="0" collapsed="false">
      <c r="A649" s="61"/>
      <c r="B649" s="61"/>
      <c r="C649" s="56"/>
      <c r="D649" s="55"/>
      <c r="E649" s="57"/>
      <c r="F649" s="56"/>
      <c r="G649" s="58"/>
      <c r="H649" s="55"/>
      <c r="I649" s="55"/>
      <c r="J649" s="55"/>
      <c r="K649" s="59"/>
      <c r="L649" s="60"/>
      <c r="M649" s="60"/>
      <c r="N649" s="61"/>
    </row>
    <row r="650" customFormat="false" ht="12.75" hidden="false" customHeight="false" outlineLevel="0" collapsed="false">
      <c r="A650" s="61"/>
      <c r="B650" s="61"/>
      <c r="C650" s="56"/>
      <c r="D650" s="55"/>
      <c r="E650" s="57"/>
      <c r="F650" s="56"/>
      <c r="G650" s="58"/>
      <c r="H650" s="55"/>
      <c r="I650" s="55"/>
      <c r="J650" s="55"/>
      <c r="K650" s="59"/>
      <c r="L650" s="60"/>
      <c r="M650" s="60"/>
      <c r="N650" s="61"/>
    </row>
    <row r="651" customFormat="false" ht="12.75" hidden="false" customHeight="false" outlineLevel="0" collapsed="false">
      <c r="A651" s="61"/>
      <c r="B651" s="61"/>
      <c r="C651" s="56"/>
      <c r="D651" s="55"/>
      <c r="E651" s="57"/>
      <c r="F651" s="56"/>
      <c r="G651" s="58"/>
      <c r="H651" s="55"/>
      <c r="I651" s="55"/>
      <c r="J651" s="55"/>
      <c r="K651" s="59"/>
      <c r="L651" s="60"/>
      <c r="M651" s="60"/>
      <c r="N651" s="61"/>
    </row>
    <row r="652" customFormat="false" ht="12.75" hidden="false" customHeight="false" outlineLevel="0" collapsed="false">
      <c r="A652" s="61"/>
      <c r="B652" s="61"/>
      <c r="C652" s="56"/>
      <c r="D652" s="55"/>
      <c r="E652" s="57"/>
      <c r="F652" s="56"/>
      <c r="G652" s="58"/>
      <c r="H652" s="55"/>
      <c r="I652" s="55"/>
      <c r="J652" s="55"/>
      <c r="K652" s="59"/>
      <c r="L652" s="60"/>
      <c r="M652" s="60"/>
      <c r="N652" s="61"/>
    </row>
    <row r="653" customFormat="false" ht="12.75" hidden="false" customHeight="false" outlineLevel="0" collapsed="false">
      <c r="A653" s="61"/>
      <c r="B653" s="61"/>
      <c r="C653" s="56"/>
      <c r="D653" s="55"/>
      <c r="E653" s="57"/>
      <c r="F653" s="56"/>
      <c r="G653" s="58"/>
      <c r="H653" s="55"/>
      <c r="I653" s="55"/>
      <c r="J653" s="55"/>
      <c r="K653" s="59"/>
      <c r="L653" s="60"/>
      <c r="M653" s="60"/>
      <c r="N653" s="61"/>
    </row>
    <row r="654" customFormat="false" ht="12.75" hidden="false" customHeight="false" outlineLevel="0" collapsed="false">
      <c r="A654" s="61"/>
      <c r="B654" s="61"/>
      <c r="C654" s="56"/>
      <c r="D654" s="55"/>
      <c r="E654" s="57"/>
      <c r="F654" s="56"/>
      <c r="G654" s="58"/>
      <c r="H654" s="55"/>
      <c r="I654" s="55"/>
      <c r="J654" s="55"/>
      <c r="K654" s="59"/>
      <c r="L654" s="60"/>
      <c r="M654" s="60"/>
      <c r="N654" s="61"/>
    </row>
    <row r="655" customFormat="false" ht="12.75" hidden="false" customHeight="false" outlineLevel="0" collapsed="false">
      <c r="A655" s="61"/>
      <c r="B655" s="61"/>
      <c r="C655" s="56"/>
      <c r="D655" s="55"/>
      <c r="E655" s="57"/>
      <c r="F655" s="56"/>
      <c r="G655" s="58"/>
      <c r="H655" s="55"/>
      <c r="I655" s="55"/>
      <c r="J655" s="55"/>
      <c r="K655" s="59"/>
      <c r="L655" s="60"/>
      <c r="M655" s="60"/>
      <c r="N655" s="61"/>
    </row>
    <row r="656" customFormat="false" ht="12.75" hidden="false" customHeight="false" outlineLevel="0" collapsed="false">
      <c r="A656" s="61"/>
      <c r="B656" s="61"/>
      <c r="C656" s="56"/>
      <c r="D656" s="55"/>
      <c r="E656" s="57"/>
      <c r="F656" s="56"/>
      <c r="G656" s="58"/>
      <c r="H656" s="55"/>
      <c r="I656" s="55"/>
      <c r="J656" s="55"/>
      <c r="K656" s="59"/>
      <c r="L656" s="60"/>
      <c r="M656" s="60"/>
      <c r="N656" s="61"/>
    </row>
    <row r="657" customFormat="false" ht="12.75" hidden="false" customHeight="false" outlineLevel="0" collapsed="false">
      <c r="A657" s="61"/>
      <c r="B657" s="61"/>
      <c r="C657" s="56"/>
      <c r="D657" s="55"/>
      <c r="E657" s="57"/>
      <c r="F657" s="56"/>
      <c r="G657" s="58"/>
      <c r="H657" s="55"/>
      <c r="I657" s="55"/>
      <c r="J657" s="55"/>
      <c r="K657" s="59"/>
      <c r="L657" s="60"/>
      <c r="M657" s="60"/>
      <c r="N657" s="61"/>
    </row>
    <row r="658" customFormat="false" ht="12.75" hidden="false" customHeight="false" outlineLevel="0" collapsed="false">
      <c r="A658" s="61"/>
      <c r="B658" s="61"/>
      <c r="C658" s="56"/>
      <c r="D658" s="55"/>
      <c r="E658" s="57"/>
      <c r="F658" s="56"/>
      <c r="G658" s="58"/>
      <c r="H658" s="55"/>
      <c r="I658" s="55"/>
      <c r="J658" s="55"/>
      <c r="K658" s="59"/>
      <c r="L658" s="60"/>
      <c r="M658" s="60"/>
      <c r="N658" s="61"/>
    </row>
    <row r="659" customFormat="false" ht="12.75" hidden="false" customHeight="false" outlineLevel="0" collapsed="false">
      <c r="A659" s="61"/>
      <c r="B659" s="61"/>
      <c r="C659" s="56"/>
      <c r="D659" s="55"/>
      <c r="E659" s="57"/>
      <c r="F659" s="56"/>
      <c r="G659" s="58"/>
      <c r="H659" s="55"/>
      <c r="I659" s="55"/>
      <c r="J659" s="55"/>
      <c r="K659" s="59"/>
      <c r="L659" s="60"/>
      <c r="M659" s="60"/>
      <c r="N659" s="61"/>
    </row>
    <row r="660" customFormat="false" ht="12.75" hidden="false" customHeight="false" outlineLevel="0" collapsed="false">
      <c r="A660" s="61"/>
      <c r="B660" s="61"/>
      <c r="C660" s="56"/>
      <c r="D660" s="55"/>
      <c r="E660" s="57"/>
      <c r="F660" s="56"/>
      <c r="G660" s="58"/>
      <c r="H660" s="55"/>
      <c r="I660" s="55"/>
      <c r="J660" s="55"/>
      <c r="K660" s="59"/>
      <c r="L660" s="60"/>
      <c r="M660" s="60"/>
      <c r="N660" s="61"/>
    </row>
    <row r="661" customFormat="false" ht="12.75" hidden="false" customHeight="false" outlineLevel="0" collapsed="false">
      <c r="A661" s="61"/>
      <c r="B661" s="61"/>
      <c r="C661" s="56"/>
      <c r="D661" s="55"/>
      <c r="E661" s="57"/>
      <c r="F661" s="56"/>
      <c r="G661" s="58"/>
      <c r="H661" s="55"/>
      <c r="I661" s="55"/>
      <c r="J661" s="55"/>
      <c r="K661" s="59"/>
      <c r="L661" s="60"/>
      <c r="M661" s="60"/>
      <c r="N661" s="61"/>
    </row>
    <row r="662" customFormat="false" ht="12.75" hidden="false" customHeight="false" outlineLevel="0" collapsed="false">
      <c r="A662" s="61"/>
      <c r="B662" s="61"/>
      <c r="C662" s="56"/>
      <c r="D662" s="55"/>
      <c r="E662" s="57"/>
      <c r="F662" s="56"/>
      <c r="G662" s="58"/>
      <c r="H662" s="55"/>
      <c r="I662" s="55"/>
      <c r="J662" s="55"/>
      <c r="K662" s="59"/>
      <c r="L662" s="60"/>
      <c r="M662" s="60"/>
      <c r="N662" s="61"/>
    </row>
    <row r="663" customFormat="false" ht="12.75" hidden="false" customHeight="false" outlineLevel="0" collapsed="false">
      <c r="A663" s="61"/>
      <c r="B663" s="61"/>
      <c r="C663" s="56"/>
      <c r="D663" s="55"/>
      <c r="E663" s="57"/>
      <c r="F663" s="56"/>
      <c r="G663" s="58"/>
      <c r="H663" s="55"/>
      <c r="I663" s="55"/>
      <c r="J663" s="55"/>
      <c r="K663" s="59"/>
      <c r="L663" s="60"/>
      <c r="M663" s="60"/>
      <c r="N663" s="61"/>
    </row>
    <row r="664" customFormat="false" ht="12.75" hidden="false" customHeight="false" outlineLevel="0" collapsed="false">
      <c r="A664" s="61"/>
      <c r="B664" s="61"/>
      <c r="C664" s="56"/>
      <c r="D664" s="55"/>
      <c r="E664" s="57"/>
      <c r="F664" s="56"/>
      <c r="G664" s="58"/>
      <c r="H664" s="55"/>
      <c r="I664" s="55"/>
      <c r="J664" s="55"/>
      <c r="K664" s="59"/>
      <c r="L664" s="60"/>
      <c r="M664" s="60"/>
      <c r="N664" s="61"/>
    </row>
    <row r="665" customFormat="false" ht="12.75" hidden="false" customHeight="false" outlineLevel="0" collapsed="false">
      <c r="A665" s="61"/>
      <c r="B665" s="61"/>
      <c r="C665" s="56"/>
      <c r="D665" s="55"/>
      <c r="E665" s="57"/>
      <c r="F665" s="56"/>
      <c r="G665" s="58"/>
      <c r="H665" s="55"/>
      <c r="I665" s="55"/>
      <c r="J665" s="55"/>
      <c r="K665" s="59"/>
      <c r="L665" s="60"/>
      <c r="M665" s="60"/>
      <c r="N665" s="61"/>
    </row>
    <row r="666" customFormat="false" ht="12.75" hidden="false" customHeight="false" outlineLevel="0" collapsed="false">
      <c r="A666" s="61"/>
      <c r="B666" s="61"/>
      <c r="C666" s="56"/>
      <c r="D666" s="55"/>
      <c r="E666" s="57"/>
      <c r="F666" s="56"/>
      <c r="G666" s="58"/>
      <c r="H666" s="55"/>
      <c r="I666" s="55"/>
      <c r="J666" s="55"/>
      <c r="K666" s="59"/>
      <c r="L666" s="60"/>
      <c r="M666" s="60"/>
      <c r="N666" s="61"/>
    </row>
    <row r="667" customFormat="false" ht="12.75" hidden="false" customHeight="false" outlineLevel="0" collapsed="false">
      <c r="A667" s="61"/>
      <c r="B667" s="61"/>
      <c r="C667" s="56"/>
      <c r="D667" s="55"/>
      <c r="E667" s="57"/>
      <c r="F667" s="56"/>
      <c r="G667" s="58"/>
      <c r="H667" s="55"/>
      <c r="I667" s="55"/>
      <c r="J667" s="55"/>
      <c r="K667" s="59"/>
      <c r="L667" s="60"/>
      <c r="M667" s="60"/>
      <c r="N667" s="61"/>
    </row>
    <row r="668" customFormat="false" ht="12.75" hidden="false" customHeight="false" outlineLevel="0" collapsed="false">
      <c r="A668" s="61"/>
      <c r="B668" s="61"/>
      <c r="C668" s="56"/>
      <c r="D668" s="55"/>
      <c r="E668" s="57"/>
      <c r="F668" s="56"/>
      <c r="G668" s="58"/>
      <c r="H668" s="55"/>
      <c r="I668" s="55"/>
      <c r="J668" s="55"/>
      <c r="K668" s="59"/>
      <c r="L668" s="60"/>
      <c r="M668" s="60"/>
      <c r="N668" s="61"/>
    </row>
    <row r="669" customFormat="false" ht="12.75" hidden="false" customHeight="false" outlineLevel="0" collapsed="false">
      <c r="A669" s="61"/>
      <c r="B669" s="61"/>
      <c r="C669" s="56"/>
      <c r="D669" s="55"/>
      <c r="E669" s="57"/>
      <c r="F669" s="56"/>
      <c r="G669" s="58"/>
      <c r="H669" s="55"/>
      <c r="I669" s="55"/>
      <c r="J669" s="55"/>
      <c r="K669" s="59"/>
      <c r="L669" s="60"/>
      <c r="M669" s="60"/>
      <c r="N669" s="61"/>
    </row>
    <row r="670" customFormat="false" ht="12.75" hidden="false" customHeight="false" outlineLevel="0" collapsed="false">
      <c r="A670" s="61"/>
      <c r="B670" s="61"/>
      <c r="C670" s="56"/>
      <c r="D670" s="55"/>
      <c r="E670" s="57"/>
      <c r="F670" s="56"/>
      <c r="G670" s="58"/>
      <c r="H670" s="55"/>
      <c r="I670" s="55"/>
      <c r="J670" s="55"/>
      <c r="K670" s="59"/>
      <c r="L670" s="60"/>
      <c r="M670" s="60"/>
      <c r="N670" s="61"/>
    </row>
    <row r="671" customFormat="false" ht="12.75" hidden="false" customHeight="false" outlineLevel="0" collapsed="false">
      <c r="A671" s="61"/>
      <c r="B671" s="61"/>
      <c r="C671" s="56"/>
      <c r="D671" s="55"/>
      <c r="E671" s="57"/>
      <c r="F671" s="56"/>
      <c r="G671" s="58"/>
      <c r="H671" s="55"/>
      <c r="I671" s="55"/>
      <c r="J671" s="55"/>
      <c r="K671" s="59"/>
      <c r="L671" s="60"/>
      <c r="M671" s="60"/>
      <c r="N671" s="61"/>
    </row>
    <row r="672" customFormat="false" ht="12.75" hidden="false" customHeight="false" outlineLevel="0" collapsed="false">
      <c r="A672" s="61"/>
      <c r="B672" s="61"/>
      <c r="C672" s="56"/>
      <c r="D672" s="55"/>
      <c r="E672" s="57"/>
      <c r="F672" s="56"/>
      <c r="G672" s="58"/>
      <c r="H672" s="55"/>
      <c r="I672" s="55"/>
      <c r="J672" s="55"/>
      <c r="K672" s="59"/>
      <c r="L672" s="60"/>
      <c r="M672" s="60"/>
      <c r="N672" s="61"/>
    </row>
    <row r="673" customFormat="false" ht="12.75" hidden="false" customHeight="false" outlineLevel="0" collapsed="false">
      <c r="A673" s="61"/>
      <c r="B673" s="61"/>
      <c r="C673" s="56"/>
      <c r="D673" s="55"/>
      <c r="E673" s="57"/>
      <c r="F673" s="56"/>
      <c r="G673" s="58"/>
      <c r="H673" s="55"/>
      <c r="I673" s="55"/>
      <c r="J673" s="55"/>
      <c r="K673" s="59"/>
      <c r="L673" s="60"/>
      <c r="M673" s="60"/>
      <c r="N673" s="61"/>
    </row>
    <row r="674" customFormat="false" ht="12.75" hidden="false" customHeight="false" outlineLevel="0" collapsed="false">
      <c r="A674" s="61"/>
      <c r="B674" s="61"/>
      <c r="C674" s="56"/>
      <c r="D674" s="55"/>
      <c r="E674" s="57"/>
      <c r="F674" s="56"/>
      <c r="G674" s="58"/>
      <c r="H674" s="55"/>
      <c r="I674" s="55"/>
      <c r="J674" s="55"/>
      <c r="K674" s="59"/>
      <c r="L674" s="60"/>
      <c r="M674" s="60"/>
      <c r="N674" s="61"/>
    </row>
    <row r="675" customFormat="false" ht="12.75" hidden="false" customHeight="false" outlineLevel="0" collapsed="false">
      <c r="A675" s="61"/>
      <c r="B675" s="61"/>
      <c r="C675" s="56"/>
      <c r="D675" s="55"/>
      <c r="E675" s="57"/>
      <c r="F675" s="56"/>
      <c r="G675" s="58"/>
      <c r="H675" s="55"/>
      <c r="I675" s="55"/>
      <c r="J675" s="55"/>
      <c r="K675" s="59"/>
      <c r="L675" s="60"/>
      <c r="M675" s="60"/>
      <c r="N675" s="61"/>
    </row>
    <row r="676" customFormat="false" ht="12.75" hidden="false" customHeight="false" outlineLevel="0" collapsed="false">
      <c r="A676" s="61"/>
      <c r="B676" s="61"/>
      <c r="C676" s="56"/>
      <c r="D676" s="55"/>
      <c r="E676" s="57"/>
      <c r="F676" s="56"/>
      <c r="G676" s="58"/>
      <c r="H676" s="55"/>
      <c r="I676" s="55"/>
      <c r="J676" s="55"/>
      <c r="K676" s="59"/>
      <c r="L676" s="60"/>
      <c r="M676" s="60"/>
      <c r="N676" s="61"/>
    </row>
    <row r="677" customFormat="false" ht="12.75" hidden="false" customHeight="false" outlineLevel="0" collapsed="false">
      <c r="A677" s="61"/>
      <c r="B677" s="61"/>
      <c r="C677" s="56"/>
      <c r="D677" s="55"/>
      <c r="E677" s="57"/>
      <c r="F677" s="56"/>
      <c r="G677" s="58"/>
      <c r="H677" s="55"/>
      <c r="I677" s="55"/>
      <c r="J677" s="55"/>
      <c r="K677" s="59"/>
      <c r="L677" s="60"/>
      <c r="M677" s="60"/>
      <c r="N677" s="61"/>
    </row>
    <row r="678" customFormat="false" ht="12.75" hidden="false" customHeight="false" outlineLevel="0" collapsed="false">
      <c r="A678" s="61"/>
      <c r="B678" s="61"/>
      <c r="C678" s="56"/>
      <c r="D678" s="55"/>
      <c r="E678" s="57"/>
      <c r="F678" s="56"/>
      <c r="G678" s="58"/>
      <c r="H678" s="55"/>
      <c r="I678" s="55"/>
      <c r="J678" s="55"/>
      <c r="K678" s="59"/>
      <c r="L678" s="60"/>
      <c r="M678" s="60"/>
      <c r="N678" s="61"/>
    </row>
    <row r="679" customFormat="false" ht="12.75" hidden="false" customHeight="false" outlineLevel="0" collapsed="false">
      <c r="A679" s="61"/>
      <c r="B679" s="61"/>
      <c r="C679" s="56"/>
      <c r="D679" s="55"/>
      <c r="E679" s="57"/>
      <c r="F679" s="56"/>
      <c r="G679" s="58"/>
      <c r="H679" s="55"/>
      <c r="I679" s="55"/>
      <c r="J679" s="55"/>
      <c r="K679" s="59"/>
      <c r="L679" s="60"/>
      <c r="M679" s="60"/>
      <c r="N679" s="61"/>
    </row>
    <row r="680" customFormat="false" ht="12.75" hidden="false" customHeight="false" outlineLevel="0" collapsed="false">
      <c r="A680" s="61"/>
      <c r="B680" s="61"/>
      <c r="C680" s="56"/>
      <c r="D680" s="55"/>
      <c r="E680" s="57"/>
      <c r="F680" s="56"/>
      <c r="G680" s="58"/>
      <c r="H680" s="55"/>
      <c r="I680" s="55"/>
      <c r="J680" s="55"/>
      <c r="K680" s="59"/>
      <c r="L680" s="60"/>
      <c r="M680" s="60"/>
      <c r="N680" s="61"/>
    </row>
    <row r="681" customFormat="false" ht="12.75" hidden="false" customHeight="false" outlineLevel="0" collapsed="false">
      <c r="A681" s="61"/>
      <c r="B681" s="61"/>
      <c r="C681" s="56"/>
      <c r="D681" s="55"/>
      <c r="E681" s="57"/>
      <c r="F681" s="56"/>
      <c r="G681" s="58"/>
      <c r="H681" s="55"/>
      <c r="I681" s="55"/>
      <c r="J681" s="55"/>
      <c r="K681" s="59"/>
      <c r="L681" s="60"/>
      <c r="M681" s="60"/>
      <c r="N681" s="61"/>
    </row>
    <row r="682" customFormat="false" ht="12.75" hidden="false" customHeight="false" outlineLevel="0" collapsed="false">
      <c r="A682" s="61"/>
      <c r="B682" s="61"/>
      <c r="C682" s="56"/>
      <c r="D682" s="55"/>
      <c r="E682" s="57"/>
      <c r="F682" s="56"/>
      <c r="G682" s="58"/>
      <c r="H682" s="55"/>
      <c r="I682" s="55"/>
      <c r="J682" s="55"/>
      <c r="K682" s="59"/>
      <c r="L682" s="60"/>
      <c r="M682" s="60"/>
      <c r="N682" s="61"/>
    </row>
    <row r="683" customFormat="false" ht="12.75" hidden="false" customHeight="false" outlineLevel="0" collapsed="false">
      <c r="A683" s="61"/>
      <c r="B683" s="61"/>
      <c r="C683" s="56"/>
      <c r="D683" s="55"/>
      <c r="E683" s="57"/>
      <c r="F683" s="56"/>
      <c r="G683" s="58"/>
      <c r="H683" s="55"/>
      <c r="I683" s="55"/>
      <c r="J683" s="55"/>
      <c r="K683" s="59"/>
      <c r="L683" s="60"/>
      <c r="M683" s="60"/>
      <c r="N683" s="61"/>
    </row>
    <row r="684" customFormat="false" ht="12.75" hidden="false" customHeight="false" outlineLevel="0" collapsed="false">
      <c r="A684" s="61"/>
      <c r="B684" s="61"/>
      <c r="C684" s="56"/>
      <c r="D684" s="55"/>
      <c r="E684" s="57"/>
      <c r="F684" s="56"/>
      <c r="G684" s="58"/>
      <c r="H684" s="55"/>
      <c r="I684" s="55"/>
      <c r="J684" s="55"/>
      <c r="K684" s="59"/>
      <c r="L684" s="60"/>
      <c r="M684" s="60"/>
      <c r="N684" s="61"/>
    </row>
    <row r="685" customFormat="false" ht="12.75" hidden="false" customHeight="false" outlineLevel="0" collapsed="false">
      <c r="A685" s="61"/>
      <c r="B685" s="61"/>
      <c r="C685" s="56"/>
      <c r="D685" s="55"/>
      <c r="E685" s="57"/>
      <c r="F685" s="56"/>
      <c r="G685" s="58"/>
      <c r="H685" s="55"/>
      <c r="I685" s="55"/>
      <c r="J685" s="55"/>
      <c r="K685" s="59"/>
      <c r="L685" s="60"/>
      <c r="M685" s="60"/>
      <c r="N685" s="61"/>
    </row>
    <row r="686" customFormat="false" ht="12.75" hidden="false" customHeight="false" outlineLevel="0" collapsed="false">
      <c r="A686" s="61"/>
      <c r="B686" s="61"/>
      <c r="C686" s="56"/>
      <c r="D686" s="55"/>
      <c r="E686" s="57"/>
      <c r="F686" s="56"/>
      <c r="G686" s="58"/>
      <c r="H686" s="55"/>
      <c r="I686" s="55"/>
      <c r="J686" s="55"/>
      <c r="K686" s="59"/>
      <c r="L686" s="60"/>
      <c r="M686" s="60"/>
      <c r="N686" s="61"/>
    </row>
    <row r="687" customFormat="false" ht="12.75" hidden="false" customHeight="false" outlineLevel="0" collapsed="false">
      <c r="A687" s="61"/>
      <c r="B687" s="61"/>
      <c r="C687" s="56"/>
      <c r="D687" s="55"/>
      <c r="E687" s="57"/>
      <c r="F687" s="56"/>
      <c r="G687" s="58"/>
      <c r="H687" s="55"/>
      <c r="I687" s="55"/>
      <c r="J687" s="55"/>
      <c r="K687" s="59"/>
      <c r="L687" s="60"/>
      <c r="M687" s="60"/>
      <c r="N687" s="61"/>
    </row>
    <row r="688" customFormat="false" ht="12.75" hidden="false" customHeight="false" outlineLevel="0" collapsed="false">
      <c r="A688" s="61"/>
      <c r="B688" s="61"/>
      <c r="C688" s="56"/>
      <c r="D688" s="55"/>
      <c r="E688" s="57"/>
      <c r="F688" s="56"/>
      <c r="G688" s="58"/>
      <c r="H688" s="55"/>
      <c r="I688" s="55"/>
      <c r="J688" s="55"/>
      <c r="K688" s="59"/>
      <c r="L688" s="60"/>
      <c r="M688" s="60"/>
      <c r="N688" s="61"/>
    </row>
    <row r="689" customFormat="false" ht="12.75" hidden="false" customHeight="false" outlineLevel="0" collapsed="false">
      <c r="A689" s="61"/>
      <c r="B689" s="61"/>
      <c r="C689" s="56"/>
      <c r="D689" s="55"/>
      <c r="E689" s="57"/>
      <c r="F689" s="56"/>
      <c r="G689" s="58"/>
      <c r="H689" s="55"/>
      <c r="I689" s="55"/>
      <c r="J689" s="55"/>
      <c r="K689" s="59"/>
      <c r="L689" s="60"/>
      <c r="M689" s="60"/>
      <c r="N689" s="61"/>
    </row>
    <row r="690" customFormat="false" ht="12.75" hidden="false" customHeight="false" outlineLevel="0" collapsed="false">
      <c r="A690" s="61"/>
      <c r="B690" s="61"/>
      <c r="C690" s="56"/>
      <c r="D690" s="55"/>
      <c r="E690" s="57"/>
      <c r="F690" s="56"/>
      <c r="G690" s="58"/>
      <c r="H690" s="55"/>
      <c r="I690" s="55"/>
      <c r="J690" s="55"/>
      <c r="K690" s="59"/>
      <c r="L690" s="60"/>
      <c r="M690" s="60"/>
      <c r="N690" s="61"/>
    </row>
    <row r="691" customFormat="false" ht="12.75" hidden="false" customHeight="false" outlineLevel="0" collapsed="false">
      <c r="A691" s="61"/>
      <c r="B691" s="61"/>
      <c r="C691" s="56"/>
      <c r="D691" s="55"/>
      <c r="E691" s="57"/>
      <c r="F691" s="56"/>
      <c r="G691" s="58"/>
      <c r="H691" s="55"/>
      <c r="I691" s="55"/>
      <c r="J691" s="55"/>
      <c r="K691" s="59"/>
      <c r="L691" s="60"/>
      <c r="M691" s="60"/>
      <c r="N691" s="61"/>
    </row>
    <row r="692" customFormat="false" ht="12.75" hidden="false" customHeight="false" outlineLevel="0" collapsed="false">
      <c r="A692" s="61"/>
      <c r="B692" s="61"/>
      <c r="C692" s="56"/>
      <c r="D692" s="55"/>
      <c r="E692" s="57"/>
      <c r="F692" s="56"/>
      <c r="G692" s="58"/>
      <c r="H692" s="55"/>
      <c r="I692" s="55"/>
      <c r="J692" s="55"/>
      <c r="K692" s="59"/>
      <c r="L692" s="60"/>
      <c r="M692" s="60"/>
      <c r="N692" s="61"/>
    </row>
    <row r="693" customFormat="false" ht="12.75" hidden="false" customHeight="false" outlineLevel="0" collapsed="false">
      <c r="A693" s="61"/>
      <c r="B693" s="61"/>
      <c r="C693" s="56"/>
      <c r="D693" s="55"/>
      <c r="E693" s="57"/>
      <c r="F693" s="56"/>
      <c r="G693" s="58"/>
      <c r="H693" s="55"/>
      <c r="I693" s="55"/>
      <c r="J693" s="55"/>
      <c r="K693" s="59"/>
      <c r="L693" s="60"/>
      <c r="M693" s="60"/>
      <c r="N693" s="61"/>
    </row>
    <row r="694" customFormat="false" ht="12.75" hidden="false" customHeight="false" outlineLevel="0" collapsed="false">
      <c r="A694" s="61"/>
      <c r="B694" s="61"/>
      <c r="C694" s="56"/>
      <c r="D694" s="55"/>
      <c r="E694" s="57"/>
      <c r="F694" s="56"/>
      <c r="G694" s="58"/>
      <c r="H694" s="55"/>
      <c r="I694" s="55"/>
      <c r="J694" s="55"/>
      <c r="K694" s="59"/>
      <c r="L694" s="60"/>
      <c r="M694" s="60"/>
      <c r="N694" s="61"/>
    </row>
    <row r="695" customFormat="false" ht="12.75" hidden="false" customHeight="false" outlineLevel="0" collapsed="false">
      <c r="A695" s="61"/>
      <c r="B695" s="61"/>
      <c r="C695" s="56"/>
      <c r="D695" s="55"/>
      <c r="E695" s="57"/>
      <c r="F695" s="56"/>
      <c r="G695" s="58"/>
      <c r="H695" s="55"/>
      <c r="I695" s="55"/>
      <c r="J695" s="55"/>
      <c r="K695" s="59"/>
      <c r="L695" s="60"/>
      <c r="M695" s="60"/>
      <c r="N695" s="61"/>
    </row>
    <row r="696" customFormat="false" ht="12.75" hidden="false" customHeight="false" outlineLevel="0" collapsed="false">
      <c r="A696" s="61"/>
      <c r="B696" s="61"/>
      <c r="C696" s="56"/>
      <c r="D696" s="55"/>
      <c r="E696" s="57"/>
      <c r="F696" s="56"/>
      <c r="G696" s="58"/>
      <c r="H696" s="55"/>
      <c r="I696" s="55"/>
      <c r="J696" s="55"/>
      <c r="K696" s="59"/>
      <c r="L696" s="60"/>
      <c r="M696" s="60"/>
      <c r="N696" s="61"/>
    </row>
    <row r="697" customFormat="false" ht="12.75" hidden="false" customHeight="false" outlineLevel="0" collapsed="false">
      <c r="A697" s="61"/>
      <c r="B697" s="61"/>
      <c r="C697" s="56"/>
      <c r="D697" s="55"/>
      <c r="E697" s="57"/>
      <c r="F697" s="56"/>
      <c r="G697" s="58"/>
      <c r="H697" s="55"/>
      <c r="I697" s="55"/>
      <c r="J697" s="55"/>
      <c r="K697" s="59"/>
      <c r="L697" s="60"/>
      <c r="M697" s="60"/>
      <c r="N697" s="61"/>
    </row>
    <row r="698" customFormat="false" ht="12.75" hidden="false" customHeight="false" outlineLevel="0" collapsed="false">
      <c r="A698" s="61"/>
      <c r="B698" s="61"/>
      <c r="C698" s="56"/>
      <c r="D698" s="55"/>
      <c r="E698" s="57"/>
      <c r="F698" s="56"/>
      <c r="G698" s="58"/>
      <c r="H698" s="55"/>
      <c r="I698" s="55"/>
      <c r="J698" s="55"/>
      <c r="K698" s="59"/>
      <c r="L698" s="60"/>
      <c r="M698" s="60"/>
      <c r="N698" s="61"/>
    </row>
    <row r="699" customFormat="false" ht="12.75" hidden="false" customHeight="false" outlineLevel="0" collapsed="false">
      <c r="A699" s="61"/>
      <c r="B699" s="61"/>
      <c r="C699" s="56"/>
      <c r="D699" s="55"/>
      <c r="E699" s="57"/>
      <c r="F699" s="56"/>
      <c r="G699" s="58"/>
      <c r="H699" s="55"/>
      <c r="I699" s="55"/>
      <c r="J699" s="55"/>
      <c r="K699" s="59"/>
      <c r="L699" s="60"/>
      <c r="M699" s="60"/>
      <c r="N699" s="61"/>
    </row>
    <row r="700" customFormat="false" ht="12.75" hidden="false" customHeight="false" outlineLevel="0" collapsed="false">
      <c r="A700" s="61"/>
      <c r="B700" s="61"/>
      <c r="C700" s="56"/>
      <c r="D700" s="55"/>
      <c r="E700" s="57"/>
      <c r="F700" s="56"/>
      <c r="G700" s="58"/>
      <c r="H700" s="55"/>
      <c r="I700" s="55"/>
      <c r="J700" s="55"/>
      <c r="K700" s="59"/>
      <c r="L700" s="60"/>
      <c r="M700" s="60"/>
      <c r="N700" s="61"/>
    </row>
    <row r="701" customFormat="false" ht="12.75" hidden="false" customHeight="false" outlineLevel="0" collapsed="false">
      <c r="A701" s="61"/>
      <c r="B701" s="61"/>
      <c r="C701" s="56"/>
      <c r="D701" s="55"/>
      <c r="E701" s="57"/>
      <c r="F701" s="56"/>
      <c r="G701" s="58"/>
      <c r="H701" s="55"/>
      <c r="I701" s="55"/>
      <c r="J701" s="55"/>
      <c r="K701" s="59"/>
      <c r="L701" s="60"/>
      <c r="M701" s="60"/>
      <c r="N701" s="61"/>
    </row>
    <row r="702" customFormat="false" ht="12.75" hidden="false" customHeight="false" outlineLevel="0" collapsed="false">
      <c r="A702" s="61"/>
      <c r="B702" s="61"/>
      <c r="C702" s="56"/>
      <c r="D702" s="55"/>
      <c r="E702" s="57"/>
      <c r="F702" s="56"/>
      <c r="G702" s="58"/>
      <c r="H702" s="55"/>
      <c r="I702" s="55"/>
      <c r="J702" s="55"/>
      <c r="K702" s="59"/>
      <c r="L702" s="60"/>
      <c r="M702" s="60"/>
      <c r="N702" s="61"/>
    </row>
    <row r="703" customFormat="false" ht="12.75" hidden="false" customHeight="false" outlineLevel="0" collapsed="false">
      <c r="A703" s="61"/>
      <c r="B703" s="61"/>
      <c r="C703" s="56"/>
      <c r="D703" s="55"/>
      <c r="E703" s="57"/>
      <c r="F703" s="56"/>
      <c r="G703" s="58"/>
      <c r="H703" s="55"/>
      <c r="I703" s="55"/>
      <c r="J703" s="55"/>
      <c r="K703" s="59"/>
      <c r="L703" s="60"/>
      <c r="M703" s="60"/>
      <c r="N703" s="61"/>
    </row>
    <row r="704" customFormat="false" ht="12.75" hidden="false" customHeight="false" outlineLevel="0" collapsed="false">
      <c r="A704" s="61"/>
      <c r="B704" s="61"/>
      <c r="C704" s="56"/>
      <c r="D704" s="55"/>
      <c r="E704" s="57"/>
      <c r="F704" s="56"/>
      <c r="G704" s="58"/>
      <c r="H704" s="55"/>
      <c r="I704" s="55"/>
      <c r="J704" s="55"/>
      <c r="K704" s="59"/>
      <c r="L704" s="60"/>
      <c r="M704" s="60"/>
      <c r="N704" s="61"/>
    </row>
    <row r="705" customFormat="false" ht="12.75" hidden="false" customHeight="false" outlineLevel="0" collapsed="false">
      <c r="A705" s="61"/>
      <c r="B705" s="61"/>
      <c r="C705" s="56"/>
      <c r="D705" s="55"/>
      <c r="E705" s="57"/>
      <c r="F705" s="56"/>
      <c r="G705" s="58"/>
      <c r="H705" s="55"/>
      <c r="I705" s="55"/>
      <c r="J705" s="55"/>
      <c r="K705" s="59"/>
      <c r="L705" s="60"/>
      <c r="M705" s="60"/>
      <c r="N705" s="61"/>
    </row>
    <row r="706" customFormat="false" ht="12.75" hidden="false" customHeight="false" outlineLevel="0" collapsed="false">
      <c r="A706" s="61"/>
      <c r="B706" s="61"/>
      <c r="C706" s="56"/>
      <c r="D706" s="55"/>
      <c r="E706" s="57"/>
      <c r="F706" s="56"/>
      <c r="G706" s="58"/>
      <c r="H706" s="55"/>
      <c r="I706" s="55"/>
      <c r="J706" s="55"/>
      <c r="K706" s="59"/>
      <c r="L706" s="60"/>
      <c r="M706" s="60"/>
      <c r="N706" s="61"/>
    </row>
    <row r="707" customFormat="false" ht="12.75" hidden="false" customHeight="false" outlineLevel="0" collapsed="false">
      <c r="A707" s="61"/>
      <c r="B707" s="61"/>
      <c r="C707" s="56"/>
      <c r="D707" s="55"/>
      <c r="E707" s="57"/>
      <c r="F707" s="56"/>
      <c r="G707" s="58"/>
      <c r="H707" s="55"/>
      <c r="I707" s="55"/>
      <c r="J707" s="55"/>
      <c r="K707" s="59"/>
      <c r="L707" s="60"/>
      <c r="M707" s="60"/>
      <c r="N707" s="61"/>
    </row>
    <row r="708" customFormat="false" ht="12.75" hidden="false" customHeight="false" outlineLevel="0" collapsed="false">
      <c r="A708" s="61"/>
      <c r="B708" s="61"/>
      <c r="C708" s="56"/>
      <c r="D708" s="55"/>
      <c r="E708" s="57"/>
      <c r="F708" s="56"/>
      <c r="G708" s="58"/>
      <c r="H708" s="55"/>
      <c r="I708" s="55"/>
      <c r="J708" s="55"/>
      <c r="K708" s="59"/>
      <c r="L708" s="60"/>
      <c r="M708" s="60"/>
      <c r="N708" s="61"/>
    </row>
    <row r="709" customFormat="false" ht="12.75" hidden="false" customHeight="false" outlineLevel="0" collapsed="false">
      <c r="A709" s="61"/>
      <c r="B709" s="61"/>
      <c r="C709" s="56"/>
      <c r="D709" s="55"/>
      <c r="E709" s="57"/>
      <c r="F709" s="56"/>
      <c r="G709" s="58"/>
      <c r="H709" s="55"/>
      <c r="I709" s="55"/>
      <c r="J709" s="55"/>
      <c r="K709" s="59"/>
      <c r="L709" s="60"/>
      <c r="M709" s="60"/>
      <c r="N709" s="61"/>
    </row>
    <row r="710" customFormat="false" ht="12.75" hidden="false" customHeight="false" outlineLevel="0" collapsed="false">
      <c r="A710" s="61"/>
      <c r="B710" s="61"/>
      <c r="C710" s="56"/>
      <c r="D710" s="55"/>
      <c r="E710" s="57"/>
      <c r="F710" s="56"/>
      <c r="G710" s="58"/>
      <c r="H710" s="55"/>
      <c r="I710" s="55"/>
      <c r="J710" s="55"/>
      <c r="K710" s="59"/>
      <c r="L710" s="60"/>
      <c r="M710" s="60"/>
      <c r="N710" s="61"/>
    </row>
    <row r="711" customFormat="false" ht="12.75" hidden="false" customHeight="false" outlineLevel="0" collapsed="false">
      <c r="A711" s="61"/>
      <c r="B711" s="61"/>
      <c r="C711" s="56"/>
      <c r="D711" s="55"/>
      <c r="E711" s="57"/>
      <c r="F711" s="56"/>
      <c r="G711" s="58"/>
      <c r="H711" s="55"/>
      <c r="I711" s="55"/>
      <c r="J711" s="55"/>
      <c r="K711" s="59"/>
      <c r="L711" s="60"/>
      <c r="M711" s="60"/>
      <c r="N711" s="61"/>
    </row>
    <row r="712" customFormat="false" ht="12.75" hidden="false" customHeight="false" outlineLevel="0" collapsed="false">
      <c r="A712" s="61"/>
      <c r="B712" s="61"/>
      <c r="C712" s="56"/>
      <c r="D712" s="55"/>
      <c r="E712" s="57"/>
      <c r="F712" s="56"/>
      <c r="G712" s="58"/>
      <c r="H712" s="55"/>
      <c r="I712" s="55"/>
      <c r="J712" s="55"/>
      <c r="K712" s="59"/>
      <c r="L712" s="60"/>
      <c r="M712" s="60"/>
      <c r="N712" s="61"/>
    </row>
    <row r="713" customFormat="false" ht="12.75" hidden="false" customHeight="false" outlineLevel="0" collapsed="false">
      <c r="A713" s="61"/>
      <c r="B713" s="61"/>
      <c r="C713" s="56"/>
      <c r="D713" s="55"/>
      <c r="E713" s="57"/>
      <c r="F713" s="56"/>
      <c r="G713" s="58"/>
      <c r="H713" s="55"/>
      <c r="I713" s="55"/>
      <c r="J713" s="55"/>
      <c r="K713" s="59"/>
      <c r="L713" s="60"/>
      <c r="M713" s="60"/>
      <c r="N713" s="61"/>
    </row>
    <row r="714" customFormat="false" ht="12.75" hidden="false" customHeight="false" outlineLevel="0" collapsed="false">
      <c r="A714" s="61"/>
      <c r="B714" s="61"/>
      <c r="C714" s="56"/>
      <c r="D714" s="55"/>
      <c r="E714" s="57"/>
      <c r="F714" s="56"/>
      <c r="G714" s="58"/>
      <c r="H714" s="55"/>
      <c r="I714" s="55"/>
      <c r="J714" s="55"/>
      <c r="K714" s="59"/>
      <c r="L714" s="60"/>
      <c r="M714" s="60"/>
      <c r="N714" s="61"/>
    </row>
    <row r="715" customFormat="false" ht="12.75" hidden="false" customHeight="false" outlineLevel="0" collapsed="false">
      <c r="A715" s="61"/>
      <c r="B715" s="61"/>
      <c r="C715" s="56"/>
      <c r="D715" s="55"/>
      <c r="E715" s="57"/>
      <c r="F715" s="56"/>
      <c r="G715" s="58"/>
      <c r="H715" s="55"/>
      <c r="I715" s="55"/>
      <c r="J715" s="55"/>
      <c r="K715" s="59"/>
      <c r="L715" s="60"/>
      <c r="M715" s="60"/>
      <c r="N715" s="61"/>
    </row>
    <row r="716" customFormat="false" ht="12.75" hidden="false" customHeight="false" outlineLevel="0" collapsed="false">
      <c r="A716" s="61"/>
      <c r="B716" s="61"/>
      <c r="C716" s="56"/>
      <c r="D716" s="55"/>
      <c r="E716" s="57"/>
      <c r="F716" s="56"/>
      <c r="G716" s="58"/>
      <c r="H716" s="55"/>
      <c r="I716" s="55"/>
      <c r="J716" s="55"/>
      <c r="K716" s="59"/>
      <c r="L716" s="60"/>
      <c r="M716" s="60"/>
      <c r="N716" s="61"/>
    </row>
    <row r="717" customFormat="false" ht="12.75" hidden="false" customHeight="false" outlineLevel="0" collapsed="false">
      <c r="A717" s="61"/>
      <c r="B717" s="61"/>
      <c r="C717" s="56"/>
      <c r="D717" s="55"/>
      <c r="E717" s="57"/>
      <c r="F717" s="56"/>
      <c r="G717" s="58"/>
      <c r="H717" s="55"/>
      <c r="I717" s="55"/>
      <c r="J717" s="55"/>
      <c r="K717" s="59"/>
      <c r="L717" s="60"/>
      <c r="M717" s="60"/>
      <c r="N717" s="61"/>
    </row>
    <row r="718" customFormat="false" ht="12.75" hidden="false" customHeight="false" outlineLevel="0" collapsed="false">
      <c r="A718" s="61"/>
      <c r="B718" s="61"/>
      <c r="C718" s="56"/>
      <c r="D718" s="55"/>
      <c r="E718" s="57"/>
      <c r="F718" s="56"/>
      <c r="G718" s="58"/>
      <c r="H718" s="55"/>
      <c r="I718" s="55"/>
      <c r="J718" s="55"/>
      <c r="K718" s="59"/>
      <c r="L718" s="60"/>
      <c r="M718" s="60"/>
      <c r="N718" s="61"/>
    </row>
    <row r="719" customFormat="false" ht="12.75" hidden="false" customHeight="false" outlineLevel="0" collapsed="false">
      <c r="A719" s="61"/>
      <c r="B719" s="61"/>
      <c r="C719" s="56"/>
      <c r="D719" s="55"/>
      <c r="E719" s="57"/>
      <c r="F719" s="56"/>
      <c r="G719" s="58"/>
      <c r="H719" s="55"/>
      <c r="I719" s="55"/>
      <c r="J719" s="55"/>
      <c r="K719" s="59"/>
      <c r="L719" s="60"/>
      <c r="M719" s="60"/>
      <c r="N719" s="61"/>
    </row>
    <row r="720" customFormat="false" ht="12.75" hidden="false" customHeight="false" outlineLevel="0" collapsed="false">
      <c r="A720" s="61"/>
      <c r="B720" s="61"/>
      <c r="C720" s="56"/>
      <c r="D720" s="55"/>
      <c r="E720" s="57"/>
      <c r="F720" s="56"/>
      <c r="G720" s="58"/>
      <c r="H720" s="55"/>
      <c r="I720" s="55"/>
      <c r="J720" s="55"/>
      <c r="K720" s="59"/>
      <c r="L720" s="60"/>
      <c r="M720" s="60"/>
      <c r="N720" s="61"/>
    </row>
    <row r="721" customFormat="false" ht="12.75" hidden="false" customHeight="false" outlineLevel="0" collapsed="false">
      <c r="A721" s="61"/>
      <c r="B721" s="61"/>
      <c r="C721" s="56"/>
      <c r="D721" s="55"/>
      <c r="E721" s="57"/>
      <c r="F721" s="56"/>
      <c r="G721" s="58"/>
      <c r="H721" s="55"/>
      <c r="I721" s="55"/>
      <c r="J721" s="55"/>
      <c r="K721" s="59"/>
      <c r="L721" s="60"/>
      <c r="M721" s="60"/>
      <c r="N721" s="61"/>
    </row>
    <row r="722" customFormat="false" ht="12.75" hidden="false" customHeight="false" outlineLevel="0" collapsed="false">
      <c r="A722" s="61"/>
      <c r="B722" s="61"/>
      <c r="C722" s="56"/>
      <c r="D722" s="55"/>
      <c r="E722" s="57"/>
      <c r="F722" s="56"/>
      <c r="G722" s="58"/>
      <c r="H722" s="55"/>
      <c r="I722" s="55"/>
      <c r="J722" s="55"/>
      <c r="K722" s="59"/>
      <c r="L722" s="60"/>
      <c r="M722" s="60"/>
      <c r="N722" s="61"/>
    </row>
    <row r="723" customFormat="false" ht="12.75" hidden="false" customHeight="false" outlineLevel="0" collapsed="false">
      <c r="A723" s="61"/>
      <c r="B723" s="61"/>
      <c r="C723" s="56"/>
      <c r="D723" s="55"/>
      <c r="E723" s="57"/>
      <c r="F723" s="56"/>
      <c r="G723" s="58"/>
      <c r="H723" s="55"/>
      <c r="I723" s="55"/>
      <c r="J723" s="55"/>
      <c r="K723" s="59"/>
      <c r="L723" s="60"/>
      <c r="M723" s="60"/>
      <c r="N723" s="61"/>
    </row>
    <row r="724" customFormat="false" ht="12.75" hidden="false" customHeight="false" outlineLevel="0" collapsed="false">
      <c r="A724" s="61"/>
      <c r="B724" s="61"/>
      <c r="C724" s="56"/>
      <c r="D724" s="55"/>
      <c r="E724" s="57"/>
      <c r="F724" s="56"/>
      <c r="G724" s="58"/>
      <c r="H724" s="55"/>
      <c r="I724" s="55"/>
      <c r="J724" s="55"/>
      <c r="K724" s="59"/>
      <c r="L724" s="60"/>
      <c r="M724" s="60"/>
      <c r="N724" s="61"/>
    </row>
    <row r="725" customFormat="false" ht="12.75" hidden="false" customHeight="false" outlineLevel="0" collapsed="false">
      <c r="A725" s="61"/>
      <c r="B725" s="61"/>
      <c r="C725" s="56"/>
      <c r="D725" s="55"/>
      <c r="E725" s="57"/>
      <c r="F725" s="56"/>
      <c r="G725" s="58"/>
      <c r="H725" s="55"/>
      <c r="I725" s="55"/>
      <c r="J725" s="55"/>
      <c r="K725" s="59"/>
      <c r="L725" s="60"/>
      <c r="M725" s="60"/>
      <c r="N725" s="61"/>
    </row>
    <row r="726" customFormat="false" ht="12.75" hidden="false" customHeight="false" outlineLevel="0" collapsed="false">
      <c r="A726" s="61"/>
      <c r="B726" s="61"/>
      <c r="C726" s="56"/>
      <c r="D726" s="55"/>
      <c r="E726" s="57"/>
      <c r="F726" s="56"/>
      <c r="G726" s="58"/>
      <c r="H726" s="55"/>
      <c r="I726" s="55"/>
      <c r="J726" s="55"/>
      <c r="K726" s="59"/>
      <c r="L726" s="60"/>
      <c r="M726" s="60"/>
      <c r="N726" s="61"/>
    </row>
    <row r="727" customFormat="false" ht="12.75" hidden="false" customHeight="false" outlineLevel="0" collapsed="false">
      <c r="A727" s="61"/>
      <c r="B727" s="61"/>
      <c r="C727" s="56"/>
      <c r="D727" s="55"/>
      <c r="E727" s="57"/>
      <c r="F727" s="56"/>
      <c r="G727" s="58"/>
      <c r="H727" s="55"/>
      <c r="I727" s="55"/>
      <c r="J727" s="55"/>
      <c r="K727" s="59"/>
      <c r="L727" s="60"/>
      <c r="M727" s="60"/>
      <c r="N727" s="61"/>
    </row>
    <row r="728" customFormat="false" ht="12.75" hidden="false" customHeight="false" outlineLevel="0" collapsed="false">
      <c r="A728" s="61"/>
      <c r="B728" s="61"/>
      <c r="C728" s="56"/>
      <c r="D728" s="55"/>
      <c r="E728" s="57"/>
      <c r="F728" s="56"/>
      <c r="G728" s="58"/>
      <c r="H728" s="55"/>
      <c r="I728" s="55"/>
      <c r="J728" s="55"/>
      <c r="K728" s="59"/>
      <c r="L728" s="60"/>
      <c r="M728" s="60"/>
      <c r="N728" s="61"/>
    </row>
    <row r="729" customFormat="false" ht="12.75" hidden="false" customHeight="false" outlineLevel="0" collapsed="false">
      <c r="A729" s="61"/>
      <c r="B729" s="61"/>
      <c r="C729" s="56"/>
      <c r="D729" s="55"/>
      <c r="E729" s="57"/>
      <c r="F729" s="56"/>
      <c r="G729" s="58"/>
      <c r="H729" s="55"/>
      <c r="I729" s="55"/>
      <c r="J729" s="55"/>
      <c r="K729" s="59"/>
      <c r="L729" s="60"/>
      <c r="M729" s="60"/>
      <c r="N729" s="61"/>
    </row>
    <row r="730" customFormat="false" ht="12.75" hidden="false" customHeight="false" outlineLevel="0" collapsed="false">
      <c r="A730" s="61"/>
      <c r="B730" s="61"/>
      <c r="C730" s="56"/>
      <c r="D730" s="55"/>
      <c r="E730" s="57"/>
      <c r="F730" s="56"/>
      <c r="G730" s="58"/>
      <c r="H730" s="55"/>
      <c r="I730" s="55"/>
      <c r="J730" s="55"/>
      <c r="K730" s="59"/>
      <c r="L730" s="60"/>
      <c r="M730" s="60"/>
      <c r="N730" s="61"/>
    </row>
    <row r="731" customFormat="false" ht="12.75" hidden="false" customHeight="false" outlineLevel="0" collapsed="false">
      <c r="A731" s="61"/>
      <c r="B731" s="61"/>
      <c r="C731" s="56"/>
      <c r="D731" s="55"/>
      <c r="E731" s="57"/>
      <c r="F731" s="56"/>
      <c r="G731" s="58"/>
      <c r="H731" s="55"/>
      <c r="I731" s="55"/>
      <c r="J731" s="55"/>
      <c r="K731" s="59"/>
      <c r="L731" s="60"/>
      <c r="M731" s="60"/>
      <c r="N731" s="61"/>
    </row>
    <row r="732" customFormat="false" ht="12.75" hidden="false" customHeight="false" outlineLevel="0" collapsed="false">
      <c r="A732" s="61"/>
      <c r="B732" s="61"/>
      <c r="C732" s="56"/>
      <c r="D732" s="55"/>
      <c r="E732" s="57"/>
      <c r="F732" s="56"/>
      <c r="G732" s="58"/>
      <c r="H732" s="55"/>
      <c r="I732" s="55"/>
      <c r="J732" s="55"/>
      <c r="K732" s="59"/>
      <c r="L732" s="60"/>
      <c r="M732" s="60"/>
      <c r="N732" s="61"/>
    </row>
    <row r="733" customFormat="false" ht="12.75" hidden="false" customHeight="false" outlineLevel="0" collapsed="false">
      <c r="A733" s="61"/>
      <c r="B733" s="61"/>
      <c r="C733" s="56"/>
      <c r="D733" s="55"/>
      <c r="E733" s="57"/>
      <c r="F733" s="56"/>
      <c r="G733" s="58"/>
      <c r="H733" s="55"/>
      <c r="I733" s="55"/>
      <c r="J733" s="55"/>
      <c r="K733" s="59"/>
      <c r="L733" s="60"/>
      <c r="M733" s="60"/>
      <c r="N733" s="61"/>
    </row>
    <row r="734" customFormat="false" ht="12.75" hidden="false" customHeight="false" outlineLevel="0" collapsed="false">
      <c r="A734" s="61"/>
      <c r="B734" s="61"/>
      <c r="C734" s="56"/>
      <c r="D734" s="55"/>
      <c r="E734" s="57"/>
      <c r="F734" s="56"/>
      <c r="G734" s="58"/>
      <c r="H734" s="55"/>
      <c r="I734" s="55"/>
      <c r="J734" s="55"/>
      <c r="K734" s="59"/>
      <c r="L734" s="60"/>
      <c r="M734" s="60"/>
      <c r="N734" s="61"/>
    </row>
    <row r="735" customFormat="false" ht="12.75" hidden="false" customHeight="false" outlineLevel="0" collapsed="false">
      <c r="A735" s="61"/>
      <c r="B735" s="61"/>
      <c r="C735" s="56"/>
      <c r="D735" s="55"/>
      <c r="E735" s="57"/>
      <c r="F735" s="56"/>
      <c r="G735" s="58"/>
      <c r="H735" s="55"/>
      <c r="I735" s="55"/>
      <c r="J735" s="55"/>
      <c r="K735" s="59"/>
      <c r="L735" s="60"/>
      <c r="M735" s="60"/>
      <c r="N735" s="61"/>
    </row>
    <row r="736" customFormat="false" ht="12.75" hidden="false" customHeight="false" outlineLevel="0" collapsed="false">
      <c r="A736" s="61"/>
      <c r="B736" s="61"/>
      <c r="C736" s="56"/>
      <c r="D736" s="55"/>
      <c r="E736" s="57"/>
      <c r="F736" s="56"/>
      <c r="G736" s="58"/>
      <c r="H736" s="55"/>
      <c r="I736" s="55"/>
      <c r="J736" s="55"/>
      <c r="K736" s="59"/>
      <c r="L736" s="60"/>
      <c r="M736" s="60"/>
      <c r="N736" s="61"/>
    </row>
    <row r="737" customFormat="false" ht="12.75" hidden="false" customHeight="false" outlineLevel="0" collapsed="false">
      <c r="A737" s="61"/>
      <c r="B737" s="61"/>
      <c r="C737" s="56"/>
      <c r="D737" s="55"/>
      <c r="E737" s="57"/>
      <c r="F737" s="56"/>
      <c r="G737" s="58"/>
      <c r="H737" s="55"/>
      <c r="I737" s="55"/>
      <c r="J737" s="55"/>
      <c r="K737" s="59"/>
      <c r="L737" s="60"/>
      <c r="M737" s="60"/>
      <c r="N737" s="61"/>
    </row>
    <row r="738" customFormat="false" ht="12.75" hidden="false" customHeight="false" outlineLevel="0" collapsed="false">
      <c r="A738" s="61"/>
      <c r="B738" s="61"/>
      <c r="C738" s="56"/>
      <c r="D738" s="55"/>
      <c r="E738" s="57"/>
      <c r="F738" s="56"/>
      <c r="G738" s="58"/>
      <c r="H738" s="55"/>
      <c r="I738" s="55"/>
      <c r="J738" s="55"/>
      <c r="K738" s="59"/>
      <c r="L738" s="60"/>
      <c r="M738" s="60"/>
      <c r="N738" s="61"/>
    </row>
    <row r="739" customFormat="false" ht="12.75" hidden="false" customHeight="false" outlineLevel="0" collapsed="false">
      <c r="A739" s="61"/>
      <c r="B739" s="61"/>
      <c r="C739" s="56"/>
      <c r="D739" s="55"/>
      <c r="E739" s="57"/>
      <c r="F739" s="56"/>
      <c r="G739" s="58"/>
      <c r="H739" s="55"/>
      <c r="I739" s="55"/>
      <c r="J739" s="55"/>
      <c r="K739" s="59"/>
      <c r="L739" s="60"/>
      <c r="M739" s="60"/>
      <c r="N739" s="61"/>
    </row>
    <row r="740" customFormat="false" ht="12.75" hidden="false" customHeight="false" outlineLevel="0" collapsed="false">
      <c r="A740" s="61"/>
      <c r="B740" s="61"/>
      <c r="C740" s="56"/>
      <c r="D740" s="55"/>
      <c r="E740" s="57"/>
      <c r="F740" s="56"/>
      <c r="G740" s="58"/>
      <c r="H740" s="55"/>
      <c r="I740" s="55"/>
      <c r="J740" s="55"/>
      <c r="K740" s="59"/>
      <c r="L740" s="60"/>
      <c r="M740" s="60"/>
      <c r="N740" s="61"/>
    </row>
    <row r="741" customFormat="false" ht="12.75" hidden="false" customHeight="false" outlineLevel="0" collapsed="false">
      <c r="A741" s="61"/>
      <c r="B741" s="61"/>
      <c r="C741" s="56"/>
      <c r="D741" s="55"/>
      <c r="E741" s="57"/>
      <c r="F741" s="56"/>
      <c r="G741" s="58"/>
      <c r="H741" s="55"/>
      <c r="I741" s="55"/>
      <c r="J741" s="55"/>
      <c r="K741" s="59"/>
      <c r="L741" s="60"/>
      <c r="M741" s="60"/>
      <c r="N741" s="61"/>
    </row>
    <row r="742" customFormat="false" ht="12.75" hidden="false" customHeight="false" outlineLevel="0" collapsed="false">
      <c r="A742" s="61"/>
      <c r="B742" s="61"/>
      <c r="C742" s="56"/>
      <c r="D742" s="55"/>
      <c r="E742" s="57"/>
      <c r="F742" s="56"/>
      <c r="G742" s="58"/>
      <c r="H742" s="55"/>
      <c r="I742" s="55"/>
      <c r="J742" s="55"/>
      <c r="K742" s="59"/>
      <c r="L742" s="60"/>
      <c r="M742" s="60"/>
      <c r="N742" s="61"/>
    </row>
    <row r="743" customFormat="false" ht="12.75" hidden="false" customHeight="false" outlineLevel="0" collapsed="false">
      <c r="A743" s="61"/>
      <c r="B743" s="61"/>
      <c r="C743" s="56"/>
      <c r="D743" s="55"/>
      <c r="E743" s="57"/>
      <c r="F743" s="56"/>
      <c r="G743" s="58"/>
      <c r="H743" s="55"/>
      <c r="I743" s="55"/>
      <c r="J743" s="55"/>
      <c r="K743" s="59"/>
      <c r="L743" s="60"/>
      <c r="M743" s="60"/>
      <c r="N743" s="61"/>
    </row>
    <row r="744" customFormat="false" ht="12.75" hidden="false" customHeight="false" outlineLevel="0" collapsed="false">
      <c r="A744" s="61"/>
      <c r="B744" s="61"/>
      <c r="C744" s="56"/>
      <c r="D744" s="55"/>
      <c r="E744" s="57"/>
      <c r="F744" s="56"/>
      <c r="G744" s="58"/>
      <c r="H744" s="55"/>
      <c r="I744" s="55"/>
      <c r="J744" s="55"/>
      <c r="K744" s="59"/>
      <c r="L744" s="60"/>
      <c r="M744" s="60"/>
      <c r="N744" s="61"/>
    </row>
    <row r="745" customFormat="false" ht="12.75" hidden="false" customHeight="false" outlineLevel="0" collapsed="false">
      <c r="A745" s="61"/>
      <c r="B745" s="61"/>
      <c r="C745" s="56"/>
      <c r="D745" s="55"/>
      <c r="E745" s="57"/>
      <c r="F745" s="56"/>
      <c r="G745" s="58"/>
      <c r="H745" s="55"/>
      <c r="I745" s="55"/>
      <c r="J745" s="55"/>
      <c r="K745" s="59"/>
      <c r="L745" s="60"/>
      <c r="M745" s="60"/>
      <c r="N745" s="61"/>
    </row>
    <row r="746" customFormat="false" ht="12.75" hidden="false" customHeight="false" outlineLevel="0" collapsed="false">
      <c r="A746" s="61"/>
      <c r="B746" s="61"/>
      <c r="C746" s="56"/>
      <c r="D746" s="55"/>
      <c r="E746" s="57"/>
      <c r="F746" s="56"/>
      <c r="G746" s="58"/>
      <c r="H746" s="55"/>
      <c r="I746" s="55"/>
      <c r="J746" s="55"/>
      <c r="K746" s="59"/>
      <c r="L746" s="60"/>
      <c r="M746" s="60"/>
      <c r="N746" s="61"/>
    </row>
    <row r="747" customFormat="false" ht="12.75" hidden="false" customHeight="false" outlineLevel="0" collapsed="false">
      <c r="A747" s="61"/>
      <c r="B747" s="61"/>
      <c r="C747" s="56"/>
      <c r="D747" s="55"/>
      <c r="E747" s="57"/>
      <c r="F747" s="56"/>
      <c r="G747" s="58"/>
      <c r="H747" s="55"/>
      <c r="I747" s="55"/>
      <c r="J747" s="55"/>
      <c r="K747" s="59"/>
      <c r="L747" s="60"/>
      <c r="M747" s="60"/>
      <c r="N747" s="61"/>
    </row>
    <row r="748" customFormat="false" ht="12.75" hidden="false" customHeight="false" outlineLevel="0" collapsed="false">
      <c r="A748" s="61"/>
      <c r="B748" s="61"/>
      <c r="C748" s="56"/>
      <c r="D748" s="55"/>
      <c r="E748" s="57"/>
      <c r="F748" s="56"/>
      <c r="G748" s="58"/>
      <c r="H748" s="55"/>
      <c r="I748" s="55"/>
      <c r="J748" s="55"/>
      <c r="K748" s="59"/>
      <c r="L748" s="60"/>
      <c r="M748" s="60"/>
      <c r="N748" s="61"/>
    </row>
    <row r="749" customFormat="false" ht="12.75" hidden="false" customHeight="false" outlineLevel="0" collapsed="false">
      <c r="A749" s="61"/>
      <c r="B749" s="61"/>
      <c r="C749" s="56"/>
      <c r="D749" s="55"/>
      <c r="E749" s="57"/>
      <c r="F749" s="56"/>
      <c r="G749" s="58"/>
      <c r="H749" s="55"/>
      <c r="I749" s="55"/>
      <c r="J749" s="55"/>
      <c r="K749" s="59"/>
      <c r="L749" s="60"/>
      <c r="M749" s="60"/>
      <c r="N749" s="61"/>
    </row>
    <row r="750" customFormat="false" ht="12.75" hidden="false" customHeight="false" outlineLevel="0" collapsed="false">
      <c r="A750" s="61"/>
      <c r="B750" s="61"/>
      <c r="C750" s="56"/>
      <c r="D750" s="55"/>
      <c r="E750" s="57"/>
      <c r="F750" s="56"/>
      <c r="G750" s="58"/>
      <c r="H750" s="55"/>
      <c r="I750" s="55"/>
      <c r="J750" s="55"/>
      <c r="K750" s="59"/>
      <c r="L750" s="60"/>
      <c r="M750" s="60"/>
      <c r="N750" s="61"/>
    </row>
    <row r="751" customFormat="false" ht="12.75" hidden="false" customHeight="false" outlineLevel="0" collapsed="false">
      <c r="A751" s="61"/>
      <c r="B751" s="61"/>
      <c r="C751" s="56"/>
      <c r="D751" s="55"/>
      <c r="E751" s="57"/>
      <c r="F751" s="56"/>
      <c r="G751" s="58"/>
      <c r="H751" s="55"/>
      <c r="I751" s="55"/>
      <c r="J751" s="55"/>
      <c r="K751" s="59"/>
      <c r="L751" s="60"/>
      <c r="M751" s="60"/>
      <c r="N751" s="61"/>
    </row>
    <row r="752" customFormat="false" ht="12.75" hidden="false" customHeight="false" outlineLevel="0" collapsed="false">
      <c r="A752" s="61"/>
      <c r="B752" s="61"/>
      <c r="C752" s="56"/>
      <c r="D752" s="55"/>
      <c r="E752" s="57"/>
      <c r="F752" s="56"/>
      <c r="G752" s="58"/>
      <c r="H752" s="55"/>
      <c r="I752" s="55"/>
      <c r="J752" s="55"/>
      <c r="K752" s="59"/>
      <c r="L752" s="60"/>
      <c r="M752" s="60"/>
      <c r="N752" s="61"/>
    </row>
    <row r="753" customFormat="false" ht="12.75" hidden="false" customHeight="false" outlineLevel="0" collapsed="false">
      <c r="A753" s="61"/>
      <c r="B753" s="61"/>
      <c r="C753" s="56"/>
      <c r="D753" s="55"/>
      <c r="E753" s="57"/>
      <c r="F753" s="56"/>
      <c r="G753" s="58"/>
      <c r="H753" s="55"/>
      <c r="I753" s="55"/>
      <c r="J753" s="55"/>
      <c r="K753" s="59"/>
      <c r="L753" s="60"/>
      <c r="M753" s="60"/>
      <c r="N753" s="61"/>
    </row>
    <row r="754" customFormat="false" ht="12.75" hidden="false" customHeight="false" outlineLevel="0" collapsed="false">
      <c r="A754" s="61"/>
      <c r="B754" s="61"/>
      <c r="C754" s="56"/>
      <c r="D754" s="55"/>
      <c r="E754" s="57"/>
      <c r="F754" s="56"/>
      <c r="G754" s="58"/>
      <c r="H754" s="55"/>
      <c r="I754" s="55"/>
      <c r="J754" s="55"/>
      <c r="K754" s="59"/>
      <c r="L754" s="60"/>
      <c r="M754" s="60"/>
      <c r="N754" s="61"/>
    </row>
    <row r="755" customFormat="false" ht="12.75" hidden="false" customHeight="false" outlineLevel="0" collapsed="false">
      <c r="A755" s="61"/>
      <c r="B755" s="61"/>
      <c r="C755" s="56"/>
      <c r="D755" s="55"/>
      <c r="E755" s="57"/>
      <c r="F755" s="56"/>
      <c r="G755" s="58"/>
      <c r="H755" s="55"/>
      <c r="I755" s="55"/>
      <c r="J755" s="55"/>
      <c r="K755" s="59"/>
      <c r="L755" s="60"/>
      <c r="M755" s="60"/>
      <c r="N755" s="61"/>
    </row>
    <row r="756" customFormat="false" ht="12.75" hidden="false" customHeight="false" outlineLevel="0" collapsed="false">
      <c r="A756" s="61"/>
      <c r="B756" s="61"/>
      <c r="C756" s="56"/>
      <c r="D756" s="55"/>
      <c r="E756" s="57"/>
      <c r="F756" s="56"/>
      <c r="G756" s="58"/>
      <c r="H756" s="55"/>
      <c r="I756" s="55"/>
      <c r="J756" s="55"/>
      <c r="K756" s="59"/>
      <c r="L756" s="60"/>
      <c r="M756" s="60"/>
      <c r="N756" s="61"/>
    </row>
    <row r="757" customFormat="false" ht="12.75" hidden="false" customHeight="false" outlineLevel="0" collapsed="false">
      <c r="A757" s="61"/>
      <c r="B757" s="61"/>
      <c r="C757" s="56"/>
      <c r="D757" s="55"/>
      <c r="E757" s="57"/>
      <c r="F757" s="56"/>
      <c r="G757" s="58"/>
      <c r="H757" s="55"/>
      <c r="I757" s="55"/>
      <c r="J757" s="55"/>
      <c r="K757" s="59"/>
      <c r="L757" s="60"/>
      <c r="M757" s="60"/>
      <c r="N757" s="61"/>
    </row>
    <row r="758" customFormat="false" ht="12.75" hidden="false" customHeight="false" outlineLevel="0" collapsed="false">
      <c r="A758" s="61"/>
      <c r="B758" s="61"/>
      <c r="C758" s="56"/>
      <c r="D758" s="55"/>
      <c r="E758" s="57"/>
      <c r="F758" s="56"/>
      <c r="G758" s="58"/>
      <c r="H758" s="55"/>
      <c r="I758" s="55"/>
      <c r="J758" s="55"/>
      <c r="K758" s="59"/>
      <c r="L758" s="60"/>
      <c r="M758" s="60"/>
      <c r="N758" s="61"/>
    </row>
    <row r="759" customFormat="false" ht="12.75" hidden="false" customHeight="false" outlineLevel="0" collapsed="false">
      <c r="A759" s="61"/>
      <c r="B759" s="61"/>
      <c r="C759" s="56"/>
      <c r="D759" s="55"/>
      <c r="E759" s="57"/>
      <c r="F759" s="56"/>
      <c r="G759" s="58"/>
      <c r="H759" s="55"/>
      <c r="I759" s="55"/>
      <c r="J759" s="55"/>
      <c r="K759" s="59"/>
      <c r="L759" s="60"/>
      <c r="M759" s="60"/>
      <c r="N759" s="61"/>
    </row>
    <row r="760" customFormat="false" ht="12.75" hidden="false" customHeight="false" outlineLevel="0" collapsed="false">
      <c r="A760" s="61"/>
      <c r="B760" s="61"/>
      <c r="C760" s="56"/>
      <c r="D760" s="55"/>
      <c r="E760" s="57"/>
      <c r="F760" s="56"/>
      <c r="G760" s="58"/>
      <c r="H760" s="55"/>
      <c r="I760" s="55"/>
      <c r="J760" s="55"/>
      <c r="K760" s="59"/>
      <c r="L760" s="60"/>
      <c r="M760" s="60"/>
      <c r="N760" s="61"/>
    </row>
    <row r="761" customFormat="false" ht="12.75" hidden="false" customHeight="false" outlineLevel="0" collapsed="false">
      <c r="A761" s="61"/>
      <c r="B761" s="61"/>
      <c r="C761" s="56"/>
      <c r="D761" s="55"/>
      <c r="E761" s="57"/>
      <c r="F761" s="56"/>
      <c r="G761" s="58"/>
      <c r="H761" s="55"/>
      <c r="I761" s="55"/>
      <c r="J761" s="55"/>
      <c r="K761" s="59"/>
      <c r="L761" s="60"/>
      <c r="M761" s="60"/>
      <c r="N761" s="61"/>
    </row>
    <row r="762" customFormat="false" ht="12.75" hidden="false" customHeight="false" outlineLevel="0" collapsed="false">
      <c r="A762" s="61"/>
      <c r="B762" s="61"/>
      <c r="C762" s="56"/>
      <c r="D762" s="55"/>
      <c r="E762" s="57"/>
      <c r="F762" s="56"/>
      <c r="G762" s="58"/>
      <c r="H762" s="55"/>
      <c r="I762" s="55"/>
      <c r="J762" s="55"/>
      <c r="K762" s="59"/>
      <c r="L762" s="60"/>
      <c r="M762" s="60"/>
      <c r="N762" s="61"/>
    </row>
    <row r="763" customFormat="false" ht="12.75" hidden="false" customHeight="false" outlineLevel="0" collapsed="false">
      <c r="A763" s="61"/>
      <c r="B763" s="61"/>
      <c r="C763" s="56"/>
      <c r="D763" s="55"/>
      <c r="E763" s="57"/>
      <c r="F763" s="56"/>
      <c r="G763" s="58"/>
      <c r="H763" s="55"/>
      <c r="I763" s="55"/>
      <c r="J763" s="55"/>
      <c r="K763" s="59"/>
      <c r="L763" s="60"/>
      <c r="M763" s="60"/>
      <c r="N763" s="61"/>
    </row>
    <row r="764" customFormat="false" ht="12.75" hidden="false" customHeight="false" outlineLevel="0" collapsed="false">
      <c r="A764" s="61"/>
      <c r="B764" s="61"/>
      <c r="C764" s="56"/>
      <c r="D764" s="55"/>
      <c r="E764" s="57"/>
      <c r="F764" s="56"/>
      <c r="G764" s="58"/>
      <c r="H764" s="55"/>
      <c r="I764" s="55"/>
      <c r="J764" s="55"/>
      <c r="K764" s="59"/>
      <c r="L764" s="60"/>
      <c r="M764" s="60"/>
      <c r="N764" s="61"/>
    </row>
    <row r="765" customFormat="false" ht="12.75" hidden="false" customHeight="false" outlineLevel="0" collapsed="false">
      <c r="A765" s="61"/>
      <c r="B765" s="61"/>
      <c r="C765" s="56"/>
      <c r="D765" s="55"/>
      <c r="E765" s="57"/>
      <c r="F765" s="56"/>
      <c r="G765" s="58"/>
      <c r="H765" s="55"/>
      <c r="I765" s="55"/>
      <c r="J765" s="55"/>
      <c r="K765" s="59"/>
      <c r="L765" s="60"/>
      <c r="M765" s="60"/>
      <c r="N765" s="61"/>
    </row>
    <row r="766" customFormat="false" ht="12.75" hidden="false" customHeight="false" outlineLevel="0" collapsed="false">
      <c r="A766" s="61"/>
      <c r="B766" s="61"/>
      <c r="C766" s="56"/>
      <c r="D766" s="55"/>
      <c r="E766" s="57"/>
      <c r="F766" s="56"/>
      <c r="G766" s="58"/>
      <c r="H766" s="55"/>
      <c r="I766" s="55"/>
      <c r="J766" s="55"/>
      <c r="K766" s="59"/>
      <c r="L766" s="60"/>
      <c r="M766" s="60"/>
      <c r="N766" s="61"/>
    </row>
    <row r="767" customFormat="false" ht="12.75" hidden="false" customHeight="false" outlineLevel="0" collapsed="false">
      <c r="A767" s="61"/>
      <c r="B767" s="61"/>
      <c r="C767" s="56"/>
      <c r="D767" s="55"/>
      <c r="E767" s="57"/>
      <c r="F767" s="56"/>
      <c r="G767" s="58"/>
      <c r="H767" s="55"/>
      <c r="I767" s="55"/>
      <c r="J767" s="55"/>
      <c r="K767" s="59"/>
      <c r="L767" s="60"/>
      <c r="M767" s="60"/>
      <c r="N767" s="61"/>
    </row>
    <row r="768" customFormat="false" ht="12.75" hidden="false" customHeight="false" outlineLevel="0" collapsed="false">
      <c r="A768" s="61"/>
      <c r="B768" s="61"/>
      <c r="C768" s="56"/>
      <c r="D768" s="55"/>
      <c r="E768" s="57"/>
      <c r="F768" s="56"/>
      <c r="G768" s="58"/>
      <c r="H768" s="55"/>
      <c r="I768" s="55"/>
      <c r="J768" s="55"/>
      <c r="K768" s="59"/>
      <c r="L768" s="60"/>
      <c r="M768" s="60"/>
      <c r="N768" s="61"/>
    </row>
    <row r="769" customFormat="false" ht="12.75" hidden="false" customHeight="false" outlineLevel="0" collapsed="false">
      <c r="A769" s="61"/>
      <c r="B769" s="61"/>
      <c r="C769" s="56"/>
      <c r="D769" s="55"/>
      <c r="E769" s="57"/>
      <c r="F769" s="56"/>
      <c r="G769" s="58"/>
      <c r="H769" s="55"/>
      <c r="I769" s="55"/>
      <c r="J769" s="55"/>
      <c r="K769" s="59"/>
      <c r="L769" s="60"/>
      <c r="M769" s="60"/>
      <c r="N769" s="61"/>
    </row>
    <row r="770" customFormat="false" ht="12.75" hidden="false" customHeight="false" outlineLevel="0" collapsed="false">
      <c r="A770" s="61"/>
      <c r="B770" s="61"/>
      <c r="C770" s="56"/>
      <c r="D770" s="55"/>
      <c r="E770" s="57"/>
      <c r="F770" s="56"/>
      <c r="G770" s="58"/>
      <c r="H770" s="55"/>
      <c r="I770" s="55"/>
      <c r="J770" s="55"/>
      <c r="K770" s="59"/>
      <c r="L770" s="60"/>
      <c r="M770" s="60"/>
      <c r="N770" s="61"/>
    </row>
    <row r="771" customFormat="false" ht="12.75" hidden="false" customHeight="false" outlineLevel="0" collapsed="false">
      <c r="A771" s="61"/>
      <c r="B771" s="61"/>
      <c r="C771" s="56"/>
      <c r="D771" s="55"/>
      <c r="E771" s="57"/>
      <c r="F771" s="56"/>
      <c r="G771" s="58"/>
      <c r="H771" s="55"/>
      <c r="I771" s="55"/>
      <c r="J771" s="55"/>
      <c r="K771" s="59"/>
      <c r="L771" s="60"/>
      <c r="M771" s="60"/>
      <c r="N771" s="61"/>
    </row>
    <row r="772" customFormat="false" ht="12.75" hidden="false" customHeight="false" outlineLevel="0" collapsed="false">
      <c r="A772" s="61"/>
      <c r="B772" s="61"/>
      <c r="C772" s="56"/>
      <c r="D772" s="55"/>
      <c r="E772" s="57"/>
      <c r="F772" s="56"/>
      <c r="G772" s="58"/>
      <c r="H772" s="55"/>
      <c r="I772" s="55"/>
      <c r="J772" s="55"/>
      <c r="K772" s="59"/>
      <c r="L772" s="60"/>
      <c r="M772" s="60"/>
      <c r="N772" s="61"/>
    </row>
    <row r="773" customFormat="false" ht="12.75" hidden="false" customHeight="false" outlineLevel="0" collapsed="false">
      <c r="A773" s="61"/>
      <c r="B773" s="61"/>
      <c r="C773" s="56"/>
      <c r="D773" s="55"/>
      <c r="E773" s="57"/>
      <c r="F773" s="56"/>
      <c r="G773" s="58"/>
      <c r="H773" s="55"/>
      <c r="I773" s="55"/>
      <c r="J773" s="55"/>
      <c r="K773" s="59"/>
      <c r="L773" s="60"/>
      <c r="M773" s="60"/>
      <c r="N773" s="61"/>
    </row>
    <row r="774" customFormat="false" ht="12.75" hidden="false" customHeight="false" outlineLevel="0" collapsed="false">
      <c r="A774" s="61"/>
      <c r="B774" s="61"/>
      <c r="C774" s="56"/>
      <c r="D774" s="55"/>
      <c r="E774" s="57"/>
      <c r="F774" s="56"/>
      <c r="G774" s="58"/>
      <c r="H774" s="55"/>
      <c r="I774" s="55"/>
      <c r="J774" s="55"/>
      <c r="K774" s="59"/>
      <c r="L774" s="60"/>
      <c r="M774" s="60"/>
      <c r="N774" s="61"/>
    </row>
    <row r="775" customFormat="false" ht="12.75" hidden="false" customHeight="false" outlineLevel="0" collapsed="false">
      <c r="A775" s="61"/>
      <c r="B775" s="61"/>
      <c r="C775" s="56"/>
      <c r="D775" s="55"/>
      <c r="E775" s="57"/>
      <c r="F775" s="56"/>
      <c r="G775" s="58"/>
      <c r="H775" s="55"/>
      <c r="I775" s="55"/>
      <c r="J775" s="55"/>
      <c r="K775" s="59"/>
      <c r="L775" s="60"/>
      <c r="M775" s="60"/>
      <c r="N775" s="61"/>
    </row>
    <row r="776" customFormat="false" ht="12.75" hidden="false" customHeight="false" outlineLevel="0" collapsed="false">
      <c r="A776" s="61"/>
      <c r="B776" s="61"/>
      <c r="C776" s="56"/>
      <c r="D776" s="55"/>
      <c r="E776" s="57"/>
      <c r="F776" s="56"/>
      <c r="G776" s="58"/>
      <c r="H776" s="55"/>
      <c r="I776" s="55"/>
      <c r="J776" s="55"/>
      <c r="K776" s="59"/>
      <c r="L776" s="60"/>
      <c r="M776" s="60"/>
      <c r="N776" s="61"/>
    </row>
    <row r="777" customFormat="false" ht="12.75" hidden="false" customHeight="false" outlineLevel="0" collapsed="false">
      <c r="A777" s="61"/>
      <c r="B777" s="61"/>
      <c r="C777" s="56"/>
      <c r="D777" s="55"/>
      <c r="E777" s="57"/>
      <c r="F777" s="56"/>
      <c r="G777" s="58"/>
      <c r="H777" s="55"/>
      <c r="I777" s="55"/>
      <c r="J777" s="55"/>
      <c r="K777" s="59"/>
      <c r="L777" s="60"/>
      <c r="M777" s="60"/>
      <c r="N777" s="61"/>
    </row>
    <row r="778" customFormat="false" ht="12.75" hidden="false" customHeight="false" outlineLevel="0" collapsed="false">
      <c r="A778" s="61"/>
      <c r="B778" s="61"/>
      <c r="C778" s="56"/>
      <c r="D778" s="55"/>
      <c r="E778" s="57"/>
      <c r="F778" s="56"/>
      <c r="G778" s="58"/>
      <c r="H778" s="55"/>
      <c r="I778" s="55"/>
      <c r="J778" s="55"/>
      <c r="K778" s="59"/>
      <c r="L778" s="60"/>
      <c r="M778" s="60"/>
      <c r="N778" s="61"/>
    </row>
    <row r="779" customFormat="false" ht="12.75" hidden="false" customHeight="false" outlineLevel="0" collapsed="false">
      <c r="A779" s="61"/>
      <c r="B779" s="61"/>
      <c r="C779" s="56"/>
      <c r="D779" s="55"/>
      <c r="E779" s="57"/>
      <c r="F779" s="56"/>
      <c r="G779" s="58"/>
      <c r="H779" s="55"/>
      <c r="I779" s="55"/>
      <c r="J779" s="55"/>
      <c r="K779" s="59"/>
      <c r="L779" s="60"/>
      <c r="M779" s="60"/>
      <c r="N779" s="61"/>
    </row>
    <row r="780" customFormat="false" ht="12.75" hidden="false" customHeight="false" outlineLevel="0" collapsed="false">
      <c r="A780" s="61"/>
      <c r="B780" s="61"/>
      <c r="C780" s="56"/>
      <c r="D780" s="55"/>
      <c r="E780" s="57"/>
      <c r="F780" s="56"/>
      <c r="G780" s="58"/>
      <c r="H780" s="55"/>
      <c r="I780" s="55"/>
      <c r="J780" s="55"/>
      <c r="K780" s="59"/>
      <c r="L780" s="60"/>
      <c r="M780" s="60"/>
      <c r="N780" s="61"/>
    </row>
    <row r="781" customFormat="false" ht="12.75" hidden="false" customHeight="false" outlineLevel="0" collapsed="false">
      <c r="A781" s="61"/>
      <c r="B781" s="61"/>
      <c r="C781" s="56"/>
      <c r="D781" s="55"/>
      <c r="E781" s="57"/>
      <c r="F781" s="56"/>
      <c r="G781" s="58"/>
      <c r="H781" s="55"/>
      <c r="I781" s="55"/>
      <c r="J781" s="55"/>
      <c r="K781" s="59"/>
      <c r="L781" s="60"/>
      <c r="M781" s="60"/>
      <c r="N781" s="61"/>
    </row>
    <row r="782" customFormat="false" ht="12.75" hidden="false" customHeight="false" outlineLevel="0" collapsed="false">
      <c r="A782" s="61"/>
      <c r="B782" s="61"/>
      <c r="C782" s="56"/>
      <c r="D782" s="55"/>
      <c r="E782" s="57"/>
      <c r="F782" s="56"/>
      <c r="G782" s="58"/>
      <c r="H782" s="55"/>
      <c r="I782" s="55"/>
      <c r="J782" s="55"/>
      <c r="K782" s="59"/>
      <c r="L782" s="60"/>
      <c r="M782" s="60"/>
      <c r="N782" s="61"/>
    </row>
    <row r="783" customFormat="false" ht="12.75" hidden="false" customHeight="false" outlineLevel="0" collapsed="false">
      <c r="A783" s="61"/>
      <c r="B783" s="61"/>
      <c r="C783" s="56"/>
      <c r="D783" s="55"/>
      <c r="E783" s="57"/>
      <c r="F783" s="56"/>
      <c r="G783" s="58"/>
      <c r="H783" s="55"/>
      <c r="I783" s="55"/>
      <c r="J783" s="55"/>
      <c r="K783" s="59"/>
      <c r="L783" s="60"/>
      <c r="M783" s="60"/>
      <c r="N783" s="61"/>
    </row>
    <row r="784" customFormat="false" ht="12.75" hidden="false" customHeight="false" outlineLevel="0" collapsed="false">
      <c r="A784" s="61"/>
      <c r="B784" s="61"/>
      <c r="C784" s="56"/>
      <c r="D784" s="55"/>
      <c r="E784" s="57"/>
      <c r="F784" s="56"/>
      <c r="G784" s="58"/>
      <c r="H784" s="55"/>
      <c r="I784" s="55"/>
      <c r="J784" s="55"/>
      <c r="K784" s="59"/>
      <c r="L784" s="60"/>
      <c r="M784" s="60"/>
      <c r="N784" s="61"/>
    </row>
    <row r="785" customFormat="false" ht="12.75" hidden="false" customHeight="false" outlineLevel="0" collapsed="false">
      <c r="A785" s="61"/>
      <c r="B785" s="61"/>
      <c r="C785" s="56"/>
      <c r="D785" s="55"/>
      <c r="E785" s="57"/>
      <c r="F785" s="56"/>
      <c r="G785" s="58"/>
      <c r="H785" s="55"/>
      <c r="I785" s="55"/>
      <c r="J785" s="55"/>
      <c r="K785" s="59"/>
      <c r="L785" s="60"/>
      <c r="M785" s="60"/>
      <c r="N785" s="61"/>
    </row>
    <row r="786" customFormat="false" ht="12.75" hidden="false" customHeight="false" outlineLevel="0" collapsed="false">
      <c r="A786" s="61"/>
      <c r="B786" s="61"/>
      <c r="C786" s="56"/>
      <c r="D786" s="55"/>
      <c r="E786" s="57"/>
      <c r="F786" s="56"/>
      <c r="G786" s="58"/>
      <c r="H786" s="55"/>
      <c r="I786" s="55"/>
      <c r="J786" s="55"/>
      <c r="K786" s="59"/>
      <c r="L786" s="60"/>
      <c r="M786" s="60"/>
      <c r="N786" s="61"/>
    </row>
    <row r="787" customFormat="false" ht="12.75" hidden="false" customHeight="false" outlineLevel="0" collapsed="false">
      <c r="A787" s="61"/>
      <c r="B787" s="61"/>
      <c r="C787" s="56"/>
      <c r="D787" s="55"/>
      <c r="E787" s="57"/>
      <c r="F787" s="56"/>
      <c r="G787" s="58"/>
      <c r="H787" s="55"/>
      <c r="I787" s="55"/>
      <c r="J787" s="55"/>
      <c r="K787" s="59"/>
      <c r="L787" s="60"/>
      <c r="M787" s="60"/>
      <c r="N787" s="61"/>
    </row>
    <row r="788" customFormat="false" ht="12.75" hidden="false" customHeight="false" outlineLevel="0" collapsed="false">
      <c r="A788" s="61"/>
      <c r="B788" s="61"/>
      <c r="C788" s="56"/>
      <c r="D788" s="55"/>
      <c r="E788" s="57"/>
      <c r="F788" s="56"/>
      <c r="G788" s="58"/>
      <c r="H788" s="55"/>
      <c r="I788" s="55"/>
      <c r="J788" s="55"/>
      <c r="K788" s="59"/>
      <c r="L788" s="60"/>
      <c r="M788" s="60"/>
      <c r="N788" s="61"/>
    </row>
    <row r="789" customFormat="false" ht="12.75" hidden="false" customHeight="false" outlineLevel="0" collapsed="false">
      <c r="A789" s="61"/>
      <c r="B789" s="61"/>
      <c r="C789" s="56"/>
      <c r="D789" s="55"/>
      <c r="E789" s="57"/>
      <c r="F789" s="56"/>
      <c r="G789" s="58"/>
      <c r="H789" s="55"/>
      <c r="I789" s="55"/>
      <c r="J789" s="55"/>
      <c r="K789" s="59"/>
      <c r="L789" s="60"/>
      <c r="M789" s="60"/>
      <c r="N789" s="61"/>
    </row>
    <row r="790" customFormat="false" ht="12.75" hidden="false" customHeight="false" outlineLevel="0" collapsed="false">
      <c r="A790" s="61"/>
      <c r="B790" s="61"/>
      <c r="C790" s="56"/>
      <c r="D790" s="55"/>
      <c r="E790" s="57"/>
      <c r="F790" s="56"/>
      <c r="G790" s="58"/>
      <c r="H790" s="55"/>
      <c r="I790" s="55"/>
      <c r="J790" s="55"/>
      <c r="K790" s="59"/>
      <c r="L790" s="60"/>
      <c r="M790" s="60"/>
      <c r="N790" s="61"/>
    </row>
    <row r="791" customFormat="false" ht="12.75" hidden="false" customHeight="false" outlineLevel="0" collapsed="false">
      <c r="A791" s="61"/>
      <c r="B791" s="61"/>
      <c r="C791" s="56"/>
      <c r="D791" s="55"/>
      <c r="E791" s="57"/>
      <c r="F791" s="56"/>
      <c r="G791" s="58"/>
      <c r="H791" s="55"/>
      <c r="I791" s="55"/>
      <c r="J791" s="55"/>
      <c r="K791" s="59"/>
      <c r="L791" s="60"/>
      <c r="M791" s="60"/>
      <c r="N791" s="61"/>
    </row>
    <row r="792" customFormat="false" ht="12.75" hidden="false" customHeight="false" outlineLevel="0" collapsed="false">
      <c r="A792" s="61"/>
      <c r="B792" s="61"/>
      <c r="C792" s="56"/>
      <c r="D792" s="55"/>
      <c r="E792" s="57"/>
      <c r="F792" s="56"/>
      <c r="G792" s="58"/>
      <c r="H792" s="55"/>
      <c r="I792" s="55"/>
      <c r="J792" s="55"/>
      <c r="K792" s="59"/>
      <c r="L792" s="60"/>
      <c r="M792" s="60"/>
      <c r="N792" s="61"/>
    </row>
    <row r="793" customFormat="false" ht="12.75" hidden="false" customHeight="false" outlineLevel="0" collapsed="false">
      <c r="A793" s="61"/>
      <c r="B793" s="61"/>
      <c r="C793" s="56"/>
      <c r="D793" s="55"/>
      <c r="E793" s="57"/>
      <c r="F793" s="56"/>
      <c r="G793" s="58"/>
      <c r="H793" s="55"/>
      <c r="I793" s="55"/>
      <c r="J793" s="55"/>
      <c r="K793" s="59"/>
      <c r="L793" s="60"/>
      <c r="M793" s="60"/>
      <c r="N793" s="61"/>
    </row>
    <row r="794" customFormat="false" ht="12.75" hidden="false" customHeight="false" outlineLevel="0" collapsed="false">
      <c r="A794" s="61"/>
      <c r="B794" s="61"/>
      <c r="C794" s="56"/>
      <c r="D794" s="55"/>
      <c r="E794" s="57"/>
      <c r="F794" s="56"/>
      <c r="G794" s="58"/>
      <c r="H794" s="55"/>
      <c r="I794" s="55"/>
      <c r="J794" s="55"/>
      <c r="K794" s="59"/>
      <c r="L794" s="60"/>
      <c r="M794" s="60"/>
      <c r="N794" s="61"/>
    </row>
    <row r="795" customFormat="false" ht="12.75" hidden="false" customHeight="false" outlineLevel="0" collapsed="false">
      <c r="A795" s="61"/>
      <c r="B795" s="61"/>
      <c r="C795" s="56"/>
      <c r="D795" s="55"/>
      <c r="E795" s="57"/>
      <c r="F795" s="56"/>
      <c r="G795" s="58"/>
      <c r="H795" s="55"/>
      <c r="I795" s="55"/>
      <c r="J795" s="55"/>
      <c r="K795" s="59"/>
      <c r="L795" s="60"/>
      <c r="M795" s="60"/>
      <c r="N795" s="61"/>
    </row>
    <row r="796" customFormat="false" ht="12.75" hidden="false" customHeight="false" outlineLevel="0" collapsed="false">
      <c r="A796" s="61"/>
      <c r="B796" s="61"/>
      <c r="C796" s="56"/>
      <c r="D796" s="55"/>
      <c r="E796" s="57"/>
      <c r="F796" s="56"/>
      <c r="G796" s="58"/>
      <c r="H796" s="55"/>
      <c r="I796" s="55"/>
      <c r="J796" s="55"/>
      <c r="K796" s="59"/>
      <c r="L796" s="60"/>
      <c r="M796" s="60"/>
      <c r="N796" s="61"/>
    </row>
    <row r="797" customFormat="false" ht="12.75" hidden="false" customHeight="false" outlineLevel="0" collapsed="false">
      <c r="A797" s="61"/>
      <c r="B797" s="61"/>
      <c r="C797" s="56"/>
      <c r="D797" s="55"/>
      <c r="E797" s="57"/>
      <c r="F797" s="56"/>
      <c r="G797" s="58"/>
      <c r="H797" s="55"/>
      <c r="I797" s="55"/>
      <c r="J797" s="55"/>
      <c r="K797" s="59"/>
      <c r="L797" s="60"/>
      <c r="M797" s="60"/>
      <c r="N797" s="61"/>
    </row>
    <row r="798" customFormat="false" ht="12.75" hidden="false" customHeight="false" outlineLevel="0" collapsed="false">
      <c r="A798" s="61"/>
      <c r="B798" s="61"/>
      <c r="C798" s="56"/>
      <c r="D798" s="55"/>
      <c r="E798" s="57"/>
      <c r="F798" s="56"/>
      <c r="G798" s="58"/>
      <c r="H798" s="55"/>
      <c r="I798" s="55"/>
      <c r="J798" s="55"/>
      <c r="K798" s="59"/>
      <c r="L798" s="60"/>
      <c r="M798" s="60"/>
      <c r="N798" s="61"/>
    </row>
    <row r="799" customFormat="false" ht="12.75" hidden="false" customHeight="false" outlineLevel="0" collapsed="false">
      <c r="A799" s="61"/>
      <c r="B799" s="61"/>
      <c r="C799" s="56"/>
      <c r="D799" s="55"/>
      <c r="E799" s="57"/>
      <c r="F799" s="56"/>
      <c r="G799" s="58"/>
      <c r="H799" s="55"/>
      <c r="I799" s="55"/>
      <c r="J799" s="55"/>
      <c r="K799" s="59"/>
      <c r="L799" s="60"/>
      <c r="M799" s="60"/>
      <c r="N799" s="61"/>
    </row>
    <row r="800" customFormat="false" ht="12.75" hidden="false" customHeight="false" outlineLevel="0" collapsed="false">
      <c r="A800" s="61"/>
      <c r="B800" s="61"/>
      <c r="C800" s="56"/>
      <c r="D800" s="55"/>
      <c r="E800" s="57"/>
      <c r="F800" s="56"/>
      <c r="G800" s="58"/>
      <c r="H800" s="55"/>
      <c r="I800" s="55"/>
      <c r="J800" s="55"/>
      <c r="K800" s="59"/>
      <c r="L800" s="60"/>
      <c r="M800" s="60"/>
      <c r="N800" s="61"/>
    </row>
    <row r="801" customFormat="false" ht="12.75" hidden="false" customHeight="false" outlineLevel="0" collapsed="false">
      <c r="A801" s="61"/>
      <c r="B801" s="61"/>
      <c r="C801" s="56"/>
      <c r="D801" s="55"/>
      <c r="E801" s="57"/>
      <c r="F801" s="56"/>
      <c r="G801" s="58"/>
      <c r="H801" s="55"/>
      <c r="I801" s="55"/>
      <c r="J801" s="55"/>
      <c r="K801" s="59"/>
      <c r="L801" s="60"/>
      <c r="M801" s="60"/>
      <c r="N801" s="61"/>
    </row>
    <row r="802" customFormat="false" ht="12.75" hidden="false" customHeight="false" outlineLevel="0" collapsed="false">
      <c r="A802" s="61"/>
      <c r="B802" s="61"/>
      <c r="C802" s="56"/>
      <c r="D802" s="55"/>
      <c r="E802" s="57"/>
      <c r="F802" s="56"/>
      <c r="G802" s="58"/>
      <c r="H802" s="55"/>
      <c r="I802" s="55"/>
      <c r="J802" s="55"/>
      <c r="K802" s="59"/>
      <c r="L802" s="60"/>
      <c r="M802" s="60"/>
      <c r="N802" s="61"/>
    </row>
    <row r="803" customFormat="false" ht="12.75" hidden="false" customHeight="false" outlineLevel="0" collapsed="false">
      <c r="A803" s="61"/>
      <c r="B803" s="61"/>
      <c r="C803" s="56"/>
      <c r="D803" s="55"/>
      <c r="E803" s="57"/>
      <c r="F803" s="56"/>
      <c r="G803" s="58"/>
      <c r="H803" s="55"/>
      <c r="I803" s="55"/>
      <c r="J803" s="55"/>
      <c r="K803" s="59"/>
      <c r="L803" s="60"/>
      <c r="M803" s="60"/>
      <c r="N803" s="61"/>
    </row>
    <row r="804" customFormat="false" ht="12.75" hidden="false" customHeight="false" outlineLevel="0" collapsed="false">
      <c r="A804" s="61"/>
      <c r="B804" s="61"/>
      <c r="C804" s="56"/>
      <c r="D804" s="55"/>
      <c r="E804" s="57"/>
      <c r="F804" s="56"/>
      <c r="G804" s="58"/>
      <c r="H804" s="55"/>
      <c r="I804" s="55"/>
      <c r="J804" s="55"/>
      <c r="K804" s="59"/>
      <c r="L804" s="60"/>
      <c r="M804" s="60"/>
      <c r="N804" s="61"/>
    </row>
    <row r="805" customFormat="false" ht="12.75" hidden="false" customHeight="false" outlineLevel="0" collapsed="false">
      <c r="A805" s="61"/>
      <c r="B805" s="61"/>
      <c r="C805" s="56"/>
      <c r="D805" s="55"/>
      <c r="E805" s="57"/>
      <c r="F805" s="56"/>
      <c r="G805" s="58"/>
      <c r="H805" s="55"/>
      <c r="I805" s="55"/>
      <c r="J805" s="55"/>
      <c r="K805" s="59"/>
      <c r="L805" s="60"/>
      <c r="M805" s="60"/>
      <c r="N805" s="61"/>
    </row>
    <row r="806" customFormat="false" ht="12.75" hidden="false" customHeight="false" outlineLevel="0" collapsed="false">
      <c r="A806" s="61"/>
      <c r="B806" s="61"/>
      <c r="C806" s="56"/>
      <c r="D806" s="55"/>
      <c r="E806" s="57"/>
      <c r="F806" s="56"/>
      <c r="G806" s="58"/>
      <c r="H806" s="55"/>
      <c r="I806" s="55"/>
      <c r="J806" s="55"/>
      <c r="K806" s="59"/>
      <c r="L806" s="60"/>
      <c r="M806" s="60"/>
      <c r="N806" s="61"/>
    </row>
    <row r="807" customFormat="false" ht="12.75" hidden="false" customHeight="false" outlineLevel="0" collapsed="false">
      <c r="A807" s="61"/>
      <c r="B807" s="61"/>
      <c r="C807" s="56"/>
      <c r="D807" s="55"/>
      <c r="E807" s="57"/>
      <c r="F807" s="56"/>
      <c r="G807" s="58"/>
      <c r="H807" s="55"/>
      <c r="I807" s="55"/>
      <c r="J807" s="55"/>
      <c r="K807" s="59"/>
      <c r="L807" s="60"/>
      <c r="M807" s="60"/>
      <c r="N807" s="61"/>
    </row>
    <row r="808" customFormat="false" ht="12.75" hidden="false" customHeight="false" outlineLevel="0" collapsed="false">
      <c r="A808" s="61"/>
      <c r="B808" s="61"/>
      <c r="C808" s="56"/>
      <c r="D808" s="55"/>
      <c r="E808" s="57"/>
      <c r="F808" s="56"/>
      <c r="G808" s="58"/>
      <c r="H808" s="55"/>
      <c r="I808" s="55"/>
      <c r="J808" s="55"/>
      <c r="K808" s="59"/>
      <c r="L808" s="60"/>
      <c r="M808" s="60"/>
      <c r="N808" s="61"/>
    </row>
    <row r="809" customFormat="false" ht="12.75" hidden="false" customHeight="false" outlineLevel="0" collapsed="false">
      <c r="A809" s="61"/>
      <c r="B809" s="61"/>
      <c r="C809" s="56"/>
      <c r="D809" s="55"/>
      <c r="E809" s="57"/>
      <c r="F809" s="56"/>
      <c r="G809" s="58"/>
      <c r="H809" s="55"/>
      <c r="I809" s="55"/>
      <c r="J809" s="55"/>
      <c r="K809" s="59"/>
      <c r="L809" s="60"/>
      <c r="M809" s="60"/>
      <c r="N809" s="61"/>
    </row>
    <row r="810" customFormat="false" ht="12.75" hidden="false" customHeight="false" outlineLevel="0" collapsed="false">
      <c r="A810" s="61"/>
      <c r="B810" s="61"/>
      <c r="C810" s="56"/>
      <c r="D810" s="55"/>
      <c r="E810" s="57"/>
      <c r="F810" s="56"/>
      <c r="G810" s="58"/>
      <c r="H810" s="55"/>
      <c r="I810" s="55"/>
      <c r="J810" s="55"/>
      <c r="K810" s="59"/>
      <c r="L810" s="60"/>
      <c r="M810" s="60"/>
      <c r="N810" s="61"/>
    </row>
    <row r="811" customFormat="false" ht="12.75" hidden="false" customHeight="false" outlineLevel="0" collapsed="false">
      <c r="A811" s="61"/>
      <c r="B811" s="61"/>
      <c r="C811" s="56"/>
      <c r="D811" s="55"/>
      <c r="E811" s="57"/>
      <c r="F811" s="56"/>
      <c r="G811" s="58"/>
      <c r="H811" s="55"/>
      <c r="I811" s="55"/>
      <c r="J811" s="55"/>
      <c r="K811" s="59"/>
      <c r="L811" s="60"/>
      <c r="M811" s="60"/>
      <c r="N811" s="61"/>
    </row>
    <row r="812" customFormat="false" ht="12.75" hidden="false" customHeight="false" outlineLevel="0" collapsed="false">
      <c r="A812" s="61"/>
      <c r="B812" s="61"/>
      <c r="C812" s="56"/>
      <c r="D812" s="55"/>
      <c r="E812" s="57"/>
      <c r="F812" s="56"/>
      <c r="G812" s="58"/>
      <c r="H812" s="55"/>
      <c r="I812" s="55"/>
      <c r="J812" s="55"/>
      <c r="K812" s="59"/>
      <c r="L812" s="60"/>
      <c r="M812" s="60"/>
      <c r="N812" s="61"/>
    </row>
    <row r="813" customFormat="false" ht="12.75" hidden="false" customHeight="false" outlineLevel="0" collapsed="false">
      <c r="A813" s="61"/>
      <c r="B813" s="61"/>
      <c r="C813" s="56"/>
      <c r="D813" s="55"/>
      <c r="E813" s="57"/>
      <c r="F813" s="56"/>
      <c r="G813" s="58"/>
      <c r="H813" s="55"/>
      <c r="I813" s="55"/>
      <c r="J813" s="55"/>
      <c r="K813" s="59"/>
      <c r="L813" s="60"/>
      <c r="M813" s="60"/>
      <c r="N813" s="61"/>
    </row>
    <row r="814" customFormat="false" ht="12.75" hidden="false" customHeight="false" outlineLevel="0" collapsed="false">
      <c r="A814" s="61"/>
      <c r="B814" s="61"/>
      <c r="C814" s="56"/>
      <c r="D814" s="55"/>
      <c r="E814" s="57"/>
      <c r="F814" s="56"/>
      <c r="G814" s="58"/>
      <c r="H814" s="55"/>
      <c r="I814" s="55"/>
      <c r="J814" s="55"/>
      <c r="K814" s="59"/>
      <c r="L814" s="60"/>
      <c r="M814" s="60"/>
      <c r="N814" s="61"/>
    </row>
    <row r="815" customFormat="false" ht="12.75" hidden="false" customHeight="false" outlineLevel="0" collapsed="false">
      <c r="A815" s="61"/>
      <c r="B815" s="61"/>
      <c r="C815" s="56"/>
      <c r="D815" s="55"/>
      <c r="E815" s="57"/>
      <c r="F815" s="56"/>
      <c r="G815" s="58"/>
      <c r="H815" s="55"/>
      <c r="I815" s="55"/>
      <c r="J815" s="55"/>
      <c r="K815" s="59"/>
      <c r="L815" s="60"/>
      <c r="M815" s="60"/>
      <c r="N815" s="61"/>
    </row>
    <row r="816" customFormat="false" ht="12.75" hidden="false" customHeight="false" outlineLevel="0" collapsed="false">
      <c r="A816" s="61"/>
      <c r="B816" s="61"/>
      <c r="C816" s="56"/>
      <c r="D816" s="55"/>
      <c r="E816" s="57"/>
      <c r="F816" s="56"/>
      <c r="G816" s="58"/>
      <c r="H816" s="55"/>
      <c r="I816" s="55"/>
      <c r="J816" s="55"/>
      <c r="K816" s="59"/>
      <c r="L816" s="60"/>
      <c r="M816" s="60"/>
      <c r="N816" s="61"/>
    </row>
    <row r="817" customFormat="false" ht="12.75" hidden="false" customHeight="false" outlineLevel="0" collapsed="false">
      <c r="A817" s="61"/>
      <c r="B817" s="61"/>
      <c r="C817" s="56"/>
      <c r="D817" s="55"/>
      <c r="E817" s="57"/>
      <c r="F817" s="56"/>
      <c r="G817" s="58"/>
      <c r="H817" s="55"/>
      <c r="I817" s="55"/>
      <c r="J817" s="55"/>
      <c r="K817" s="59"/>
      <c r="L817" s="60"/>
      <c r="M817" s="60"/>
      <c r="N817" s="61"/>
    </row>
    <row r="818" customFormat="false" ht="12.75" hidden="false" customHeight="false" outlineLevel="0" collapsed="false">
      <c r="A818" s="61"/>
      <c r="B818" s="61"/>
      <c r="C818" s="56"/>
      <c r="D818" s="55"/>
      <c r="E818" s="57"/>
      <c r="F818" s="56"/>
      <c r="G818" s="58"/>
      <c r="H818" s="55"/>
      <c r="I818" s="55"/>
      <c r="J818" s="55"/>
      <c r="K818" s="59"/>
      <c r="L818" s="60"/>
      <c r="M818" s="60"/>
      <c r="N818" s="61"/>
    </row>
    <row r="819" customFormat="false" ht="12.75" hidden="false" customHeight="false" outlineLevel="0" collapsed="false">
      <c r="A819" s="61"/>
      <c r="B819" s="61"/>
      <c r="C819" s="56"/>
      <c r="D819" s="55"/>
      <c r="E819" s="57"/>
      <c r="F819" s="56"/>
      <c r="G819" s="58"/>
      <c r="H819" s="55"/>
      <c r="I819" s="55"/>
      <c r="J819" s="55"/>
      <c r="K819" s="59"/>
      <c r="L819" s="60"/>
      <c r="M819" s="60"/>
      <c r="N819" s="61"/>
    </row>
    <row r="820" customFormat="false" ht="12.75" hidden="false" customHeight="false" outlineLevel="0" collapsed="false">
      <c r="A820" s="61"/>
      <c r="B820" s="61"/>
      <c r="C820" s="56"/>
      <c r="D820" s="55"/>
      <c r="E820" s="57"/>
      <c r="F820" s="56"/>
      <c r="G820" s="58"/>
      <c r="H820" s="55"/>
      <c r="I820" s="55"/>
      <c r="J820" s="55"/>
      <c r="K820" s="59"/>
      <c r="L820" s="60"/>
      <c r="M820" s="60"/>
      <c r="N820" s="61"/>
    </row>
    <row r="821" customFormat="false" ht="12.75" hidden="false" customHeight="false" outlineLevel="0" collapsed="false">
      <c r="A821" s="61"/>
      <c r="B821" s="61"/>
      <c r="C821" s="56"/>
      <c r="D821" s="55"/>
      <c r="E821" s="57"/>
      <c r="F821" s="56"/>
      <c r="G821" s="58"/>
      <c r="H821" s="55"/>
      <c r="I821" s="55"/>
      <c r="J821" s="55"/>
      <c r="K821" s="59"/>
      <c r="L821" s="60"/>
      <c r="M821" s="60"/>
      <c r="N821" s="61"/>
    </row>
    <row r="822" customFormat="false" ht="12.75" hidden="false" customHeight="false" outlineLevel="0" collapsed="false">
      <c r="A822" s="61"/>
      <c r="B822" s="61"/>
      <c r="C822" s="56"/>
      <c r="D822" s="55"/>
      <c r="E822" s="57"/>
      <c r="F822" s="56"/>
      <c r="G822" s="58"/>
      <c r="H822" s="55"/>
      <c r="I822" s="55"/>
      <c r="J822" s="55"/>
      <c r="K822" s="59"/>
      <c r="L822" s="60"/>
      <c r="M822" s="60"/>
      <c r="N822" s="61"/>
    </row>
    <row r="823" customFormat="false" ht="12.75" hidden="false" customHeight="false" outlineLevel="0" collapsed="false">
      <c r="A823" s="61"/>
      <c r="B823" s="61"/>
      <c r="C823" s="56"/>
      <c r="D823" s="55"/>
      <c r="E823" s="57"/>
      <c r="F823" s="56"/>
      <c r="G823" s="58"/>
      <c r="H823" s="55"/>
      <c r="I823" s="55"/>
      <c r="J823" s="55"/>
      <c r="K823" s="59"/>
      <c r="L823" s="60"/>
      <c r="M823" s="60"/>
      <c r="N823" s="61"/>
    </row>
    <row r="824" customFormat="false" ht="12.75" hidden="false" customHeight="false" outlineLevel="0" collapsed="false">
      <c r="A824" s="61"/>
      <c r="B824" s="61"/>
      <c r="C824" s="56"/>
      <c r="D824" s="55"/>
      <c r="E824" s="57"/>
      <c r="F824" s="56"/>
      <c r="G824" s="58"/>
      <c r="H824" s="55"/>
      <c r="I824" s="55"/>
      <c r="J824" s="55"/>
      <c r="K824" s="59"/>
      <c r="L824" s="60"/>
      <c r="M824" s="60"/>
      <c r="N824" s="61"/>
    </row>
    <row r="825" customFormat="false" ht="12.75" hidden="false" customHeight="false" outlineLevel="0" collapsed="false">
      <c r="A825" s="61"/>
      <c r="B825" s="61"/>
      <c r="C825" s="56"/>
      <c r="D825" s="55"/>
      <c r="E825" s="57"/>
      <c r="F825" s="56"/>
      <c r="G825" s="58"/>
      <c r="H825" s="55"/>
      <c r="I825" s="55"/>
      <c r="J825" s="55"/>
      <c r="K825" s="59"/>
      <c r="L825" s="60"/>
      <c r="M825" s="60"/>
      <c r="N825" s="61"/>
    </row>
    <row r="826" customFormat="false" ht="12.75" hidden="false" customHeight="false" outlineLevel="0" collapsed="false">
      <c r="A826" s="61"/>
      <c r="B826" s="61"/>
      <c r="C826" s="56"/>
      <c r="D826" s="55"/>
      <c r="E826" s="57"/>
      <c r="F826" s="56"/>
      <c r="G826" s="58"/>
      <c r="H826" s="55"/>
      <c r="I826" s="55"/>
      <c r="J826" s="55"/>
      <c r="K826" s="59"/>
      <c r="L826" s="60"/>
      <c r="M826" s="60"/>
      <c r="N826" s="61"/>
    </row>
    <row r="827" customFormat="false" ht="12.75" hidden="false" customHeight="false" outlineLevel="0" collapsed="false">
      <c r="A827" s="61"/>
      <c r="B827" s="61"/>
      <c r="C827" s="56"/>
      <c r="D827" s="55"/>
      <c r="E827" s="57"/>
      <c r="F827" s="56"/>
      <c r="G827" s="58"/>
      <c r="H827" s="55"/>
      <c r="I827" s="55"/>
      <c r="J827" s="55"/>
      <c r="K827" s="59"/>
      <c r="L827" s="60"/>
      <c r="M827" s="60"/>
      <c r="N827" s="61"/>
    </row>
    <row r="828" customFormat="false" ht="12.75" hidden="false" customHeight="false" outlineLevel="0" collapsed="false">
      <c r="A828" s="61"/>
      <c r="B828" s="61"/>
      <c r="C828" s="56"/>
      <c r="D828" s="55"/>
      <c r="E828" s="57"/>
      <c r="F828" s="56"/>
      <c r="G828" s="58"/>
      <c r="H828" s="55"/>
      <c r="I828" s="55"/>
      <c r="J828" s="55"/>
      <c r="K828" s="59"/>
      <c r="L828" s="60"/>
      <c r="M828" s="60"/>
      <c r="N828" s="61"/>
    </row>
    <row r="829" customFormat="false" ht="12.75" hidden="false" customHeight="false" outlineLevel="0" collapsed="false">
      <c r="A829" s="61"/>
      <c r="B829" s="61"/>
      <c r="C829" s="56"/>
      <c r="D829" s="55"/>
      <c r="E829" s="57"/>
      <c r="F829" s="56"/>
      <c r="G829" s="58"/>
      <c r="H829" s="55"/>
      <c r="I829" s="55"/>
      <c r="J829" s="55"/>
      <c r="K829" s="59"/>
      <c r="L829" s="60"/>
      <c r="M829" s="60"/>
      <c r="N829" s="61"/>
    </row>
    <row r="830" customFormat="false" ht="12.75" hidden="false" customHeight="false" outlineLevel="0" collapsed="false">
      <c r="A830" s="61"/>
      <c r="B830" s="61"/>
      <c r="C830" s="56"/>
      <c r="D830" s="55"/>
      <c r="E830" s="57"/>
      <c r="F830" s="56"/>
      <c r="G830" s="58"/>
      <c r="H830" s="55"/>
      <c r="I830" s="55"/>
      <c r="J830" s="55"/>
      <c r="K830" s="59"/>
      <c r="L830" s="60"/>
      <c r="M830" s="60"/>
      <c r="N830" s="61"/>
    </row>
    <row r="831" customFormat="false" ht="12.75" hidden="false" customHeight="false" outlineLevel="0" collapsed="false">
      <c r="A831" s="61"/>
      <c r="B831" s="61"/>
      <c r="C831" s="56"/>
      <c r="D831" s="55"/>
      <c r="E831" s="57"/>
      <c r="F831" s="56"/>
      <c r="G831" s="58"/>
      <c r="H831" s="55"/>
      <c r="I831" s="55"/>
      <c r="J831" s="55"/>
      <c r="K831" s="59"/>
      <c r="L831" s="60"/>
      <c r="M831" s="60"/>
      <c r="N831" s="61"/>
    </row>
    <row r="832" customFormat="false" ht="12.75" hidden="false" customHeight="false" outlineLevel="0" collapsed="false">
      <c r="A832" s="61"/>
      <c r="B832" s="61"/>
      <c r="C832" s="56"/>
      <c r="D832" s="55"/>
      <c r="E832" s="57"/>
      <c r="F832" s="56"/>
      <c r="G832" s="58"/>
      <c r="H832" s="55"/>
      <c r="I832" s="55"/>
      <c r="J832" s="55"/>
      <c r="K832" s="59"/>
      <c r="L832" s="60"/>
      <c r="M832" s="60"/>
      <c r="N832" s="61"/>
    </row>
    <row r="833" customFormat="false" ht="12.75" hidden="false" customHeight="false" outlineLevel="0" collapsed="false">
      <c r="A833" s="61"/>
      <c r="B833" s="61"/>
      <c r="C833" s="56"/>
      <c r="D833" s="55"/>
      <c r="E833" s="57"/>
      <c r="F833" s="56"/>
      <c r="G833" s="58"/>
      <c r="H833" s="55"/>
      <c r="I833" s="55"/>
      <c r="J833" s="55"/>
      <c r="K833" s="59"/>
      <c r="L833" s="60"/>
      <c r="M833" s="60"/>
      <c r="N833" s="61"/>
    </row>
    <row r="834" customFormat="false" ht="12.75" hidden="false" customHeight="false" outlineLevel="0" collapsed="false">
      <c r="A834" s="61"/>
      <c r="B834" s="61"/>
      <c r="C834" s="56"/>
      <c r="D834" s="55"/>
      <c r="E834" s="57"/>
      <c r="F834" s="56"/>
      <c r="G834" s="58"/>
      <c r="H834" s="55"/>
      <c r="I834" s="55"/>
      <c r="J834" s="55"/>
      <c r="K834" s="59"/>
      <c r="L834" s="60"/>
      <c r="M834" s="60"/>
      <c r="N834" s="61"/>
    </row>
    <row r="835" customFormat="false" ht="12.75" hidden="false" customHeight="false" outlineLevel="0" collapsed="false">
      <c r="A835" s="61"/>
      <c r="B835" s="61"/>
      <c r="C835" s="56"/>
      <c r="D835" s="55"/>
      <c r="E835" s="57"/>
      <c r="F835" s="56"/>
      <c r="G835" s="58"/>
      <c r="H835" s="55"/>
      <c r="I835" s="55"/>
      <c r="J835" s="55"/>
      <c r="K835" s="59"/>
      <c r="L835" s="60"/>
      <c r="M835" s="60"/>
      <c r="N835" s="61"/>
    </row>
    <row r="836" customFormat="false" ht="12.75" hidden="false" customHeight="false" outlineLevel="0" collapsed="false">
      <c r="A836" s="61"/>
      <c r="B836" s="61"/>
      <c r="C836" s="56"/>
      <c r="D836" s="55"/>
      <c r="E836" s="57"/>
      <c r="F836" s="56"/>
      <c r="G836" s="58"/>
      <c r="H836" s="55"/>
      <c r="I836" s="55"/>
      <c r="J836" s="55"/>
      <c r="K836" s="59"/>
      <c r="L836" s="60"/>
      <c r="M836" s="60"/>
      <c r="N836" s="61"/>
    </row>
    <row r="837" customFormat="false" ht="12.75" hidden="false" customHeight="false" outlineLevel="0" collapsed="false">
      <c r="A837" s="61"/>
      <c r="B837" s="61"/>
      <c r="C837" s="56"/>
      <c r="D837" s="55"/>
      <c r="E837" s="57"/>
      <c r="F837" s="56"/>
      <c r="G837" s="58"/>
      <c r="H837" s="55"/>
      <c r="I837" s="55"/>
      <c r="J837" s="55"/>
      <c r="K837" s="59"/>
      <c r="L837" s="60"/>
      <c r="M837" s="60"/>
      <c r="N837" s="61"/>
    </row>
    <row r="838" customFormat="false" ht="12.75" hidden="false" customHeight="false" outlineLevel="0" collapsed="false">
      <c r="A838" s="61"/>
      <c r="B838" s="61"/>
      <c r="C838" s="56"/>
      <c r="D838" s="55"/>
      <c r="E838" s="57"/>
      <c r="F838" s="56"/>
      <c r="G838" s="58"/>
      <c r="H838" s="55"/>
      <c r="I838" s="55"/>
      <c r="J838" s="55"/>
      <c r="K838" s="59"/>
      <c r="L838" s="60"/>
      <c r="M838" s="60"/>
      <c r="N838" s="61"/>
    </row>
    <row r="839" customFormat="false" ht="12.75" hidden="false" customHeight="false" outlineLevel="0" collapsed="false">
      <c r="A839" s="61"/>
      <c r="B839" s="61"/>
      <c r="C839" s="56"/>
      <c r="D839" s="55"/>
      <c r="E839" s="57"/>
      <c r="F839" s="56"/>
      <c r="G839" s="58"/>
      <c r="H839" s="55"/>
      <c r="I839" s="55"/>
      <c r="J839" s="55"/>
      <c r="K839" s="59"/>
      <c r="L839" s="60"/>
      <c r="M839" s="60"/>
      <c r="N839" s="61"/>
    </row>
    <row r="840" customFormat="false" ht="12.75" hidden="false" customHeight="false" outlineLevel="0" collapsed="false">
      <c r="A840" s="61"/>
      <c r="B840" s="61"/>
      <c r="C840" s="56"/>
      <c r="D840" s="55"/>
      <c r="E840" s="57"/>
      <c r="F840" s="56"/>
      <c r="G840" s="58"/>
      <c r="H840" s="55"/>
      <c r="I840" s="55"/>
      <c r="J840" s="55"/>
      <c r="K840" s="59"/>
      <c r="L840" s="60"/>
      <c r="M840" s="60"/>
      <c r="N840" s="61"/>
    </row>
    <row r="841" customFormat="false" ht="12.75" hidden="false" customHeight="false" outlineLevel="0" collapsed="false">
      <c r="A841" s="61"/>
      <c r="B841" s="61"/>
      <c r="C841" s="56"/>
      <c r="D841" s="55"/>
      <c r="E841" s="57"/>
      <c r="F841" s="56"/>
      <c r="G841" s="58"/>
      <c r="H841" s="55"/>
      <c r="I841" s="55"/>
      <c r="J841" s="55"/>
      <c r="K841" s="59"/>
      <c r="L841" s="60"/>
      <c r="M841" s="60"/>
      <c r="N841" s="61"/>
    </row>
    <row r="842" customFormat="false" ht="12.75" hidden="false" customHeight="false" outlineLevel="0" collapsed="false">
      <c r="A842" s="61"/>
      <c r="B842" s="61"/>
      <c r="C842" s="56"/>
      <c r="D842" s="55"/>
      <c r="E842" s="57"/>
      <c r="F842" s="56"/>
      <c r="G842" s="58"/>
      <c r="H842" s="55"/>
      <c r="I842" s="55"/>
      <c r="J842" s="55"/>
      <c r="K842" s="59"/>
      <c r="L842" s="60"/>
      <c r="M842" s="60"/>
      <c r="N842" s="61"/>
    </row>
    <row r="843" customFormat="false" ht="12.75" hidden="false" customHeight="false" outlineLevel="0" collapsed="false">
      <c r="A843" s="61"/>
      <c r="B843" s="61"/>
      <c r="C843" s="56"/>
      <c r="D843" s="55"/>
      <c r="E843" s="57"/>
      <c r="F843" s="56"/>
      <c r="G843" s="58"/>
      <c r="H843" s="55"/>
      <c r="I843" s="55"/>
      <c r="J843" s="55"/>
      <c r="K843" s="59"/>
      <c r="L843" s="60"/>
      <c r="M843" s="60"/>
      <c r="N843" s="61"/>
    </row>
    <row r="844" customFormat="false" ht="12.75" hidden="false" customHeight="false" outlineLevel="0" collapsed="false">
      <c r="A844" s="61"/>
      <c r="B844" s="61"/>
      <c r="C844" s="56"/>
      <c r="D844" s="55"/>
      <c r="E844" s="57"/>
      <c r="F844" s="56"/>
      <c r="G844" s="58"/>
      <c r="H844" s="55"/>
      <c r="I844" s="55"/>
      <c r="J844" s="55"/>
      <c r="K844" s="59"/>
      <c r="L844" s="60"/>
      <c r="M844" s="60"/>
      <c r="N844" s="61"/>
    </row>
    <row r="845" customFormat="false" ht="12.75" hidden="false" customHeight="false" outlineLevel="0" collapsed="false">
      <c r="A845" s="61"/>
      <c r="B845" s="61"/>
      <c r="C845" s="56"/>
      <c r="D845" s="55"/>
      <c r="E845" s="57"/>
      <c r="F845" s="56"/>
      <c r="G845" s="58"/>
      <c r="H845" s="55"/>
      <c r="I845" s="55"/>
      <c r="J845" s="55"/>
      <c r="K845" s="59"/>
      <c r="L845" s="60"/>
      <c r="M845" s="60"/>
      <c r="N845" s="61"/>
    </row>
    <row r="846" customFormat="false" ht="12.75" hidden="false" customHeight="false" outlineLevel="0" collapsed="false">
      <c r="A846" s="61"/>
      <c r="B846" s="61"/>
      <c r="C846" s="56"/>
      <c r="D846" s="55"/>
      <c r="E846" s="57"/>
      <c r="F846" s="56"/>
      <c r="G846" s="58"/>
      <c r="H846" s="55"/>
      <c r="I846" s="55"/>
      <c r="J846" s="55"/>
      <c r="K846" s="59"/>
      <c r="L846" s="60"/>
      <c r="M846" s="60"/>
      <c r="N846" s="61"/>
    </row>
    <row r="847" customFormat="false" ht="12.75" hidden="false" customHeight="false" outlineLevel="0" collapsed="false">
      <c r="A847" s="61"/>
      <c r="B847" s="61"/>
      <c r="C847" s="56"/>
      <c r="D847" s="55"/>
      <c r="E847" s="57"/>
      <c r="F847" s="56"/>
      <c r="G847" s="58"/>
      <c r="H847" s="55"/>
      <c r="I847" s="55"/>
      <c r="J847" s="55"/>
      <c r="K847" s="59"/>
      <c r="L847" s="60"/>
      <c r="M847" s="60"/>
      <c r="N847" s="61"/>
    </row>
    <row r="848" customFormat="false" ht="12.75" hidden="false" customHeight="false" outlineLevel="0" collapsed="false">
      <c r="A848" s="61"/>
      <c r="B848" s="61"/>
      <c r="C848" s="56"/>
      <c r="D848" s="55"/>
      <c r="E848" s="57"/>
      <c r="F848" s="56"/>
      <c r="G848" s="58"/>
      <c r="H848" s="55"/>
      <c r="I848" s="55"/>
      <c r="J848" s="55"/>
      <c r="K848" s="59"/>
      <c r="L848" s="60"/>
      <c r="M848" s="60"/>
      <c r="N848" s="61"/>
    </row>
    <row r="849" customFormat="false" ht="12.75" hidden="false" customHeight="false" outlineLevel="0" collapsed="false">
      <c r="A849" s="61"/>
      <c r="B849" s="61"/>
      <c r="C849" s="56"/>
      <c r="D849" s="55"/>
      <c r="E849" s="57"/>
      <c r="F849" s="56"/>
      <c r="G849" s="58"/>
      <c r="H849" s="55"/>
      <c r="I849" s="55"/>
      <c r="J849" s="55"/>
      <c r="K849" s="59"/>
      <c r="L849" s="60"/>
      <c r="M849" s="60"/>
      <c r="N849" s="61"/>
    </row>
    <row r="850" customFormat="false" ht="12.75" hidden="false" customHeight="false" outlineLevel="0" collapsed="false">
      <c r="A850" s="61"/>
      <c r="B850" s="61"/>
      <c r="C850" s="56"/>
      <c r="D850" s="55"/>
      <c r="E850" s="57"/>
      <c r="F850" s="56"/>
      <c r="G850" s="58"/>
      <c r="H850" s="55"/>
      <c r="I850" s="55"/>
      <c r="J850" s="55"/>
      <c r="K850" s="59"/>
      <c r="L850" s="60"/>
      <c r="M850" s="60"/>
      <c r="N850" s="61"/>
    </row>
    <row r="851" customFormat="false" ht="12.75" hidden="false" customHeight="false" outlineLevel="0" collapsed="false">
      <c r="A851" s="61"/>
      <c r="B851" s="61"/>
      <c r="C851" s="56"/>
      <c r="D851" s="55"/>
      <c r="E851" s="57"/>
      <c r="F851" s="56"/>
      <c r="G851" s="58"/>
      <c r="H851" s="55"/>
      <c r="I851" s="55"/>
      <c r="J851" s="55"/>
      <c r="K851" s="59"/>
      <c r="L851" s="60"/>
      <c r="M851" s="60"/>
      <c r="N851" s="61"/>
    </row>
    <row r="852" customFormat="false" ht="12.75" hidden="false" customHeight="false" outlineLevel="0" collapsed="false">
      <c r="A852" s="61"/>
      <c r="B852" s="61"/>
      <c r="C852" s="56"/>
      <c r="D852" s="55"/>
      <c r="E852" s="57"/>
      <c r="F852" s="56"/>
      <c r="G852" s="58"/>
      <c r="H852" s="55"/>
      <c r="I852" s="55"/>
      <c r="J852" s="55"/>
      <c r="K852" s="59"/>
      <c r="L852" s="60"/>
      <c r="M852" s="60"/>
      <c r="N852" s="61"/>
    </row>
    <row r="853" customFormat="false" ht="12.75" hidden="false" customHeight="false" outlineLevel="0" collapsed="false">
      <c r="A853" s="61"/>
      <c r="B853" s="61"/>
      <c r="C853" s="56"/>
      <c r="D853" s="55"/>
      <c r="E853" s="57"/>
      <c r="F853" s="56"/>
      <c r="G853" s="58"/>
      <c r="H853" s="55"/>
      <c r="I853" s="55"/>
      <c r="J853" s="55"/>
      <c r="K853" s="59"/>
      <c r="L853" s="60"/>
      <c r="M853" s="60"/>
      <c r="N853" s="61"/>
    </row>
    <row r="854" customFormat="false" ht="12.75" hidden="false" customHeight="false" outlineLevel="0" collapsed="false">
      <c r="A854" s="61"/>
      <c r="B854" s="61"/>
      <c r="C854" s="56"/>
      <c r="D854" s="55"/>
      <c r="E854" s="57"/>
      <c r="F854" s="56"/>
      <c r="G854" s="58"/>
      <c r="H854" s="55"/>
      <c r="I854" s="55"/>
      <c r="J854" s="55"/>
      <c r="K854" s="59"/>
      <c r="L854" s="60"/>
      <c r="M854" s="60"/>
      <c r="N854" s="61"/>
    </row>
    <row r="855" customFormat="false" ht="12.75" hidden="false" customHeight="false" outlineLevel="0" collapsed="false">
      <c r="A855" s="61"/>
      <c r="B855" s="61"/>
      <c r="C855" s="56"/>
      <c r="D855" s="55"/>
      <c r="E855" s="57"/>
      <c r="F855" s="56"/>
      <c r="G855" s="58"/>
      <c r="H855" s="55"/>
      <c r="I855" s="55"/>
      <c r="J855" s="55"/>
      <c r="K855" s="59"/>
      <c r="L855" s="60"/>
      <c r="M855" s="60"/>
      <c r="N855" s="61"/>
    </row>
    <row r="856" customFormat="false" ht="12.75" hidden="false" customHeight="false" outlineLevel="0" collapsed="false">
      <c r="A856" s="61"/>
      <c r="B856" s="61"/>
      <c r="C856" s="56"/>
      <c r="D856" s="55"/>
      <c r="E856" s="57"/>
      <c r="F856" s="56"/>
      <c r="G856" s="58"/>
      <c r="H856" s="55"/>
      <c r="I856" s="55"/>
      <c r="J856" s="55"/>
      <c r="K856" s="59"/>
      <c r="L856" s="60"/>
      <c r="M856" s="60"/>
      <c r="N856" s="61"/>
    </row>
    <row r="857" customFormat="false" ht="12.75" hidden="false" customHeight="false" outlineLevel="0" collapsed="false">
      <c r="A857" s="61"/>
      <c r="B857" s="61"/>
      <c r="C857" s="56"/>
      <c r="D857" s="55"/>
      <c r="E857" s="57"/>
      <c r="F857" s="56"/>
      <c r="G857" s="58"/>
      <c r="H857" s="55"/>
      <c r="I857" s="55"/>
      <c r="J857" s="55"/>
      <c r="K857" s="59"/>
      <c r="L857" s="60"/>
      <c r="M857" s="60"/>
      <c r="N857" s="61"/>
    </row>
    <row r="858" customFormat="false" ht="12.75" hidden="false" customHeight="false" outlineLevel="0" collapsed="false">
      <c r="A858" s="61"/>
      <c r="B858" s="61"/>
      <c r="C858" s="56"/>
      <c r="D858" s="55"/>
      <c r="E858" s="57"/>
      <c r="F858" s="56"/>
      <c r="G858" s="58"/>
      <c r="H858" s="55"/>
      <c r="I858" s="55"/>
      <c r="J858" s="55"/>
      <c r="K858" s="59"/>
      <c r="L858" s="60"/>
      <c r="M858" s="60"/>
      <c r="N858" s="61"/>
    </row>
    <row r="859" customFormat="false" ht="12.75" hidden="false" customHeight="false" outlineLevel="0" collapsed="false">
      <c r="A859" s="61"/>
      <c r="B859" s="61"/>
      <c r="C859" s="56"/>
      <c r="D859" s="55"/>
      <c r="E859" s="57"/>
      <c r="F859" s="56"/>
      <c r="G859" s="58"/>
      <c r="H859" s="55"/>
      <c r="I859" s="55"/>
      <c r="J859" s="55"/>
      <c r="K859" s="59"/>
      <c r="L859" s="60"/>
      <c r="M859" s="60"/>
      <c r="N859" s="61"/>
    </row>
    <row r="860" customFormat="false" ht="12.75" hidden="false" customHeight="false" outlineLevel="0" collapsed="false">
      <c r="A860" s="61"/>
      <c r="B860" s="61"/>
      <c r="C860" s="56"/>
      <c r="D860" s="55"/>
      <c r="E860" s="57"/>
      <c r="F860" s="56"/>
      <c r="G860" s="58"/>
      <c r="H860" s="55"/>
      <c r="I860" s="55"/>
      <c r="J860" s="55"/>
      <c r="K860" s="59"/>
      <c r="L860" s="60"/>
      <c r="M860" s="60"/>
      <c r="N860" s="61"/>
    </row>
    <row r="861" customFormat="false" ht="12.75" hidden="false" customHeight="false" outlineLevel="0" collapsed="false">
      <c r="A861" s="61"/>
      <c r="B861" s="61"/>
      <c r="C861" s="56"/>
      <c r="D861" s="55"/>
      <c r="E861" s="57"/>
      <c r="F861" s="56"/>
      <c r="G861" s="58"/>
      <c r="H861" s="55"/>
      <c r="I861" s="55"/>
      <c r="J861" s="55"/>
      <c r="K861" s="59"/>
      <c r="L861" s="60"/>
      <c r="M861" s="60"/>
      <c r="N861" s="61"/>
    </row>
    <row r="862" customFormat="false" ht="12.75" hidden="false" customHeight="false" outlineLevel="0" collapsed="false">
      <c r="A862" s="61"/>
      <c r="B862" s="61"/>
      <c r="C862" s="56"/>
      <c r="D862" s="55"/>
      <c r="E862" s="57"/>
      <c r="F862" s="56"/>
      <c r="G862" s="58"/>
      <c r="H862" s="55"/>
      <c r="I862" s="55"/>
      <c r="J862" s="55"/>
      <c r="K862" s="59"/>
      <c r="L862" s="60"/>
      <c r="M862" s="60"/>
      <c r="N862" s="61"/>
    </row>
    <row r="863" customFormat="false" ht="12.75" hidden="false" customHeight="false" outlineLevel="0" collapsed="false">
      <c r="A863" s="61"/>
      <c r="B863" s="61"/>
      <c r="C863" s="56"/>
      <c r="D863" s="55"/>
      <c r="E863" s="57"/>
      <c r="F863" s="56"/>
      <c r="G863" s="58"/>
      <c r="H863" s="55"/>
      <c r="I863" s="55"/>
      <c r="J863" s="55"/>
      <c r="K863" s="59"/>
      <c r="L863" s="60"/>
      <c r="M863" s="60"/>
      <c r="N863" s="61"/>
    </row>
    <row r="864" customFormat="false" ht="12.75" hidden="false" customHeight="false" outlineLevel="0" collapsed="false">
      <c r="A864" s="61"/>
      <c r="B864" s="61"/>
      <c r="C864" s="56"/>
      <c r="D864" s="55"/>
      <c r="E864" s="57"/>
      <c r="F864" s="56"/>
      <c r="G864" s="58"/>
      <c r="H864" s="55"/>
      <c r="I864" s="55"/>
      <c r="J864" s="55"/>
      <c r="K864" s="59"/>
      <c r="L864" s="60"/>
      <c r="M864" s="60"/>
      <c r="N864" s="61"/>
    </row>
    <row r="865" customFormat="false" ht="12.75" hidden="false" customHeight="false" outlineLevel="0" collapsed="false">
      <c r="A865" s="61"/>
      <c r="B865" s="61"/>
      <c r="C865" s="56"/>
      <c r="D865" s="55"/>
      <c r="E865" s="57"/>
      <c r="F865" s="56"/>
      <c r="G865" s="58"/>
      <c r="H865" s="55"/>
      <c r="I865" s="55"/>
      <c r="J865" s="55"/>
      <c r="K865" s="59"/>
      <c r="L865" s="60"/>
      <c r="M865" s="60"/>
      <c r="N865" s="61"/>
    </row>
    <row r="866" customFormat="false" ht="12.75" hidden="false" customHeight="false" outlineLevel="0" collapsed="false">
      <c r="A866" s="61"/>
      <c r="B866" s="61"/>
      <c r="C866" s="56"/>
      <c r="D866" s="55"/>
      <c r="E866" s="57"/>
      <c r="F866" s="56"/>
      <c r="G866" s="58"/>
      <c r="H866" s="55"/>
      <c r="I866" s="55"/>
      <c r="J866" s="55"/>
      <c r="K866" s="59"/>
      <c r="L866" s="60"/>
      <c r="M866" s="60"/>
      <c r="N866" s="61"/>
    </row>
    <row r="867" customFormat="false" ht="12.75" hidden="false" customHeight="false" outlineLevel="0" collapsed="false">
      <c r="A867" s="61"/>
      <c r="B867" s="61"/>
      <c r="C867" s="56"/>
      <c r="D867" s="55"/>
      <c r="E867" s="57"/>
      <c r="F867" s="56"/>
      <c r="G867" s="58"/>
      <c r="H867" s="55"/>
      <c r="I867" s="55"/>
      <c r="J867" s="55"/>
      <c r="K867" s="59"/>
      <c r="L867" s="60"/>
      <c r="M867" s="60"/>
      <c r="N867" s="61"/>
    </row>
    <row r="868" customFormat="false" ht="12.75" hidden="false" customHeight="false" outlineLevel="0" collapsed="false">
      <c r="A868" s="61"/>
      <c r="B868" s="61"/>
      <c r="C868" s="56"/>
      <c r="D868" s="55"/>
      <c r="E868" s="57"/>
      <c r="F868" s="56"/>
      <c r="G868" s="58"/>
      <c r="H868" s="55"/>
      <c r="I868" s="55"/>
      <c r="J868" s="55"/>
      <c r="K868" s="59"/>
      <c r="L868" s="60"/>
      <c r="M868" s="60"/>
      <c r="N868" s="61"/>
    </row>
    <row r="869" customFormat="false" ht="12.75" hidden="false" customHeight="false" outlineLevel="0" collapsed="false">
      <c r="A869" s="61"/>
      <c r="B869" s="61"/>
      <c r="C869" s="56"/>
      <c r="D869" s="55"/>
      <c r="E869" s="57"/>
      <c r="F869" s="56"/>
      <c r="G869" s="58"/>
      <c r="H869" s="55"/>
      <c r="I869" s="55"/>
      <c r="J869" s="55"/>
      <c r="K869" s="59"/>
      <c r="L869" s="60"/>
      <c r="M869" s="60"/>
      <c r="N869" s="61"/>
    </row>
    <row r="870" customFormat="false" ht="12.75" hidden="false" customHeight="false" outlineLevel="0" collapsed="false">
      <c r="A870" s="61"/>
      <c r="B870" s="61"/>
      <c r="C870" s="56"/>
      <c r="D870" s="55"/>
      <c r="E870" s="57"/>
      <c r="F870" s="56"/>
      <c r="G870" s="58"/>
      <c r="H870" s="55"/>
      <c r="I870" s="55"/>
      <c r="J870" s="55"/>
      <c r="K870" s="59"/>
      <c r="L870" s="60"/>
      <c r="M870" s="60"/>
      <c r="N870" s="61"/>
    </row>
    <row r="871" customFormat="false" ht="12.75" hidden="false" customHeight="false" outlineLevel="0" collapsed="false">
      <c r="A871" s="61"/>
      <c r="B871" s="61"/>
      <c r="C871" s="56"/>
      <c r="D871" s="55"/>
      <c r="E871" s="57"/>
      <c r="F871" s="56"/>
      <c r="G871" s="58"/>
      <c r="H871" s="55"/>
      <c r="I871" s="55"/>
      <c r="J871" s="55"/>
      <c r="K871" s="59"/>
      <c r="L871" s="60"/>
      <c r="M871" s="60"/>
      <c r="N871" s="61"/>
    </row>
    <row r="872" customFormat="false" ht="12.75" hidden="false" customHeight="false" outlineLevel="0" collapsed="false">
      <c r="A872" s="61"/>
      <c r="B872" s="61"/>
      <c r="C872" s="56"/>
      <c r="D872" s="55"/>
      <c r="E872" s="57"/>
      <c r="F872" s="56"/>
      <c r="G872" s="58"/>
      <c r="H872" s="55"/>
      <c r="I872" s="55"/>
      <c r="J872" s="55"/>
      <c r="K872" s="59"/>
      <c r="L872" s="60"/>
      <c r="M872" s="60"/>
      <c r="N872" s="61"/>
    </row>
    <row r="873" customFormat="false" ht="12.75" hidden="false" customHeight="false" outlineLevel="0" collapsed="false">
      <c r="A873" s="61"/>
      <c r="B873" s="61"/>
      <c r="C873" s="56"/>
      <c r="D873" s="55"/>
      <c r="E873" s="57"/>
      <c r="F873" s="56"/>
      <c r="G873" s="58"/>
      <c r="H873" s="55"/>
      <c r="I873" s="55"/>
      <c r="J873" s="55"/>
      <c r="K873" s="59"/>
      <c r="L873" s="60"/>
      <c r="M873" s="60"/>
      <c r="N873" s="61"/>
    </row>
    <row r="874" customFormat="false" ht="12.75" hidden="false" customHeight="false" outlineLevel="0" collapsed="false">
      <c r="A874" s="61"/>
      <c r="B874" s="61"/>
      <c r="C874" s="56"/>
      <c r="D874" s="55"/>
      <c r="E874" s="57"/>
      <c r="F874" s="56"/>
      <c r="G874" s="58"/>
      <c r="H874" s="55"/>
      <c r="I874" s="55"/>
      <c r="J874" s="55"/>
      <c r="K874" s="59"/>
      <c r="L874" s="60"/>
      <c r="M874" s="60"/>
      <c r="N874" s="61"/>
    </row>
    <row r="875" customFormat="false" ht="12.75" hidden="false" customHeight="false" outlineLevel="0" collapsed="false">
      <c r="A875" s="61"/>
      <c r="B875" s="61"/>
      <c r="C875" s="56"/>
      <c r="D875" s="55"/>
      <c r="E875" s="57"/>
      <c r="F875" s="56"/>
      <c r="G875" s="58"/>
      <c r="H875" s="55"/>
      <c r="I875" s="55"/>
      <c r="J875" s="55"/>
      <c r="K875" s="59"/>
      <c r="L875" s="60"/>
      <c r="M875" s="60"/>
      <c r="N875" s="61"/>
    </row>
    <row r="876" customFormat="false" ht="12.75" hidden="false" customHeight="false" outlineLevel="0" collapsed="false">
      <c r="A876" s="61"/>
      <c r="B876" s="61"/>
      <c r="C876" s="56"/>
      <c r="D876" s="55"/>
      <c r="E876" s="57"/>
      <c r="F876" s="56"/>
      <c r="G876" s="58"/>
      <c r="H876" s="55"/>
      <c r="I876" s="55"/>
      <c r="J876" s="55"/>
      <c r="K876" s="59"/>
      <c r="L876" s="60"/>
      <c r="M876" s="60"/>
      <c r="N876" s="61"/>
    </row>
    <row r="877" customFormat="false" ht="12.75" hidden="false" customHeight="false" outlineLevel="0" collapsed="false">
      <c r="A877" s="61"/>
      <c r="B877" s="61"/>
      <c r="C877" s="56"/>
      <c r="D877" s="55"/>
      <c r="E877" s="57"/>
      <c r="F877" s="56"/>
      <c r="G877" s="58"/>
      <c r="H877" s="55"/>
      <c r="I877" s="55"/>
      <c r="J877" s="55"/>
      <c r="K877" s="59"/>
      <c r="L877" s="60"/>
      <c r="M877" s="60"/>
      <c r="N877" s="61"/>
    </row>
    <row r="878" customFormat="false" ht="12.75" hidden="false" customHeight="false" outlineLevel="0" collapsed="false">
      <c r="A878" s="61"/>
      <c r="B878" s="61"/>
      <c r="C878" s="56"/>
      <c r="D878" s="55"/>
      <c r="E878" s="57"/>
      <c r="F878" s="56"/>
      <c r="G878" s="58"/>
      <c r="H878" s="55"/>
      <c r="I878" s="55"/>
      <c r="J878" s="55"/>
      <c r="K878" s="59"/>
      <c r="L878" s="60"/>
      <c r="M878" s="60"/>
      <c r="N878" s="61"/>
    </row>
    <row r="879" customFormat="false" ht="12.75" hidden="false" customHeight="false" outlineLevel="0" collapsed="false">
      <c r="A879" s="61"/>
      <c r="B879" s="61"/>
      <c r="C879" s="56"/>
      <c r="D879" s="55"/>
      <c r="E879" s="57"/>
      <c r="F879" s="56"/>
      <c r="G879" s="58"/>
      <c r="H879" s="55"/>
      <c r="I879" s="55"/>
      <c r="J879" s="55"/>
      <c r="K879" s="59"/>
      <c r="L879" s="60"/>
      <c r="M879" s="60"/>
      <c r="N879" s="61"/>
    </row>
    <row r="880" customFormat="false" ht="12.75" hidden="false" customHeight="false" outlineLevel="0" collapsed="false">
      <c r="A880" s="61"/>
      <c r="B880" s="61"/>
      <c r="C880" s="56"/>
      <c r="D880" s="55"/>
      <c r="E880" s="57"/>
      <c r="F880" s="56"/>
      <c r="G880" s="58"/>
      <c r="H880" s="55"/>
      <c r="I880" s="55"/>
      <c r="J880" s="55"/>
      <c r="K880" s="59"/>
      <c r="L880" s="60"/>
      <c r="M880" s="60"/>
      <c r="N880" s="61"/>
    </row>
    <row r="881" customFormat="false" ht="12.75" hidden="false" customHeight="false" outlineLevel="0" collapsed="false">
      <c r="A881" s="61"/>
      <c r="B881" s="61"/>
      <c r="C881" s="56"/>
      <c r="D881" s="55"/>
      <c r="E881" s="57"/>
      <c r="F881" s="56"/>
      <c r="G881" s="58"/>
      <c r="H881" s="55"/>
      <c r="I881" s="55"/>
      <c r="J881" s="55"/>
      <c r="K881" s="59"/>
      <c r="L881" s="60"/>
      <c r="M881" s="60"/>
      <c r="N881" s="61"/>
    </row>
    <row r="882" customFormat="false" ht="12.75" hidden="false" customHeight="false" outlineLevel="0" collapsed="false">
      <c r="A882" s="61"/>
      <c r="B882" s="61"/>
      <c r="C882" s="56"/>
      <c r="D882" s="55"/>
      <c r="E882" s="57"/>
      <c r="F882" s="56"/>
      <c r="G882" s="58"/>
      <c r="H882" s="55"/>
      <c r="I882" s="55"/>
      <c r="J882" s="55"/>
      <c r="K882" s="59"/>
      <c r="L882" s="60"/>
      <c r="M882" s="60"/>
      <c r="N882" s="61"/>
    </row>
    <row r="883" customFormat="false" ht="12.75" hidden="false" customHeight="false" outlineLevel="0" collapsed="false">
      <c r="A883" s="61"/>
      <c r="B883" s="61"/>
      <c r="C883" s="56"/>
      <c r="D883" s="55"/>
      <c r="E883" s="57"/>
      <c r="F883" s="56"/>
      <c r="G883" s="58"/>
      <c r="H883" s="55"/>
      <c r="I883" s="55"/>
      <c r="J883" s="55"/>
      <c r="K883" s="59"/>
      <c r="L883" s="60"/>
      <c r="M883" s="60"/>
      <c r="N883" s="61"/>
    </row>
    <row r="884" customFormat="false" ht="12.75" hidden="false" customHeight="false" outlineLevel="0" collapsed="false">
      <c r="A884" s="61"/>
      <c r="B884" s="61"/>
      <c r="C884" s="56"/>
      <c r="D884" s="55"/>
      <c r="E884" s="57"/>
      <c r="F884" s="56"/>
      <c r="G884" s="58"/>
      <c r="H884" s="55"/>
      <c r="I884" s="55"/>
      <c r="J884" s="55"/>
      <c r="K884" s="59"/>
      <c r="L884" s="60"/>
      <c r="M884" s="60"/>
      <c r="N884" s="61"/>
    </row>
    <row r="885" customFormat="false" ht="12.75" hidden="false" customHeight="false" outlineLevel="0" collapsed="false">
      <c r="A885" s="61"/>
      <c r="B885" s="61"/>
      <c r="C885" s="56"/>
      <c r="D885" s="55"/>
      <c r="E885" s="57"/>
      <c r="F885" s="56"/>
      <c r="G885" s="58"/>
      <c r="H885" s="55"/>
      <c r="I885" s="55"/>
      <c r="J885" s="55"/>
      <c r="K885" s="59"/>
      <c r="L885" s="60"/>
      <c r="M885" s="60"/>
      <c r="N885" s="61"/>
    </row>
    <row r="886" customFormat="false" ht="12.75" hidden="false" customHeight="false" outlineLevel="0" collapsed="false">
      <c r="A886" s="61"/>
      <c r="B886" s="61"/>
      <c r="C886" s="56"/>
      <c r="D886" s="55"/>
      <c r="E886" s="57"/>
      <c r="F886" s="56"/>
      <c r="G886" s="58"/>
      <c r="H886" s="55"/>
      <c r="I886" s="55"/>
      <c r="J886" s="55"/>
      <c r="K886" s="59"/>
      <c r="L886" s="60"/>
      <c r="M886" s="60"/>
      <c r="N886" s="61"/>
    </row>
    <row r="887" customFormat="false" ht="12.75" hidden="false" customHeight="false" outlineLevel="0" collapsed="false">
      <c r="A887" s="61"/>
      <c r="B887" s="61"/>
      <c r="C887" s="56"/>
      <c r="D887" s="55"/>
      <c r="E887" s="57"/>
      <c r="F887" s="56"/>
      <c r="G887" s="58"/>
      <c r="H887" s="55"/>
      <c r="I887" s="55"/>
      <c r="J887" s="55"/>
      <c r="K887" s="59"/>
      <c r="L887" s="60"/>
      <c r="M887" s="60"/>
      <c r="N887" s="61"/>
    </row>
    <row r="888" customFormat="false" ht="12.75" hidden="false" customHeight="false" outlineLevel="0" collapsed="false">
      <c r="A888" s="61"/>
      <c r="B888" s="61"/>
      <c r="C888" s="56"/>
      <c r="D888" s="55"/>
      <c r="E888" s="57"/>
      <c r="F888" s="56"/>
      <c r="G888" s="58"/>
      <c r="H888" s="55"/>
      <c r="I888" s="55"/>
      <c r="J888" s="55"/>
      <c r="K888" s="59"/>
      <c r="L888" s="60"/>
      <c r="M888" s="60"/>
      <c r="N888" s="61"/>
    </row>
    <row r="889" customFormat="false" ht="12.75" hidden="false" customHeight="false" outlineLevel="0" collapsed="false">
      <c r="A889" s="61"/>
      <c r="B889" s="61"/>
      <c r="C889" s="56"/>
      <c r="D889" s="55"/>
      <c r="E889" s="57"/>
      <c r="F889" s="56"/>
      <c r="G889" s="58"/>
      <c r="H889" s="55"/>
      <c r="I889" s="55"/>
      <c r="J889" s="55"/>
      <c r="K889" s="59"/>
      <c r="L889" s="60"/>
      <c r="M889" s="60"/>
      <c r="N889" s="61"/>
    </row>
    <row r="890" customFormat="false" ht="12.75" hidden="false" customHeight="false" outlineLevel="0" collapsed="false">
      <c r="A890" s="61"/>
      <c r="B890" s="61"/>
      <c r="C890" s="56"/>
      <c r="D890" s="55"/>
      <c r="E890" s="57"/>
      <c r="F890" s="56"/>
      <c r="G890" s="58"/>
      <c r="H890" s="55"/>
      <c r="I890" s="55"/>
      <c r="J890" s="55"/>
      <c r="K890" s="59"/>
      <c r="L890" s="60"/>
      <c r="M890" s="60"/>
      <c r="N890" s="61"/>
    </row>
    <row r="891" customFormat="false" ht="12.75" hidden="false" customHeight="false" outlineLevel="0" collapsed="false">
      <c r="A891" s="61"/>
      <c r="B891" s="61"/>
      <c r="C891" s="56"/>
      <c r="D891" s="55"/>
      <c r="E891" s="57"/>
      <c r="F891" s="56"/>
      <c r="G891" s="58"/>
      <c r="H891" s="55"/>
      <c r="I891" s="55"/>
      <c r="J891" s="55"/>
      <c r="K891" s="59"/>
      <c r="L891" s="60"/>
      <c r="M891" s="60"/>
      <c r="N891" s="61"/>
    </row>
    <row r="892" customFormat="false" ht="12.75" hidden="false" customHeight="false" outlineLevel="0" collapsed="false">
      <c r="A892" s="61"/>
      <c r="B892" s="61"/>
      <c r="C892" s="56"/>
      <c r="D892" s="55"/>
      <c r="E892" s="57"/>
      <c r="F892" s="56"/>
      <c r="G892" s="58"/>
      <c r="H892" s="55"/>
      <c r="I892" s="55"/>
      <c r="J892" s="55"/>
      <c r="K892" s="59"/>
      <c r="L892" s="60"/>
      <c r="M892" s="60"/>
      <c r="N892" s="61"/>
    </row>
    <row r="893" customFormat="false" ht="12.75" hidden="false" customHeight="false" outlineLevel="0" collapsed="false">
      <c r="A893" s="61"/>
      <c r="B893" s="61"/>
      <c r="C893" s="56"/>
      <c r="D893" s="55"/>
      <c r="E893" s="57"/>
      <c r="F893" s="56"/>
      <c r="G893" s="58"/>
      <c r="H893" s="55"/>
      <c r="I893" s="55"/>
      <c r="J893" s="55"/>
      <c r="K893" s="59"/>
      <c r="L893" s="60"/>
      <c r="M893" s="60"/>
      <c r="N893" s="61"/>
    </row>
    <row r="894" customFormat="false" ht="12.75" hidden="false" customHeight="false" outlineLevel="0" collapsed="false">
      <c r="A894" s="61"/>
      <c r="B894" s="61"/>
      <c r="C894" s="56"/>
      <c r="D894" s="55"/>
      <c r="E894" s="57"/>
      <c r="F894" s="56"/>
      <c r="G894" s="58"/>
      <c r="H894" s="55"/>
      <c r="I894" s="55"/>
      <c r="J894" s="55"/>
      <c r="K894" s="59"/>
      <c r="L894" s="60"/>
      <c r="M894" s="60"/>
      <c r="N894" s="61"/>
    </row>
    <row r="895" customFormat="false" ht="12.75" hidden="false" customHeight="false" outlineLevel="0" collapsed="false">
      <c r="A895" s="61"/>
      <c r="B895" s="61"/>
      <c r="C895" s="56"/>
      <c r="D895" s="55"/>
      <c r="E895" s="57"/>
      <c r="F895" s="56"/>
      <c r="G895" s="58"/>
      <c r="H895" s="55"/>
      <c r="I895" s="55"/>
      <c r="J895" s="55"/>
      <c r="K895" s="59"/>
      <c r="L895" s="60"/>
      <c r="M895" s="60"/>
      <c r="N895" s="61"/>
    </row>
    <row r="896" customFormat="false" ht="12.75" hidden="false" customHeight="false" outlineLevel="0" collapsed="false">
      <c r="A896" s="61"/>
      <c r="B896" s="61"/>
      <c r="C896" s="56"/>
      <c r="D896" s="55"/>
      <c r="E896" s="57"/>
      <c r="F896" s="56"/>
      <c r="G896" s="58"/>
      <c r="H896" s="55"/>
      <c r="I896" s="55"/>
      <c r="J896" s="55"/>
      <c r="K896" s="59"/>
      <c r="L896" s="60"/>
      <c r="M896" s="60"/>
      <c r="N896" s="61"/>
    </row>
    <row r="897" customFormat="false" ht="12.75" hidden="false" customHeight="false" outlineLevel="0" collapsed="false">
      <c r="A897" s="61"/>
      <c r="B897" s="61"/>
      <c r="C897" s="56"/>
      <c r="D897" s="55"/>
      <c r="E897" s="57"/>
      <c r="F897" s="56"/>
      <c r="G897" s="58"/>
      <c r="H897" s="55"/>
      <c r="I897" s="55"/>
      <c r="J897" s="55"/>
      <c r="K897" s="59"/>
      <c r="L897" s="60"/>
      <c r="M897" s="60"/>
      <c r="N897" s="61"/>
    </row>
    <row r="898" customFormat="false" ht="12.75" hidden="false" customHeight="false" outlineLevel="0" collapsed="false">
      <c r="A898" s="61"/>
      <c r="B898" s="61"/>
      <c r="C898" s="56"/>
      <c r="D898" s="55"/>
      <c r="E898" s="57"/>
      <c r="F898" s="56"/>
      <c r="G898" s="58"/>
      <c r="H898" s="55"/>
      <c r="I898" s="55"/>
      <c r="J898" s="55"/>
      <c r="K898" s="59"/>
      <c r="L898" s="60"/>
      <c r="M898" s="60"/>
      <c r="N898" s="61"/>
    </row>
    <row r="899" customFormat="false" ht="12.75" hidden="false" customHeight="false" outlineLevel="0" collapsed="false">
      <c r="A899" s="61"/>
      <c r="B899" s="61"/>
      <c r="C899" s="56"/>
      <c r="D899" s="55"/>
      <c r="E899" s="57"/>
      <c r="F899" s="56"/>
      <c r="G899" s="58"/>
      <c r="H899" s="55"/>
      <c r="I899" s="55"/>
      <c r="J899" s="55"/>
      <c r="K899" s="59"/>
      <c r="L899" s="60"/>
      <c r="M899" s="60"/>
      <c r="N899" s="61"/>
    </row>
    <row r="900" customFormat="false" ht="12.75" hidden="false" customHeight="false" outlineLevel="0" collapsed="false">
      <c r="A900" s="61"/>
      <c r="B900" s="61"/>
      <c r="C900" s="56"/>
      <c r="D900" s="55"/>
      <c r="E900" s="57"/>
      <c r="F900" s="56"/>
      <c r="G900" s="58"/>
      <c r="H900" s="55"/>
      <c r="I900" s="55"/>
      <c r="J900" s="55"/>
      <c r="K900" s="59"/>
      <c r="L900" s="60"/>
      <c r="M900" s="60"/>
      <c r="N900" s="61"/>
    </row>
    <row r="901" customFormat="false" ht="12.75" hidden="false" customHeight="false" outlineLevel="0" collapsed="false">
      <c r="A901" s="61"/>
      <c r="B901" s="61"/>
      <c r="C901" s="56"/>
      <c r="D901" s="55"/>
      <c r="E901" s="57"/>
      <c r="F901" s="56"/>
      <c r="G901" s="58"/>
      <c r="H901" s="55"/>
      <c r="I901" s="55"/>
      <c r="J901" s="55"/>
      <c r="K901" s="59"/>
      <c r="L901" s="60"/>
      <c r="M901" s="60"/>
      <c r="N901" s="61"/>
    </row>
    <row r="902" customFormat="false" ht="12.75" hidden="false" customHeight="false" outlineLevel="0" collapsed="false">
      <c r="A902" s="61"/>
      <c r="B902" s="61"/>
      <c r="C902" s="56"/>
      <c r="D902" s="55"/>
      <c r="E902" s="57"/>
      <c r="F902" s="56"/>
      <c r="G902" s="58"/>
      <c r="H902" s="55"/>
      <c r="I902" s="55"/>
      <c r="J902" s="55"/>
      <c r="K902" s="59"/>
      <c r="L902" s="60"/>
      <c r="M902" s="60"/>
      <c r="N902" s="61"/>
    </row>
    <row r="903" customFormat="false" ht="12.75" hidden="false" customHeight="false" outlineLevel="0" collapsed="false">
      <c r="A903" s="61"/>
      <c r="B903" s="61"/>
      <c r="C903" s="56"/>
      <c r="D903" s="55"/>
      <c r="E903" s="57"/>
      <c r="F903" s="56"/>
      <c r="G903" s="58"/>
      <c r="H903" s="55"/>
      <c r="I903" s="55"/>
      <c r="J903" s="55"/>
      <c r="K903" s="59"/>
      <c r="L903" s="60"/>
      <c r="M903" s="60"/>
      <c r="N903" s="61"/>
    </row>
    <row r="904" customFormat="false" ht="12.75" hidden="false" customHeight="false" outlineLevel="0" collapsed="false">
      <c r="A904" s="61"/>
      <c r="B904" s="61"/>
      <c r="C904" s="56"/>
      <c r="D904" s="55"/>
      <c r="E904" s="57"/>
      <c r="F904" s="56"/>
      <c r="G904" s="58"/>
      <c r="H904" s="55"/>
      <c r="I904" s="55"/>
      <c r="J904" s="55"/>
      <c r="K904" s="59"/>
      <c r="L904" s="60"/>
      <c r="M904" s="60"/>
      <c r="N904" s="61"/>
    </row>
    <row r="905" customFormat="false" ht="12.75" hidden="false" customHeight="false" outlineLevel="0" collapsed="false">
      <c r="A905" s="61"/>
      <c r="B905" s="61"/>
      <c r="C905" s="56"/>
      <c r="D905" s="55"/>
      <c r="E905" s="57"/>
      <c r="F905" s="56"/>
      <c r="G905" s="58"/>
      <c r="H905" s="55"/>
      <c r="I905" s="55"/>
      <c r="J905" s="55"/>
      <c r="K905" s="59"/>
      <c r="L905" s="60"/>
      <c r="M905" s="60"/>
      <c r="N905" s="61"/>
    </row>
    <row r="906" customFormat="false" ht="12.75" hidden="false" customHeight="false" outlineLevel="0" collapsed="false">
      <c r="A906" s="61"/>
      <c r="B906" s="61"/>
      <c r="C906" s="56"/>
      <c r="D906" s="55"/>
      <c r="E906" s="57"/>
      <c r="F906" s="56"/>
      <c r="G906" s="58"/>
      <c r="H906" s="55"/>
      <c r="I906" s="55"/>
      <c r="J906" s="55"/>
      <c r="K906" s="59"/>
      <c r="L906" s="60"/>
      <c r="M906" s="60"/>
      <c r="N906" s="61"/>
    </row>
    <row r="907" customFormat="false" ht="12.75" hidden="false" customHeight="false" outlineLevel="0" collapsed="false">
      <c r="A907" s="61"/>
      <c r="B907" s="61"/>
      <c r="C907" s="56"/>
      <c r="D907" s="55"/>
      <c r="E907" s="57"/>
      <c r="F907" s="56"/>
      <c r="G907" s="58"/>
      <c r="H907" s="55"/>
      <c r="I907" s="55"/>
      <c r="J907" s="55"/>
      <c r="K907" s="59"/>
      <c r="L907" s="60"/>
      <c r="M907" s="60"/>
      <c r="N907" s="61"/>
    </row>
    <row r="908" customFormat="false" ht="12.75" hidden="false" customHeight="false" outlineLevel="0" collapsed="false">
      <c r="A908" s="61"/>
      <c r="B908" s="61"/>
      <c r="C908" s="56"/>
      <c r="D908" s="55"/>
      <c r="E908" s="57"/>
      <c r="F908" s="56"/>
      <c r="G908" s="58"/>
      <c r="H908" s="55"/>
      <c r="I908" s="55"/>
      <c r="J908" s="55"/>
      <c r="K908" s="59"/>
      <c r="L908" s="60"/>
      <c r="M908" s="60"/>
      <c r="N908" s="61"/>
    </row>
    <row r="909" customFormat="false" ht="12.75" hidden="false" customHeight="false" outlineLevel="0" collapsed="false">
      <c r="A909" s="61"/>
      <c r="B909" s="61"/>
      <c r="C909" s="56"/>
      <c r="D909" s="55"/>
      <c r="E909" s="57"/>
      <c r="F909" s="56"/>
      <c r="G909" s="58"/>
      <c r="H909" s="55"/>
      <c r="I909" s="55"/>
      <c r="J909" s="55"/>
      <c r="K909" s="59"/>
      <c r="L909" s="60"/>
      <c r="M909" s="60"/>
      <c r="N909" s="61"/>
    </row>
    <row r="910" customFormat="false" ht="12.75" hidden="false" customHeight="false" outlineLevel="0" collapsed="false">
      <c r="A910" s="61"/>
      <c r="B910" s="61"/>
      <c r="C910" s="56"/>
      <c r="D910" s="55"/>
      <c r="E910" s="57"/>
      <c r="F910" s="56"/>
      <c r="G910" s="58"/>
      <c r="H910" s="55"/>
      <c r="I910" s="55"/>
      <c r="J910" s="55"/>
      <c r="K910" s="59"/>
      <c r="L910" s="60"/>
      <c r="M910" s="60"/>
      <c r="N910" s="61"/>
    </row>
    <row r="911" customFormat="false" ht="12.75" hidden="false" customHeight="false" outlineLevel="0" collapsed="false">
      <c r="A911" s="61"/>
      <c r="B911" s="61"/>
      <c r="C911" s="56"/>
      <c r="D911" s="55"/>
      <c r="E911" s="57"/>
      <c r="F911" s="56"/>
      <c r="G911" s="58"/>
      <c r="H911" s="55"/>
      <c r="I911" s="55"/>
      <c r="J911" s="55"/>
      <c r="K911" s="59"/>
      <c r="L911" s="60"/>
      <c r="M911" s="60"/>
      <c r="N911" s="61"/>
    </row>
    <row r="912" customFormat="false" ht="12.75" hidden="false" customHeight="false" outlineLevel="0" collapsed="false">
      <c r="A912" s="61"/>
      <c r="B912" s="61"/>
      <c r="C912" s="56"/>
      <c r="D912" s="55"/>
      <c r="E912" s="57"/>
      <c r="F912" s="56"/>
      <c r="G912" s="58"/>
      <c r="H912" s="55"/>
      <c r="I912" s="55"/>
      <c r="J912" s="55"/>
      <c r="K912" s="59"/>
      <c r="L912" s="60"/>
      <c r="M912" s="60"/>
      <c r="N912" s="61"/>
    </row>
    <row r="913" customFormat="false" ht="12.75" hidden="false" customHeight="false" outlineLevel="0" collapsed="false">
      <c r="A913" s="61"/>
      <c r="B913" s="61"/>
      <c r="C913" s="56"/>
      <c r="D913" s="55"/>
      <c r="E913" s="57"/>
      <c r="F913" s="56"/>
      <c r="G913" s="58"/>
      <c r="H913" s="55"/>
      <c r="I913" s="55"/>
      <c r="J913" s="55"/>
      <c r="K913" s="59"/>
      <c r="L913" s="60"/>
      <c r="M913" s="60"/>
      <c r="N913" s="61"/>
    </row>
    <row r="914" customFormat="false" ht="12.75" hidden="false" customHeight="false" outlineLevel="0" collapsed="false">
      <c r="A914" s="61"/>
      <c r="B914" s="61"/>
      <c r="C914" s="56"/>
      <c r="D914" s="55"/>
      <c r="E914" s="57"/>
      <c r="F914" s="56"/>
      <c r="G914" s="58"/>
      <c r="H914" s="55"/>
      <c r="I914" s="55"/>
      <c r="J914" s="55"/>
      <c r="K914" s="59"/>
      <c r="L914" s="60"/>
      <c r="M914" s="60"/>
      <c r="N914" s="61"/>
    </row>
    <row r="915" customFormat="false" ht="12.75" hidden="false" customHeight="false" outlineLevel="0" collapsed="false">
      <c r="A915" s="61"/>
      <c r="B915" s="61"/>
      <c r="C915" s="56"/>
      <c r="D915" s="55"/>
      <c r="E915" s="57"/>
      <c r="F915" s="56"/>
      <c r="G915" s="58"/>
      <c r="H915" s="55"/>
      <c r="I915" s="55"/>
      <c r="J915" s="55"/>
      <c r="K915" s="59"/>
      <c r="L915" s="60"/>
      <c r="M915" s="60"/>
      <c r="N915" s="61"/>
    </row>
    <row r="916" customFormat="false" ht="12.75" hidden="false" customHeight="false" outlineLevel="0" collapsed="false">
      <c r="A916" s="61"/>
      <c r="B916" s="61"/>
      <c r="C916" s="56"/>
      <c r="D916" s="55"/>
      <c r="E916" s="57"/>
      <c r="F916" s="56"/>
      <c r="G916" s="58"/>
      <c r="H916" s="55"/>
      <c r="I916" s="55"/>
      <c r="J916" s="55"/>
      <c r="K916" s="59"/>
      <c r="L916" s="60"/>
      <c r="M916" s="60"/>
      <c r="N916" s="61"/>
    </row>
    <row r="917" customFormat="false" ht="12.75" hidden="false" customHeight="false" outlineLevel="0" collapsed="false">
      <c r="A917" s="61"/>
      <c r="B917" s="61"/>
      <c r="C917" s="56"/>
      <c r="D917" s="55"/>
      <c r="E917" s="57"/>
      <c r="F917" s="56"/>
      <c r="G917" s="58"/>
      <c r="H917" s="55"/>
      <c r="I917" s="55"/>
      <c r="J917" s="55"/>
      <c r="K917" s="59"/>
      <c r="L917" s="60"/>
      <c r="M917" s="60"/>
      <c r="N917" s="61"/>
    </row>
    <row r="918" customFormat="false" ht="12.75" hidden="false" customHeight="false" outlineLevel="0" collapsed="false">
      <c r="A918" s="61"/>
      <c r="B918" s="61"/>
      <c r="C918" s="56"/>
      <c r="D918" s="55"/>
      <c r="E918" s="57"/>
      <c r="F918" s="56"/>
      <c r="G918" s="58"/>
      <c r="H918" s="55"/>
      <c r="I918" s="55"/>
      <c r="J918" s="55"/>
      <c r="K918" s="59"/>
      <c r="L918" s="60"/>
      <c r="M918" s="60"/>
      <c r="N918" s="61"/>
    </row>
    <row r="919" customFormat="false" ht="12.75" hidden="false" customHeight="false" outlineLevel="0" collapsed="false">
      <c r="A919" s="61"/>
      <c r="B919" s="61"/>
      <c r="C919" s="56"/>
      <c r="D919" s="55"/>
      <c r="E919" s="57"/>
      <c r="F919" s="56"/>
      <c r="G919" s="58"/>
      <c r="H919" s="55"/>
      <c r="I919" s="55"/>
      <c r="J919" s="55"/>
      <c r="K919" s="59"/>
      <c r="L919" s="60"/>
      <c r="M919" s="60"/>
      <c r="N919" s="61"/>
    </row>
    <row r="920" customFormat="false" ht="12.75" hidden="false" customHeight="false" outlineLevel="0" collapsed="false">
      <c r="A920" s="61"/>
      <c r="B920" s="61"/>
      <c r="C920" s="56"/>
      <c r="D920" s="55"/>
      <c r="E920" s="57"/>
      <c r="F920" s="56"/>
      <c r="G920" s="58"/>
      <c r="H920" s="55"/>
      <c r="I920" s="55"/>
      <c r="J920" s="55"/>
      <c r="K920" s="59"/>
      <c r="L920" s="60"/>
      <c r="M920" s="60"/>
      <c r="N920" s="61"/>
    </row>
    <row r="921" customFormat="false" ht="12.75" hidden="false" customHeight="false" outlineLevel="0" collapsed="false">
      <c r="A921" s="61"/>
      <c r="B921" s="61"/>
      <c r="C921" s="56"/>
      <c r="D921" s="55"/>
      <c r="E921" s="57"/>
      <c r="F921" s="56"/>
      <c r="G921" s="58"/>
      <c r="H921" s="55"/>
      <c r="I921" s="55"/>
      <c r="J921" s="55"/>
      <c r="K921" s="59"/>
      <c r="L921" s="60"/>
      <c r="M921" s="60"/>
      <c r="N921" s="61"/>
    </row>
    <row r="922" customFormat="false" ht="12.75" hidden="false" customHeight="false" outlineLevel="0" collapsed="false">
      <c r="A922" s="61"/>
      <c r="B922" s="61"/>
      <c r="C922" s="56"/>
      <c r="D922" s="55"/>
      <c r="E922" s="57"/>
      <c r="F922" s="56"/>
      <c r="G922" s="58"/>
      <c r="H922" s="55"/>
      <c r="I922" s="55"/>
      <c r="J922" s="55"/>
      <c r="K922" s="59"/>
      <c r="L922" s="60"/>
      <c r="M922" s="60"/>
      <c r="N922" s="61"/>
    </row>
    <row r="923" customFormat="false" ht="12.75" hidden="false" customHeight="false" outlineLevel="0" collapsed="false">
      <c r="A923" s="61"/>
      <c r="B923" s="61"/>
      <c r="C923" s="56"/>
      <c r="D923" s="55"/>
      <c r="E923" s="57"/>
      <c r="F923" s="56"/>
      <c r="G923" s="58"/>
      <c r="H923" s="55"/>
      <c r="I923" s="55"/>
      <c r="J923" s="55"/>
      <c r="K923" s="59"/>
      <c r="L923" s="60"/>
      <c r="M923" s="60"/>
      <c r="N923" s="61"/>
    </row>
    <row r="924" customFormat="false" ht="12.75" hidden="false" customHeight="false" outlineLevel="0" collapsed="false">
      <c r="A924" s="61"/>
      <c r="B924" s="61"/>
      <c r="C924" s="56"/>
      <c r="D924" s="55"/>
      <c r="E924" s="57"/>
      <c r="F924" s="56"/>
      <c r="G924" s="58"/>
      <c r="H924" s="55"/>
      <c r="I924" s="55"/>
      <c r="J924" s="55"/>
      <c r="K924" s="59"/>
      <c r="L924" s="60"/>
      <c r="M924" s="60"/>
      <c r="N924" s="61"/>
    </row>
    <row r="925" customFormat="false" ht="12.75" hidden="false" customHeight="false" outlineLevel="0" collapsed="false">
      <c r="A925" s="61"/>
      <c r="B925" s="61"/>
      <c r="C925" s="56"/>
      <c r="D925" s="55"/>
      <c r="E925" s="57"/>
      <c r="F925" s="56"/>
      <c r="G925" s="58"/>
      <c r="H925" s="55"/>
      <c r="I925" s="55"/>
      <c r="J925" s="55"/>
      <c r="K925" s="59"/>
      <c r="L925" s="60"/>
      <c r="M925" s="60"/>
      <c r="N925" s="61"/>
    </row>
    <row r="926" customFormat="false" ht="12.75" hidden="false" customHeight="false" outlineLevel="0" collapsed="false">
      <c r="A926" s="61"/>
      <c r="B926" s="61"/>
      <c r="C926" s="56"/>
      <c r="D926" s="55"/>
      <c r="E926" s="57"/>
      <c r="F926" s="56"/>
      <c r="G926" s="58"/>
      <c r="H926" s="55"/>
      <c r="I926" s="55"/>
      <c r="J926" s="55"/>
      <c r="K926" s="59"/>
      <c r="L926" s="60"/>
      <c r="M926" s="60"/>
      <c r="N926" s="61"/>
    </row>
    <row r="927" customFormat="false" ht="12.75" hidden="false" customHeight="false" outlineLevel="0" collapsed="false">
      <c r="A927" s="61"/>
      <c r="B927" s="61"/>
      <c r="C927" s="56"/>
      <c r="D927" s="55"/>
      <c r="E927" s="57"/>
      <c r="F927" s="56"/>
      <c r="G927" s="58"/>
      <c r="H927" s="55"/>
      <c r="I927" s="55"/>
      <c r="J927" s="55"/>
      <c r="K927" s="59"/>
      <c r="L927" s="60"/>
      <c r="M927" s="60"/>
      <c r="N927" s="61"/>
    </row>
    <row r="928" customFormat="false" ht="12.75" hidden="false" customHeight="false" outlineLevel="0" collapsed="false">
      <c r="A928" s="61"/>
      <c r="B928" s="61"/>
      <c r="C928" s="56"/>
      <c r="D928" s="55"/>
      <c r="E928" s="57"/>
      <c r="F928" s="56"/>
      <c r="G928" s="58"/>
      <c r="H928" s="55"/>
      <c r="I928" s="55"/>
      <c r="J928" s="55"/>
      <c r="K928" s="59"/>
      <c r="L928" s="60"/>
      <c r="M928" s="60"/>
      <c r="N928" s="61"/>
    </row>
    <row r="929" customFormat="false" ht="12.75" hidden="false" customHeight="false" outlineLevel="0" collapsed="false">
      <c r="A929" s="61"/>
      <c r="B929" s="61"/>
      <c r="C929" s="56"/>
      <c r="D929" s="55"/>
      <c r="E929" s="57"/>
      <c r="F929" s="56"/>
      <c r="G929" s="58"/>
      <c r="H929" s="55"/>
      <c r="I929" s="55"/>
      <c r="J929" s="55"/>
      <c r="K929" s="59"/>
      <c r="L929" s="60"/>
      <c r="M929" s="60"/>
      <c r="N929" s="61"/>
    </row>
    <row r="930" customFormat="false" ht="12.75" hidden="false" customHeight="false" outlineLevel="0" collapsed="false">
      <c r="A930" s="61"/>
      <c r="B930" s="61"/>
      <c r="C930" s="56"/>
      <c r="D930" s="55"/>
      <c r="E930" s="57"/>
      <c r="F930" s="56"/>
      <c r="G930" s="58"/>
      <c r="H930" s="55"/>
      <c r="I930" s="55"/>
      <c r="J930" s="55"/>
      <c r="K930" s="59"/>
      <c r="L930" s="60"/>
      <c r="M930" s="60"/>
      <c r="N930" s="61"/>
    </row>
    <row r="931" customFormat="false" ht="12.75" hidden="false" customHeight="false" outlineLevel="0" collapsed="false">
      <c r="A931" s="61"/>
      <c r="B931" s="61"/>
      <c r="C931" s="56"/>
      <c r="D931" s="55"/>
      <c r="E931" s="57"/>
      <c r="F931" s="56"/>
      <c r="G931" s="58"/>
      <c r="H931" s="55"/>
      <c r="I931" s="55"/>
      <c r="J931" s="55"/>
      <c r="K931" s="59"/>
      <c r="L931" s="60"/>
      <c r="M931" s="60"/>
      <c r="N931" s="61"/>
    </row>
    <row r="932" customFormat="false" ht="12.75" hidden="false" customHeight="false" outlineLevel="0" collapsed="false">
      <c r="A932" s="61"/>
      <c r="B932" s="61"/>
      <c r="C932" s="56"/>
      <c r="D932" s="55"/>
      <c r="E932" s="57"/>
      <c r="F932" s="56"/>
      <c r="G932" s="58"/>
      <c r="H932" s="55"/>
      <c r="I932" s="55"/>
      <c r="J932" s="55"/>
      <c r="K932" s="59"/>
      <c r="L932" s="60"/>
      <c r="M932" s="60"/>
      <c r="N932" s="61"/>
    </row>
    <row r="933" customFormat="false" ht="12.75" hidden="false" customHeight="false" outlineLevel="0" collapsed="false">
      <c r="A933" s="61"/>
      <c r="B933" s="61"/>
      <c r="C933" s="56"/>
      <c r="D933" s="55"/>
      <c r="E933" s="57"/>
      <c r="F933" s="56"/>
      <c r="G933" s="58"/>
      <c r="H933" s="55"/>
      <c r="I933" s="55"/>
      <c r="J933" s="55"/>
      <c r="K933" s="59"/>
      <c r="L933" s="60"/>
      <c r="M933" s="60"/>
      <c r="N933" s="61"/>
    </row>
    <row r="934" customFormat="false" ht="12.75" hidden="false" customHeight="false" outlineLevel="0" collapsed="false">
      <c r="A934" s="61"/>
      <c r="B934" s="61"/>
      <c r="C934" s="56"/>
      <c r="D934" s="55"/>
      <c r="E934" s="57"/>
      <c r="F934" s="56"/>
      <c r="G934" s="58"/>
      <c r="H934" s="55"/>
      <c r="I934" s="55"/>
      <c r="J934" s="55"/>
      <c r="K934" s="59"/>
      <c r="L934" s="60"/>
      <c r="M934" s="60"/>
      <c r="N934" s="61"/>
    </row>
    <row r="935" customFormat="false" ht="12.75" hidden="false" customHeight="false" outlineLevel="0" collapsed="false">
      <c r="A935" s="61"/>
      <c r="B935" s="61"/>
      <c r="C935" s="56"/>
      <c r="D935" s="55"/>
      <c r="E935" s="57"/>
      <c r="F935" s="56"/>
      <c r="G935" s="58"/>
      <c r="H935" s="55"/>
      <c r="I935" s="55"/>
      <c r="J935" s="55"/>
      <c r="K935" s="59"/>
      <c r="L935" s="60"/>
      <c r="M935" s="60"/>
      <c r="N935" s="61"/>
    </row>
    <row r="936" customFormat="false" ht="12.75" hidden="false" customHeight="false" outlineLevel="0" collapsed="false">
      <c r="A936" s="61"/>
      <c r="B936" s="61"/>
      <c r="C936" s="56"/>
      <c r="D936" s="55"/>
      <c r="E936" s="57"/>
      <c r="F936" s="56"/>
      <c r="G936" s="58"/>
      <c r="H936" s="55"/>
      <c r="I936" s="55"/>
      <c r="J936" s="55"/>
      <c r="K936" s="59"/>
      <c r="L936" s="60"/>
      <c r="M936" s="60"/>
      <c r="N936" s="61"/>
    </row>
    <row r="937" customFormat="false" ht="12.75" hidden="false" customHeight="false" outlineLevel="0" collapsed="false">
      <c r="A937" s="61"/>
      <c r="B937" s="61"/>
      <c r="C937" s="56"/>
      <c r="D937" s="55"/>
      <c r="E937" s="57"/>
      <c r="F937" s="56"/>
      <c r="G937" s="58"/>
      <c r="H937" s="55"/>
      <c r="I937" s="55"/>
      <c r="J937" s="55"/>
      <c r="K937" s="59"/>
      <c r="L937" s="60"/>
      <c r="M937" s="60"/>
      <c r="N937" s="61"/>
    </row>
    <row r="938" customFormat="false" ht="12.75" hidden="false" customHeight="false" outlineLevel="0" collapsed="false">
      <c r="A938" s="61"/>
      <c r="B938" s="61"/>
      <c r="C938" s="56"/>
      <c r="D938" s="55"/>
      <c r="E938" s="57"/>
      <c r="F938" s="56"/>
      <c r="G938" s="58"/>
      <c r="H938" s="55"/>
      <c r="I938" s="55"/>
      <c r="J938" s="55"/>
      <c r="K938" s="59"/>
      <c r="L938" s="60"/>
      <c r="M938" s="60"/>
      <c r="N938" s="61"/>
    </row>
    <row r="939" customFormat="false" ht="12.75" hidden="false" customHeight="false" outlineLevel="0" collapsed="false">
      <c r="A939" s="61"/>
      <c r="B939" s="61"/>
      <c r="C939" s="56"/>
      <c r="D939" s="55"/>
      <c r="E939" s="57"/>
      <c r="F939" s="56"/>
      <c r="G939" s="58"/>
      <c r="H939" s="55"/>
      <c r="I939" s="55"/>
      <c r="J939" s="55"/>
      <c r="K939" s="59"/>
      <c r="L939" s="60"/>
      <c r="M939" s="60"/>
      <c r="N939" s="61"/>
    </row>
    <row r="940" customFormat="false" ht="12.75" hidden="false" customHeight="false" outlineLevel="0" collapsed="false">
      <c r="A940" s="61"/>
      <c r="B940" s="61"/>
      <c r="C940" s="56"/>
      <c r="D940" s="55"/>
      <c r="E940" s="57"/>
      <c r="F940" s="56"/>
      <c r="G940" s="58"/>
      <c r="H940" s="55"/>
      <c r="I940" s="55"/>
      <c r="J940" s="55"/>
      <c r="K940" s="59"/>
      <c r="L940" s="60"/>
      <c r="M940" s="60"/>
      <c r="N940" s="61"/>
    </row>
    <row r="941" customFormat="false" ht="12.75" hidden="false" customHeight="false" outlineLevel="0" collapsed="false">
      <c r="A941" s="61"/>
      <c r="B941" s="61"/>
      <c r="C941" s="56"/>
      <c r="D941" s="55"/>
      <c r="E941" s="57"/>
      <c r="F941" s="56"/>
      <c r="G941" s="58"/>
      <c r="H941" s="55"/>
      <c r="I941" s="55"/>
      <c r="J941" s="55"/>
      <c r="K941" s="59"/>
      <c r="L941" s="60"/>
      <c r="M941" s="60"/>
      <c r="N941" s="61"/>
    </row>
    <row r="942" customFormat="false" ht="12.75" hidden="false" customHeight="false" outlineLevel="0" collapsed="false">
      <c r="A942" s="61"/>
      <c r="B942" s="61"/>
      <c r="C942" s="56"/>
      <c r="D942" s="55"/>
      <c r="E942" s="57"/>
      <c r="F942" s="56"/>
      <c r="G942" s="58"/>
      <c r="H942" s="55"/>
      <c r="I942" s="55"/>
      <c r="J942" s="55"/>
      <c r="K942" s="59"/>
      <c r="L942" s="60"/>
      <c r="M942" s="60"/>
      <c r="N942" s="61"/>
    </row>
    <row r="943" customFormat="false" ht="12.75" hidden="false" customHeight="false" outlineLevel="0" collapsed="false">
      <c r="A943" s="61"/>
      <c r="B943" s="61"/>
      <c r="C943" s="56"/>
      <c r="D943" s="55"/>
      <c r="E943" s="57"/>
      <c r="F943" s="56"/>
      <c r="G943" s="58"/>
      <c r="H943" s="55"/>
      <c r="I943" s="55"/>
      <c r="J943" s="55"/>
      <c r="K943" s="59"/>
      <c r="L943" s="60"/>
      <c r="M943" s="60"/>
      <c r="N943" s="61"/>
    </row>
    <row r="944" customFormat="false" ht="12.75" hidden="false" customHeight="false" outlineLevel="0" collapsed="false">
      <c r="A944" s="61"/>
      <c r="B944" s="61"/>
      <c r="C944" s="56"/>
      <c r="D944" s="55"/>
      <c r="E944" s="57"/>
      <c r="F944" s="56"/>
      <c r="G944" s="58"/>
      <c r="H944" s="55"/>
      <c r="I944" s="55"/>
      <c r="J944" s="55"/>
      <c r="K944" s="59"/>
      <c r="L944" s="60"/>
      <c r="M944" s="60"/>
      <c r="N944" s="61"/>
    </row>
    <row r="945" customFormat="false" ht="12.75" hidden="false" customHeight="false" outlineLevel="0" collapsed="false">
      <c r="A945" s="61"/>
      <c r="B945" s="61"/>
      <c r="C945" s="56"/>
      <c r="D945" s="55"/>
      <c r="E945" s="57"/>
      <c r="F945" s="56"/>
      <c r="G945" s="58"/>
      <c r="H945" s="55"/>
      <c r="I945" s="55"/>
      <c r="J945" s="55"/>
      <c r="K945" s="59"/>
      <c r="L945" s="60"/>
      <c r="M945" s="60"/>
      <c r="N945" s="61"/>
    </row>
    <row r="946" customFormat="false" ht="12.75" hidden="false" customHeight="false" outlineLevel="0" collapsed="false">
      <c r="A946" s="61"/>
      <c r="B946" s="61"/>
      <c r="C946" s="56"/>
      <c r="D946" s="55"/>
      <c r="E946" s="57"/>
      <c r="F946" s="56"/>
      <c r="G946" s="58"/>
      <c r="H946" s="55"/>
      <c r="I946" s="55"/>
      <c r="J946" s="55"/>
      <c r="K946" s="59"/>
      <c r="L946" s="60"/>
      <c r="M946" s="60"/>
      <c r="N946" s="61"/>
    </row>
    <row r="947" customFormat="false" ht="12.75" hidden="false" customHeight="false" outlineLevel="0" collapsed="false">
      <c r="A947" s="61"/>
      <c r="B947" s="61"/>
      <c r="C947" s="56"/>
      <c r="D947" s="55"/>
      <c r="E947" s="57"/>
      <c r="F947" s="56"/>
      <c r="G947" s="58"/>
      <c r="H947" s="55"/>
      <c r="I947" s="55"/>
      <c r="J947" s="55"/>
      <c r="K947" s="59"/>
      <c r="L947" s="60"/>
      <c r="M947" s="60"/>
      <c r="N947" s="61"/>
    </row>
    <row r="948" customFormat="false" ht="12.75" hidden="false" customHeight="false" outlineLevel="0" collapsed="false">
      <c r="A948" s="61"/>
      <c r="B948" s="61"/>
      <c r="C948" s="56"/>
      <c r="D948" s="55"/>
      <c r="E948" s="57"/>
      <c r="F948" s="56"/>
      <c r="G948" s="58"/>
      <c r="H948" s="55"/>
      <c r="I948" s="55"/>
      <c r="J948" s="55"/>
      <c r="K948" s="59"/>
      <c r="L948" s="60"/>
      <c r="M948" s="60"/>
      <c r="N948" s="61"/>
    </row>
    <row r="949" customFormat="false" ht="12.75" hidden="false" customHeight="false" outlineLevel="0" collapsed="false">
      <c r="A949" s="61"/>
      <c r="B949" s="61"/>
      <c r="C949" s="56"/>
      <c r="D949" s="55"/>
      <c r="E949" s="57"/>
      <c r="F949" s="56"/>
      <c r="G949" s="58"/>
      <c r="H949" s="55"/>
      <c r="I949" s="55"/>
      <c r="J949" s="55"/>
      <c r="K949" s="59"/>
      <c r="L949" s="60"/>
      <c r="M949" s="60"/>
      <c r="N949" s="61"/>
    </row>
    <row r="950" customFormat="false" ht="12.75" hidden="false" customHeight="false" outlineLevel="0" collapsed="false">
      <c r="A950" s="61"/>
      <c r="B950" s="61"/>
      <c r="C950" s="56"/>
      <c r="D950" s="55"/>
      <c r="E950" s="57"/>
      <c r="F950" s="56"/>
      <c r="G950" s="58"/>
      <c r="H950" s="55"/>
      <c r="I950" s="55"/>
      <c r="J950" s="55"/>
      <c r="K950" s="59"/>
      <c r="L950" s="60"/>
      <c r="M950" s="60"/>
      <c r="N950" s="61"/>
    </row>
    <row r="951" customFormat="false" ht="12.75" hidden="false" customHeight="false" outlineLevel="0" collapsed="false">
      <c r="A951" s="61"/>
      <c r="B951" s="61"/>
      <c r="C951" s="56"/>
      <c r="D951" s="55"/>
      <c r="E951" s="57"/>
      <c r="F951" s="56"/>
      <c r="G951" s="58"/>
      <c r="H951" s="55"/>
      <c r="I951" s="55"/>
      <c r="J951" s="55"/>
      <c r="K951" s="59"/>
      <c r="L951" s="60"/>
      <c r="M951" s="60"/>
      <c r="N951" s="61"/>
    </row>
    <row r="952" customFormat="false" ht="12.75" hidden="false" customHeight="false" outlineLevel="0" collapsed="false">
      <c r="A952" s="61"/>
      <c r="B952" s="61"/>
      <c r="C952" s="56"/>
      <c r="D952" s="55"/>
      <c r="E952" s="57"/>
      <c r="F952" s="56"/>
      <c r="G952" s="58"/>
      <c r="H952" s="55"/>
      <c r="I952" s="55"/>
      <c r="J952" s="55"/>
      <c r="K952" s="59"/>
      <c r="L952" s="60"/>
      <c r="M952" s="60"/>
      <c r="N952" s="61"/>
    </row>
    <row r="953" customFormat="false" ht="12.75" hidden="false" customHeight="false" outlineLevel="0" collapsed="false">
      <c r="A953" s="61"/>
      <c r="B953" s="61"/>
      <c r="C953" s="56"/>
      <c r="D953" s="55"/>
      <c r="E953" s="57"/>
      <c r="F953" s="56"/>
      <c r="G953" s="58"/>
      <c r="H953" s="55"/>
      <c r="I953" s="55"/>
      <c r="J953" s="55"/>
      <c r="K953" s="59"/>
      <c r="L953" s="60"/>
      <c r="M953" s="60"/>
      <c r="N953" s="61"/>
    </row>
    <row r="954" customFormat="false" ht="12.75" hidden="false" customHeight="false" outlineLevel="0" collapsed="false">
      <c r="A954" s="61"/>
      <c r="B954" s="61"/>
      <c r="C954" s="56"/>
      <c r="D954" s="55"/>
      <c r="E954" s="57"/>
      <c r="F954" s="56"/>
      <c r="G954" s="58"/>
      <c r="H954" s="55"/>
      <c r="I954" s="55"/>
      <c r="J954" s="55"/>
      <c r="K954" s="59"/>
      <c r="L954" s="60"/>
      <c r="M954" s="60"/>
      <c r="N954" s="61"/>
    </row>
    <row r="955" customFormat="false" ht="12.75" hidden="false" customHeight="false" outlineLevel="0" collapsed="false">
      <c r="A955" s="61"/>
      <c r="B955" s="61"/>
      <c r="C955" s="56"/>
      <c r="D955" s="55"/>
      <c r="E955" s="57"/>
      <c r="F955" s="56"/>
      <c r="G955" s="58"/>
      <c r="H955" s="55"/>
      <c r="I955" s="55"/>
      <c r="J955" s="55"/>
      <c r="K955" s="59"/>
      <c r="L955" s="60"/>
      <c r="M955" s="60"/>
      <c r="N955" s="61"/>
    </row>
    <row r="956" customFormat="false" ht="12.75" hidden="false" customHeight="false" outlineLevel="0" collapsed="false">
      <c r="A956" s="61"/>
      <c r="B956" s="61"/>
      <c r="C956" s="56"/>
      <c r="D956" s="55"/>
      <c r="E956" s="57"/>
      <c r="F956" s="56"/>
      <c r="G956" s="58"/>
      <c r="H956" s="55"/>
      <c r="I956" s="55"/>
      <c r="J956" s="55"/>
      <c r="K956" s="59"/>
      <c r="L956" s="60"/>
      <c r="M956" s="60"/>
      <c r="N956" s="61"/>
    </row>
    <row r="957" customFormat="false" ht="12.75" hidden="false" customHeight="false" outlineLevel="0" collapsed="false">
      <c r="A957" s="61"/>
      <c r="B957" s="61"/>
      <c r="C957" s="56"/>
      <c r="D957" s="55"/>
      <c r="E957" s="57"/>
      <c r="F957" s="56"/>
      <c r="G957" s="58"/>
      <c r="H957" s="55"/>
      <c r="I957" s="55"/>
      <c r="J957" s="55"/>
      <c r="K957" s="59"/>
      <c r="L957" s="60"/>
      <c r="M957" s="60"/>
      <c r="N957" s="61"/>
    </row>
    <row r="958" customFormat="false" ht="12.75" hidden="false" customHeight="false" outlineLevel="0" collapsed="false">
      <c r="A958" s="61"/>
      <c r="B958" s="61"/>
      <c r="C958" s="56"/>
      <c r="D958" s="55"/>
      <c r="E958" s="57"/>
      <c r="F958" s="56"/>
      <c r="G958" s="58"/>
      <c r="H958" s="55"/>
      <c r="I958" s="55"/>
      <c r="J958" s="55"/>
      <c r="K958" s="59"/>
      <c r="L958" s="60"/>
      <c r="M958" s="60"/>
      <c r="N958" s="61"/>
    </row>
    <row r="959" customFormat="false" ht="12.75" hidden="false" customHeight="false" outlineLevel="0" collapsed="false">
      <c r="A959" s="61"/>
      <c r="B959" s="61"/>
      <c r="C959" s="56"/>
      <c r="D959" s="55"/>
      <c r="E959" s="57"/>
      <c r="F959" s="56"/>
      <c r="G959" s="58"/>
      <c r="H959" s="55"/>
      <c r="I959" s="55"/>
      <c r="J959" s="55"/>
      <c r="K959" s="59"/>
      <c r="L959" s="60"/>
      <c r="M959" s="60"/>
      <c r="N959" s="61"/>
    </row>
    <row r="960" customFormat="false" ht="12.75" hidden="false" customHeight="false" outlineLevel="0" collapsed="false">
      <c r="A960" s="61"/>
      <c r="B960" s="61"/>
      <c r="C960" s="56"/>
      <c r="D960" s="55"/>
      <c r="E960" s="57"/>
      <c r="F960" s="56"/>
      <c r="G960" s="58"/>
      <c r="H960" s="55"/>
      <c r="I960" s="55"/>
      <c r="J960" s="55"/>
      <c r="K960" s="59"/>
      <c r="L960" s="60"/>
      <c r="M960" s="60"/>
      <c r="N960" s="61"/>
    </row>
    <row r="961" customFormat="false" ht="12.75" hidden="false" customHeight="false" outlineLevel="0" collapsed="false">
      <c r="A961" s="61"/>
      <c r="B961" s="61"/>
      <c r="C961" s="56"/>
      <c r="D961" s="55"/>
      <c r="E961" s="57"/>
      <c r="F961" s="56"/>
      <c r="G961" s="58"/>
      <c r="H961" s="55"/>
      <c r="I961" s="55"/>
      <c r="J961" s="55"/>
      <c r="K961" s="59"/>
      <c r="L961" s="60"/>
      <c r="M961" s="60"/>
      <c r="N961" s="61"/>
    </row>
    <row r="962" customFormat="false" ht="12.75" hidden="false" customHeight="false" outlineLevel="0" collapsed="false">
      <c r="A962" s="61"/>
      <c r="B962" s="61"/>
      <c r="C962" s="56"/>
      <c r="D962" s="55"/>
      <c r="E962" s="57"/>
      <c r="F962" s="56"/>
      <c r="G962" s="58"/>
      <c r="H962" s="55"/>
      <c r="I962" s="55"/>
      <c r="J962" s="55"/>
      <c r="K962" s="59"/>
      <c r="L962" s="60"/>
      <c r="M962" s="60"/>
      <c r="N962" s="61"/>
    </row>
    <row r="963" customFormat="false" ht="12.75" hidden="false" customHeight="false" outlineLevel="0" collapsed="false">
      <c r="A963" s="61"/>
      <c r="B963" s="61"/>
      <c r="C963" s="56"/>
      <c r="D963" s="55"/>
      <c r="E963" s="57"/>
      <c r="F963" s="56"/>
      <c r="G963" s="58"/>
      <c r="H963" s="55"/>
      <c r="I963" s="55"/>
      <c r="J963" s="55"/>
      <c r="K963" s="59"/>
      <c r="L963" s="60"/>
      <c r="M963" s="60"/>
      <c r="N963" s="61"/>
    </row>
    <row r="964" customFormat="false" ht="12.75" hidden="false" customHeight="false" outlineLevel="0" collapsed="false">
      <c r="A964" s="61"/>
      <c r="B964" s="61"/>
      <c r="C964" s="56"/>
      <c r="D964" s="55"/>
      <c r="E964" s="57"/>
      <c r="F964" s="56"/>
      <c r="G964" s="58"/>
      <c r="H964" s="55"/>
      <c r="I964" s="55"/>
      <c r="J964" s="55"/>
      <c r="K964" s="59"/>
      <c r="L964" s="60"/>
      <c r="M964" s="60"/>
      <c r="N964" s="61"/>
    </row>
    <row r="965" customFormat="false" ht="12.75" hidden="false" customHeight="false" outlineLevel="0" collapsed="false">
      <c r="A965" s="61"/>
      <c r="B965" s="61"/>
      <c r="C965" s="56"/>
      <c r="D965" s="55"/>
      <c r="E965" s="57"/>
      <c r="F965" s="56"/>
      <c r="G965" s="58"/>
      <c r="H965" s="55"/>
      <c r="I965" s="55"/>
      <c r="J965" s="55"/>
      <c r="K965" s="59"/>
      <c r="L965" s="60"/>
      <c r="M965" s="60"/>
      <c r="N965" s="61"/>
    </row>
    <row r="966" customFormat="false" ht="12.75" hidden="false" customHeight="false" outlineLevel="0" collapsed="false">
      <c r="A966" s="61"/>
      <c r="B966" s="61"/>
      <c r="C966" s="56"/>
      <c r="D966" s="55"/>
      <c r="E966" s="57"/>
      <c r="F966" s="56"/>
      <c r="G966" s="58"/>
      <c r="H966" s="55"/>
      <c r="I966" s="55"/>
      <c r="J966" s="55"/>
      <c r="K966" s="59"/>
      <c r="L966" s="60"/>
      <c r="M966" s="60"/>
      <c r="N966" s="61"/>
    </row>
    <row r="967" customFormat="false" ht="12.75" hidden="false" customHeight="false" outlineLevel="0" collapsed="false">
      <c r="A967" s="61"/>
      <c r="B967" s="61"/>
      <c r="C967" s="56"/>
      <c r="D967" s="55"/>
      <c r="E967" s="57"/>
      <c r="F967" s="56"/>
      <c r="G967" s="58"/>
      <c r="H967" s="55"/>
      <c r="I967" s="55"/>
      <c r="J967" s="55"/>
      <c r="K967" s="59"/>
      <c r="L967" s="60"/>
      <c r="M967" s="60"/>
      <c r="N967" s="61"/>
    </row>
    <row r="968" customFormat="false" ht="12.75" hidden="false" customHeight="false" outlineLevel="0" collapsed="false">
      <c r="A968" s="61"/>
      <c r="B968" s="61"/>
      <c r="C968" s="56"/>
      <c r="D968" s="55"/>
      <c r="E968" s="57"/>
      <c r="F968" s="56"/>
      <c r="G968" s="58"/>
      <c r="H968" s="55"/>
      <c r="I968" s="55"/>
      <c r="J968" s="55"/>
      <c r="K968" s="59"/>
      <c r="L968" s="60"/>
      <c r="M968" s="60"/>
      <c r="N968" s="61"/>
    </row>
    <row r="969" customFormat="false" ht="12.75" hidden="false" customHeight="false" outlineLevel="0" collapsed="false">
      <c r="A969" s="61"/>
      <c r="B969" s="61"/>
      <c r="C969" s="56"/>
      <c r="D969" s="55"/>
      <c r="E969" s="57"/>
      <c r="F969" s="56"/>
      <c r="G969" s="58"/>
      <c r="H969" s="55"/>
      <c r="I969" s="55"/>
      <c r="J969" s="55"/>
      <c r="K969" s="59"/>
      <c r="L969" s="60"/>
      <c r="M969" s="60"/>
      <c r="N969" s="61"/>
    </row>
    <row r="970" customFormat="false" ht="12.75" hidden="false" customHeight="false" outlineLevel="0" collapsed="false">
      <c r="A970" s="61"/>
      <c r="B970" s="61"/>
      <c r="C970" s="56"/>
      <c r="D970" s="55"/>
      <c r="E970" s="57"/>
      <c r="F970" s="56"/>
      <c r="G970" s="58"/>
      <c r="H970" s="55"/>
      <c r="I970" s="55"/>
      <c r="J970" s="55"/>
      <c r="K970" s="59"/>
      <c r="L970" s="60"/>
      <c r="M970" s="60"/>
      <c r="N970" s="61"/>
    </row>
    <row r="971" customFormat="false" ht="12.75" hidden="false" customHeight="false" outlineLevel="0" collapsed="false">
      <c r="A971" s="61"/>
      <c r="B971" s="61"/>
      <c r="C971" s="56"/>
      <c r="D971" s="55"/>
      <c r="E971" s="57"/>
      <c r="F971" s="56"/>
      <c r="G971" s="58"/>
      <c r="H971" s="55"/>
      <c r="I971" s="55"/>
      <c r="J971" s="55"/>
      <c r="K971" s="59"/>
      <c r="L971" s="60"/>
      <c r="M971" s="60"/>
      <c r="N971" s="61"/>
    </row>
    <row r="972" customFormat="false" ht="12.75" hidden="false" customHeight="false" outlineLevel="0" collapsed="false">
      <c r="A972" s="61"/>
      <c r="B972" s="61"/>
      <c r="C972" s="56"/>
      <c r="D972" s="55"/>
      <c r="E972" s="57"/>
      <c r="F972" s="56"/>
      <c r="G972" s="58"/>
      <c r="H972" s="55"/>
      <c r="I972" s="55"/>
      <c r="J972" s="55"/>
      <c r="K972" s="59"/>
      <c r="L972" s="60"/>
      <c r="M972" s="60"/>
      <c r="N972" s="61"/>
    </row>
    <row r="973" customFormat="false" ht="12.75" hidden="false" customHeight="false" outlineLevel="0" collapsed="false">
      <c r="A973" s="61"/>
      <c r="B973" s="61"/>
      <c r="C973" s="56"/>
      <c r="D973" s="55"/>
      <c r="E973" s="57"/>
      <c r="F973" s="56"/>
      <c r="G973" s="58"/>
      <c r="H973" s="55"/>
      <c r="I973" s="55"/>
      <c r="J973" s="55"/>
      <c r="K973" s="59"/>
      <c r="L973" s="60"/>
      <c r="M973" s="60"/>
      <c r="N973" s="61"/>
    </row>
    <row r="974" customFormat="false" ht="12.75" hidden="false" customHeight="false" outlineLevel="0" collapsed="false">
      <c r="A974" s="61"/>
      <c r="B974" s="61"/>
      <c r="C974" s="56"/>
      <c r="D974" s="55"/>
      <c r="E974" s="57"/>
      <c r="F974" s="56"/>
      <c r="G974" s="58"/>
      <c r="H974" s="55"/>
      <c r="I974" s="55"/>
      <c r="J974" s="55"/>
      <c r="K974" s="59"/>
      <c r="L974" s="60"/>
      <c r="M974" s="60"/>
      <c r="N974" s="61"/>
    </row>
    <row r="975" customFormat="false" ht="12.75" hidden="false" customHeight="false" outlineLevel="0" collapsed="false">
      <c r="A975" s="61"/>
      <c r="B975" s="61"/>
      <c r="C975" s="56"/>
      <c r="D975" s="55"/>
      <c r="E975" s="57"/>
      <c r="F975" s="56"/>
      <c r="G975" s="58"/>
      <c r="H975" s="55"/>
      <c r="I975" s="55"/>
      <c r="J975" s="55"/>
      <c r="K975" s="59"/>
      <c r="L975" s="60"/>
      <c r="M975" s="60"/>
      <c r="N975" s="61"/>
    </row>
    <row r="976" customFormat="false" ht="12.75" hidden="false" customHeight="false" outlineLevel="0" collapsed="false">
      <c r="A976" s="61"/>
      <c r="B976" s="61"/>
      <c r="C976" s="56"/>
      <c r="D976" s="55"/>
      <c r="E976" s="57"/>
      <c r="F976" s="56"/>
      <c r="G976" s="58"/>
      <c r="H976" s="55"/>
      <c r="I976" s="55"/>
      <c r="J976" s="55"/>
      <c r="K976" s="59"/>
      <c r="L976" s="60"/>
      <c r="M976" s="60"/>
      <c r="N976" s="61"/>
    </row>
    <row r="977" customFormat="false" ht="12.75" hidden="false" customHeight="false" outlineLevel="0" collapsed="false">
      <c r="A977" s="61"/>
      <c r="B977" s="61"/>
      <c r="C977" s="56"/>
      <c r="D977" s="55"/>
      <c r="E977" s="57"/>
      <c r="F977" s="56"/>
      <c r="G977" s="58"/>
      <c r="H977" s="55"/>
      <c r="I977" s="55"/>
      <c r="J977" s="55"/>
      <c r="K977" s="59"/>
      <c r="L977" s="60"/>
      <c r="M977" s="60"/>
      <c r="N977" s="61"/>
    </row>
    <row r="978" customFormat="false" ht="12.75" hidden="false" customHeight="false" outlineLevel="0" collapsed="false">
      <c r="A978" s="61"/>
      <c r="B978" s="61"/>
      <c r="C978" s="56"/>
      <c r="D978" s="55"/>
      <c r="E978" s="57"/>
      <c r="F978" s="56"/>
      <c r="G978" s="58"/>
      <c r="H978" s="55"/>
      <c r="I978" s="55"/>
      <c r="J978" s="55"/>
      <c r="K978" s="59"/>
      <c r="L978" s="60"/>
      <c r="M978" s="60"/>
      <c r="N978" s="61"/>
    </row>
    <row r="979" customFormat="false" ht="12.75" hidden="false" customHeight="false" outlineLevel="0" collapsed="false">
      <c r="A979" s="61"/>
      <c r="B979" s="61"/>
      <c r="C979" s="56"/>
      <c r="D979" s="55"/>
      <c r="E979" s="57"/>
      <c r="F979" s="56"/>
      <c r="G979" s="58"/>
      <c r="H979" s="55"/>
      <c r="I979" s="55"/>
      <c r="J979" s="55"/>
      <c r="K979" s="59"/>
      <c r="L979" s="60"/>
      <c r="M979" s="60"/>
      <c r="N979" s="61"/>
    </row>
    <row r="980" customFormat="false" ht="12.75" hidden="false" customHeight="false" outlineLevel="0" collapsed="false">
      <c r="A980" s="61"/>
      <c r="B980" s="61"/>
      <c r="C980" s="56"/>
      <c r="D980" s="55"/>
      <c r="E980" s="57"/>
      <c r="F980" s="56"/>
      <c r="G980" s="58"/>
      <c r="H980" s="55"/>
      <c r="I980" s="55"/>
      <c r="J980" s="55"/>
      <c r="K980" s="59"/>
      <c r="L980" s="60"/>
      <c r="M980" s="60"/>
      <c r="N980" s="61"/>
    </row>
    <row r="981" customFormat="false" ht="12.75" hidden="false" customHeight="false" outlineLevel="0" collapsed="false">
      <c r="A981" s="61"/>
      <c r="B981" s="61"/>
      <c r="C981" s="56"/>
      <c r="D981" s="55"/>
      <c r="E981" s="57"/>
      <c r="F981" s="56"/>
      <c r="G981" s="58"/>
      <c r="H981" s="55"/>
      <c r="I981" s="55"/>
      <c r="J981" s="55"/>
      <c r="K981" s="59"/>
      <c r="L981" s="60"/>
      <c r="M981" s="60"/>
      <c r="N981" s="61"/>
    </row>
    <row r="982" customFormat="false" ht="12.75" hidden="false" customHeight="false" outlineLevel="0" collapsed="false">
      <c r="A982" s="61"/>
      <c r="B982" s="61"/>
      <c r="C982" s="56"/>
      <c r="D982" s="55"/>
      <c r="E982" s="57"/>
      <c r="F982" s="56"/>
      <c r="G982" s="58"/>
      <c r="H982" s="55"/>
      <c r="I982" s="55"/>
      <c r="J982" s="55"/>
      <c r="K982" s="59"/>
      <c r="L982" s="60"/>
      <c r="M982" s="60"/>
      <c r="N982" s="61"/>
    </row>
    <row r="983" customFormat="false" ht="12.75" hidden="false" customHeight="false" outlineLevel="0" collapsed="false">
      <c r="A983" s="61"/>
      <c r="B983" s="61"/>
      <c r="C983" s="56"/>
      <c r="D983" s="55"/>
      <c r="E983" s="57"/>
      <c r="F983" s="56"/>
      <c r="G983" s="58"/>
      <c r="H983" s="55"/>
      <c r="I983" s="55"/>
      <c r="J983" s="55"/>
      <c r="K983" s="59"/>
      <c r="L983" s="60"/>
      <c r="M983" s="60"/>
      <c r="N983" s="61"/>
    </row>
    <row r="984" customFormat="false" ht="12.75" hidden="false" customHeight="false" outlineLevel="0" collapsed="false">
      <c r="A984" s="61"/>
      <c r="B984" s="61"/>
      <c r="C984" s="56"/>
      <c r="D984" s="55"/>
      <c r="E984" s="57"/>
      <c r="F984" s="56"/>
      <c r="G984" s="58"/>
      <c r="H984" s="55"/>
      <c r="I984" s="55"/>
      <c r="J984" s="55"/>
      <c r="K984" s="59"/>
      <c r="L984" s="60"/>
      <c r="M984" s="60"/>
      <c r="N984" s="61"/>
    </row>
    <row r="985" customFormat="false" ht="12.75" hidden="false" customHeight="false" outlineLevel="0" collapsed="false">
      <c r="A985" s="61"/>
      <c r="B985" s="61"/>
      <c r="C985" s="56"/>
      <c r="D985" s="55"/>
      <c r="E985" s="57"/>
      <c r="F985" s="56"/>
      <c r="G985" s="58"/>
      <c r="H985" s="55"/>
      <c r="I985" s="55"/>
      <c r="J985" s="55"/>
      <c r="K985" s="59"/>
      <c r="L985" s="60"/>
      <c r="M985" s="60"/>
      <c r="N985" s="61"/>
    </row>
    <row r="986" customFormat="false" ht="12.75" hidden="false" customHeight="false" outlineLevel="0" collapsed="false">
      <c r="A986" s="61"/>
      <c r="B986" s="61"/>
      <c r="C986" s="56"/>
      <c r="D986" s="55"/>
      <c r="E986" s="57"/>
      <c r="F986" s="56"/>
      <c r="G986" s="58"/>
      <c r="H986" s="55"/>
      <c r="I986" s="55"/>
      <c r="J986" s="55"/>
      <c r="K986" s="59"/>
      <c r="L986" s="60"/>
      <c r="M986" s="60"/>
      <c r="N986" s="61"/>
    </row>
    <row r="987" customFormat="false" ht="12.75" hidden="false" customHeight="false" outlineLevel="0" collapsed="false">
      <c r="A987" s="61"/>
      <c r="B987" s="61"/>
      <c r="C987" s="56"/>
      <c r="D987" s="55"/>
      <c r="E987" s="57"/>
      <c r="F987" s="56"/>
      <c r="G987" s="58"/>
      <c r="H987" s="55"/>
      <c r="I987" s="55"/>
      <c r="J987" s="55"/>
      <c r="K987" s="59"/>
      <c r="L987" s="60"/>
      <c r="M987" s="60"/>
      <c r="N987" s="61"/>
    </row>
    <row r="988" customFormat="false" ht="12.75" hidden="false" customHeight="false" outlineLevel="0" collapsed="false">
      <c r="A988" s="61"/>
      <c r="B988" s="61"/>
      <c r="C988" s="56"/>
      <c r="D988" s="55"/>
      <c r="E988" s="57"/>
      <c r="F988" s="56"/>
      <c r="G988" s="58"/>
      <c r="H988" s="55"/>
      <c r="I988" s="55"/>
      <c r="J988" s="55"/>
      <c r="K988" s="59"/>
      <c r="L988" s="60"/>
      <c r="M988" s="60"/>
      <c r="N988" s="61"/>
    </row>
    <row r="989" customFormat="false" ht="12.75" hidden="false" customHeight="false" outlineLevel="0" collapsed="false">
      <c r="A989" s="61"/>
      <c r="B989" s="61"/>
      <c r="C989" s="56"/>
      <c r="D989" s="55"/>
      <c r="E989" s="57"/>
      <c r="F989" s="56"/>
      <c r="G989" s="58"/>
      <c r="H989" s="55"/>
      <c r="I989" s="55"/>
      <c r="J989" s="55"/>
      <c r="K989" s="59"/>
      <c r="L989" s="60"/>
      <c r="M989" s="60"/>
      <c r="N989" s="61"/>
    </row>
    <row r="990" customFormat="false" ht="12.75" hidden="false" customHeight="false" outlineLevel="0" collapsed="false">
      <c r="A990" s="61"/>
      <c r="B990" s="61"/>
      <c r="C990" s="56"/>
      <c r="D990" s="55"/>
      <c r="E990" s="57"/>
      <c r="F990" s="56"/>
      <c r="G990" s="58"/>
      <c r="H990" s="55"/>
      <c r="I990" s="55"/>
      <c r="J990" s="55"/>
      <c r="K990" s="59"/>
      <c r="L990" s="60"/>
      <c r="M990" s="60"/>
      <c r="N990" s="61"/>
    </row>
    <row r="991" customFormat="false" ht="12.75" hidden="false" customHeight="false" outlineLevel="0" collapsed="false">
      <c r="A991" s="61"/>
      <c r="B991" s="61"/>
      <c r="C991" s="56"/>
      <c r="D991" s="55"/>
      <c r="E991" s="57"/>
      <c r="F991" s="56"/>
      <c r="G991" s="58"/>
      <c r="H991" s="55"/>
      <c r="I991" s="55"/>
      <c r="J991" s="55"/>
      <c r="K991" s="59"/>
      <c r="L991" s="60"/>
      <c r="M991" s="60"/>
      <c r="N991" s="61"/>
    </row>
    <row r="992" customFormat="false" ht="12.75" hidden="false" customHeight="false" outlineLevel="0" collapsed="false">
      <c r="A992" s="61"/>
      <c r="B992" s="61"/>
      <c r="C992" s="56"/>
      <c r="D992" s="55"/>
      <c r="E992" s="57"/>
      <c r="F992" s="56"/>
      <c r="G992" s="58"/>
      <c r="H992" s="55"/>
      <c r="I992" s="55"/>
      <c r="J992" s="55"/>
      <c r="K992" s="59"/>
      <c r="L992" s="60"/>
      <c r="M992" s="60"/>
      <c r="N992" s="61"/>
    </row>
    <row r="993" customFormat="false" ht="12.75" hidden="false" customHeight="false" outlineLevel="0" collapsed="false">
      <c r="A993" s="61"/>
      <c r="B993" s="61"/>
      <c r="C993" s="56"/>
      <c r="D993" s="55"/>
      <c r="E993" s="57"/>
      <c r="F993" s="56"/>
      <c r="G993" s="58"/>
      <c r="H993" s="55"/>
      <c r="I993" s="55"/>
      <c r="J993" s="55"/>
      <c r="K993" s="59"/>
      <c r="L993" s="60"/>
      <c r="M993" s="60"/>
      <c r="N993" s="61"/>
    </row>
    <row r="994" customFormat="false" ht="12.75" hidden="false" customHeight="false" outlineLevel="0" collapsed="false">
      <c r="A994" s="61"/>
      <c r="B994" s="61"/>
      <c r="C994" s="56"/>
      <c r="D994" s="55"/>
      <c r="E994" s="57"/>
      <c r="F994" s="56"/>
      <c r="G994" s="58"/>
      <c r="H994" s="55"/>
      <c r="I994" s="55"/>
      <c r="J994" s="55"/>
      <c r="K994" s="59"/>
      <c r="L994" s="60"/>
      <c r="M994" s="60"/>
      <c r="N994" s="61"/>
    </row>
    <row r="995" customFormat="false" ht="12.75" hidden="false" customHeight="false" outlineLevel="0" collapsed="false">
      <c r="A995" s="61"/>
      <c r="B995" s="61"/>
      <c r="C995" s="56"/>
      <c r="D995" s="55"/>
      <c r="E995" s="57"/>
      <c r="F995" s="56"/>
      <c r="G995" s="58"/>
      <c r="H995" s="55"/>
      <c r="I995" s="55"/>
      <c r="J995" s="55"/>
      <c r="K995" s="59"/>
      <c r="L995" s="60"/>
      <c r="M995" s="60"/>
      <c r="N995" s="61"/>
    </row>
    <row r="996" customFormat="false" ht="12.75" hidden="false" customHeight="false" outlineLevel="0" collapsed="false">
      <c r="A996" s="61"/>
      <c r="B996" s="61"/>
      <c r="C996" s="56"/>
      <c r="D996" s="55"/>
      <c r="E996" s="57"/>
      <c r="F996" s="56"/>
      <c r="G996" s="58"/>
      <c r="H996" s="55"/>
      <c r="I996" s="55"/>
      <c r="J996" s="55"/>
      <c r="K996" s="59"/>
      <c r="L996" s="60"/>
      <c r="M996" s="60"/>
      <c r="N996" s="61"/>
    </row>
    <row r="997" customFormat="false" ht="12.75" hidden="false" customHeight="false" outlineLevel="0" collapsed="false">
      <c r="A997" s="61"/>
      <c r="B997" s="61"/>
      <c r="C997" s="56"/>
      <c r="D997" s="55"/>
      <c r="E997" s="57"/>
      <c r="F997" s="56"/>
      <c r="G997" s="58"/>
      <c r="H997" s="55"/>
      <c r="I997" s="55"/>
      <c r="J997" s="55"/>
      <c r="K997" s="59"/>
      <c r="L997" s="60"/>
      <c r="M997" s="60"/>
      <c r="N997" s="61"/>
    </row>
    <row r="998" customFormat="false" ht="12.75" hidden="false" customHeight="false" outlineLevel="0" collapsed="false">
      <c r="A998" s="61"/>
      <c r="B998" s="61"/>
      <c r="C998" s="56"/>
      <c r="D998" s="55"/>
      <c r="E998" s="57"/>
      <c r="F998" s="56"/>
      <c r="G998" s="58"/>
      <c r="H998" s="55"/>
      <c r="I998" s="55"/>
      <c r="J998" s="55"/>
      <c r="K998" s="59"/>
      <c r="L998" s="60"/>
      <c r="M998" s="60"/>
      <c r="N998" s="61"/>
    </row>
    <row r="999" customFormat="false" ht="12.75" hidden="false" customHeight="false" outlineLevel="0" collapsed="false">
      <c r="A999" s="61"/>
      <c r="B999" s="61"/>
      <c r="C999" s="56"/>
      <c r="D999" s="55"/>
      <c r="E999" s="57"/>
      <c r="F999" s="56"/>
      <c r="G999" s="58"/>
      <c r="H999" s="55"/>
      <c r="I999" s="55"/>
      <c r="J999" s="55"/>
      <c r="K999" s="59"/>
      <c r="L999" s="60"/>
      <c r="M999" s="60"/>
      <c r="N999" s="61"/>
    </row>
    <row r="1000" customFormat="false" ht="12.75" hidden="false" customHeight="false" outlineLevel="0" collapsed="false">
      <c r="A1000" s="61"/>
      <c r="B1000" s="61"/>
      <c r="C1000" s="56"/>
      <c r="D1000" s="55"/>
      <c r="E1000" s="57"/>
      <c r="F1000" s="56"/>
      <c r="G1000" s="58"/>
      <c r="H1000" s="55"/>
      <c r="I1000" s="55"/>
      <c r="J1000" s="55"/>
      <c r="K1000" s="59"/>
      <c r="L1000" s="60"/>
      <c r="M1000" s="60"/>
      <c r="N1000" s="61"/>
    </row>
    <row r="1001" customFormat="false" ht="12.75" hidden="false" customHeight="false" outlineLevel="0" collapsed="false">
      <c r="A1001" s="61"/>
      <c r="B1001" s="61"/>
      <c r="C1001" s="56"/>
      <c r="D1001" s="55"/>
      <c r="E1001" s="57"/>
      <c r="F1001" s="56"/>
      <c r="G1001" s="58"/>
      <c r="H1001" s="55"/>
      <c r="I1001" s="55"/>
      <c r="J1001" s="55"/>
      <c r="K1001" s="59"/>
      <c r="L1001" s="60"/>
      <c r="M1001" s="60"/>
      <c r="N1001" s="61"/>
    </row>
    <row r="1002" customFormat="false" ht="12.75" hidden="false" customHeight="false" outlineLevel="0" collapsed="false">
      <c r="A1002" s="61"/>
      <c r="B1002" s="61"/>
      <c r="C1002" s="56"/>
      <c r="D1002" s="55"/>
      <c r="E1002" s="57"/>
      <c r="F1002" s="56"/>
      <c r="G1002" s="58"/>
      <c r="H1002" s="55"/>
      <c r="I1002" s="55"/>
      <c r="J1002" s="55"/>
      <c r="K1002" s="59"/>
      <c r="L1002" s="60"/>
      <c r="M1002" s="60"/>
      <c r="N1002" s="6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135</TotalTime>
  <Application>LibreOffice/7.4.5.1$Windows_X86_64 LibreOffice_project/9c0871452b3918c1019dde9bfac75448afc4b57f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2008-02-04T04:40:50Z</dcterms:created>
  <dc:creator>us;doronin.s@hyosungrus.ru</dc:creator>
  <dc:description/>
  <dc:language>ru-RU</dc:language>
  <cp:lastModifiedBy/>
  <cp:lastPrinted>2013-08-09T08:01:09Z</cp:lastPrinted>
  <dcterms:modified xsi:type="dcterms:W3CDTF">2026-05-01T19:44:39Z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